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4163\Desktop\D.E.T\"/>
    </mc:Choice>
  </mc:AlternateContent>
  <xr:revisionPtr revIDLastSave="0" documentId="13_ncr:1_{700143A8-8071-406A-B9F7-4919AA90E6A3}" xr6:coauthVersionLast="47" xr6:coauthVersionMax="47" xr10:uidLastSave="{00000000-0000-0000-0000-000000000000}"/>
  <bookViews>
    <workbookView xWindow="-110" yWindow="-110" windowWidth="22780" windowHeight="14540" firstSheet="1" activeTab="1" xr2:uid="{C26F2EB6-98F0-464B-B84A-20B8C9F6AD53}"/>
  </bookViews>
  <sheets>
    <sheet name="Data_Layer" sheetId="2" state="hidden" r:id="rId1"/>
    <sheet name="Claims_Calculator" sheetId="3" r:id="rId2"/>
    <sheet name="Data_validation" sheetId="5" state="hidden" r:id="rId3"/>
    <sheet name="Province" sheetId="1" state="hidden" r:id="rId4"/>
    <sheet name="Claim_type" sheetId="4" state="hidden" r:id="rId5"/>
    <sheet name="Inusrance_Provider" sheetId="6" state="hidden" r:id="rId6"/>
  </sheets>
  <definedNames>
    <definedName name="_xlchart.v5.0" hidden="1">Province!$D$1:$D$14</definedName>
    <definedName name="_xlchart.v5.1" hidden="1">Province!$E$1:$E$14</definedName>
    <definedName name="_xlchart.v5.2" hidden="1">Province!$D$1:$D$14</definedName>
    <definedName name="_xlchart.v5.3" hidden="1">Province!$E$1:$E$14</definedName>
    <definedName name="_xlchart.v5.4" hidden="1">Province!$D$1:$D$14</definedName>
    <definedName name="_xlchart.v5.5" hidden="1">Province!$E$1:$E$14</definedName>
    <definedName name="claim_count">Data_validation!$B$15</definedName>
    <definedName name="ExternalData_1" localSheetId="0" hidden="1">Data_Layer!$A$1:$K$5001</definedName>
    <definedName name="median_claim">Claim_type!$C$10</definedName>
    <definedName name="provider">Claims_Calculator!$K$4</definedName>
    <definedName name="province">Claims_Calculator!$F$4</definedName>
    <definedName name="type">Claims_Calculator!$C$4</definedName>
    <definedName name="wait_period">Province!$C$14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" i="6" l="1" a="1"/>
  <c r="B2" i="6" s="1"/>
  <c r="B3" i="5" a="1"/>
  <c r="B3" i="5" s="1"/>
  <c r="B4" i="5" a="1"/>
  <c r="B4" i="5" s="1"/>
  <c r="B5" i="5" a="1"/>
  <c r="B5" i="5" s="1"/>
  <c r="B6" i="5" a="1"/>
  <c r="B6" i="5" s="1"/>
  <c r="B7" i="5" a="1"/>
  <c r="B7" i="5" s="1"/>
  <c r="B8" i="5" a="1"/>
  <c r="B8" i="5" s="1"/>
  <c r="B9" i="5" a="1"/>
  <c r="B9" i="5" s="1"/>
  <c r="B10" i="5" a="1"/>
  <c r="B10" i="5" s="1"/>
  <c r="B11" i="5" a="1"/>
  <c r="B11" i="5" s="1"/>
  <c r="B2" i="5" a="1"/>
  <c r="B2" i="5" s="1"/>
  <c r="B3" i="6" a="1"/>
  <c r="B3" i="6" s="1"/>
  <c r="B4" i="6" a="1"/>
  <c r="B4" i="6" s="1"/>
  <c r="B5" i="6" a="1"/>
  <c r="B5" i="6" s="1"/>
  <c r="B6" i="6" a="1"/>
  <c r="B6" i="6" s="1"/>
  <c r="B3" i="4" a="1"/>
  <c r="B3" i="4" s="1"/>
  <c r="B4" i="4" a="1"/>
  <c r="B4" i="4" s="1"/>
  <c r="B5" i="4" a="1"/>
  <c r="B5" i="4" s="1"/>
  <c r="B6" i="4" a="1"/>
  <c r="B6" i="4" s="1"/>
  <c r="B2" i="4" a="1"/>
  <c r="B2" i="4" s="1"/>
  <c r="D2" i="5" l="1" a="1"/>
  <c r="D2" i="5" s="1"/>
  <c r="D2" i="4" a="1"/>
  <c r="D2" i="4" s="1"/>
  <c r="A2" i="5" l="1" a="1"/>
  <c r="A2" i="5" s="1"/>
  <c r="M2" i="5" l="1" a="1"/>
  <c r="M2" i="5" s="1"/>
  <c r="N2" i="5" s="1"/>
  <c r="G2" i="5" a="1"/>
  <c r="G2" i="5" s="1"/>
  <c r="H2" i="5" s="1"/>
  <c r="N4" i="5" l="1"/>
  <c r="N5" i="5"/>
  <c r="N3" i="5"/>
  <c r="H5" i="5"/>
  <c r="H4" i="5"/>
  <c r="H3" i="5"/>
  <c r="N6" i="5"/>
  <c r="H6" i="5"/>
  <c r="J2" i="5" l="1" a="1"/>
  <c r="J2" i="5" s="1"/>
  <c r="A1" i="4" s="1" a="1"/>
  <c r="A1" i="4" s="1"/>
  <c r="P2" i="5" a="1"/>
  <c r="P2" i="5" s="1"/>
  <c r="A1" i="6" s="1" a="1"/>
  <c r="D2" i="6" l="1" a="1"/>
  <c r="F5" i="6" s="1"/>
  <c r="A1" i="6"/>
  <c r="A1" i="1" a="1"/>
  <c r="B15" i="5"/>
  <c r="B3" i="1" l="1" a="1"/>
  <c r="B3" i="1" s="1"/>
  <c r="B11" i="1" a="1"/>
  <c r="B11" i="1" s="1"/>
  <c r="B4" i="1" a="1"/>
  <c r="B4" i="1" s="1"/>
  <c r="B2" i="1" a="1"/>
  <c r="B2" i="1" s="1"/>
  <c r="B5" i="1" a="1"/>
  <c r="B5" i="1" s="1"/>
  <c r="B6" i="1" a="1"/>
  <c r="B6" i="1" s="1"/>
  <c r="B7" i="1" a="1"/>
  <c r="B7" i="1" s="1"/>
  <c r="B8" i="1" a="1"/>
  <c r="B8" i="1" s="1"/>
  <c r="B9" i="1" a="1"/>
  <c r="B9" i="1" s="1"/>
  <c r="B10" i="1" a="1"/>
  <c r="B10" i="1" s="1"/>
  <c r="A1" i="1"/>
  <c r="F6" i="6"/>
  <c r="G6" i="6"/>
  <c r="F3" i="6"/>
  <c r="F4" i="6"/>
  <c r="G3" i="6"/>
  <c r="G5" i="6"/>
  <c r="G4" i="6"/>
  <c r="F5" i="4"/>
  <c r="G5" i="4"/>
  <c r="F4" i="4"/>
  <c r="F3" i="4"/>
  <c r="G4" i="4"/>
  <c r="G3" i="4"/>
  <c r="F6" i="4"/>
  <c r="G6" i="4"/>
  <c r="D2" i="6"/>
  <c r="D2" i="1" l="1" a="1"/>
  <c r="D2" i="1" s="1"/>
  <c r="C14" i="1" s="1"/>
  <c r="G2" i="6"/>
  <c r="F2" i="6"/>
  <c r="C10" i="4"/>
  <c r="F2" i="4"/>
  <c r="G2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3568863-AE51-4C4F-AA53-7FDFB24ECDA9}" keepAlive="1" name="Query - canadian_healthcare_portfolio_dataset" description="Connection to the 'canadian_healthcare_portfolio_dataset' query in the workbook." type="5" refreshedVersion="8" background="1" saveData="1">
    <dbPr connection="Provider=Microsoft.Mashup.OleDb.1;Data Source=$Workbook$;Location=canadian_healthcare_portfolio_dataset;Extended Properties=&quot;&quot;" command="SELECT * FROM [canadian_healthcare_portfolio_dataset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<sst xmlns="http://schemas.openxmlformats.org/spreadsheetml/2006/main" count="30029" uniqueCount="5051">
  <si>
    <t>Patient_ID</t>
  </si>
  <si>
    <t>Age</t>
  </si>
  <si>
    <t>Gender</t>
  </si>
  <si>
    <t>Province</t>
  </si>
  <si>
    <t>Family_Doctor_Wait_Months</t>
  </si>
  <si>
    <t>Insurance_Provider</t>
  </si>
  <si>
    <t>Claim_Type</t>
  </si>
  <si>
    <t>Claim_Amount_CAD</t>
  </si>
  <si>
    <t>Claim_Status</t>
  </si>
  <si>
    <t>ER_Visits_Past_Year</t>
  </si>
  <si>
    <t>Healthcare_Satisfaction_Score</t>
  </si>
  <si>
    <t>CAN-HC-00001</t>
  </si>
  <si>
    <t>Male</t>
  </si>
  <si>
    <t>British Columbia</t>
  </si>
  <si>
    <t>Out of Pocket / None</t>
  </si>
  <si>
    <t>Vision</t>
  </si>
  <si>
    <t>Not Applicable</t>
  </si>
  <si>
    <t>CAN-HC-00002</t>
  </si>
  <si>
    <t>Female</t>
  </si>
  <si>
    <t>Ontario</t>
  </si>
  <si>
    <t>CAN-HC-00003</t>
  </si>
  <si>
    <t>Quebec</t>
  </si>
  <si>
    <t>Sun Life</t>
  </si>
  <si>
    <t>Dental</t>
  </si>
  <si>
    <t>Approved</t>
  </si>
  <si>
    <t>CAN-HC-00004</t>
  </si>
  <si>
    <t>Blue Cross</t>
  </si>
  <si>
    <t>Prescription</t>
  </si>
  <si>
    <t>Denied</t>
  </si>
  <si>
    <t>CAN-HC-00005</t>
  </si>
  <si>
    <t>Alberta</t>
  </si>
  <si>
    <t>Canada Life</t>
  </si>
  <si>
    <t>CAN-HC-00006</t>
  </si>
  <si>
    <t>Manulife</t>
  </si>
  <si>
    <t>Mental Health Therapy</t>
  </si>
  <si>
    <t>CAN-HC-00007</t>
  </si>
  <si>
    <t>CAN-HC-00008</t>
  </si>
  <si>
    <t>Physiotherapy</t>
  </si>
  <si>
    <t>CAN-HC-00009</t>
  </si>
  <si>
    <t>CAN-HC-00010</t>
  </si>
  <si>
    <t>CAN-HC-00011</t>
  </si>
  <si>
    <t>Manitoba</t>
  </si>
  <si>
    <t>CAN-HC-00012</t>
  </si>
  <si>
    <t>Pending</t>
  </si>
  <si>
    <t>CAN-HC-00013</t>
  </si>
  <si>
    <t>CAN-HC-00014</t>
  </si>
  <si>
    <t>CAN-HC-00015</t>
  </si>
  <si>
    <t>Saskatchewan</t>
  </si>
  <si>
    <t>CAN-HC-00016</t>
  </si>
  <si>
    <t>CAN-HC-00017</t>
  </si>
  <si>
    <t>CAN-HC-00018</t>
  </si>
  <si>
    <t>CAN-HC-00019</t>
  </si>
  <si>
    <t>CAN-HC-00020</t>
  </si>
  <si>
    <t>CAN-HC-00021</t>
  </si>
  <si>
    <t>CAN-HC-00022</t>
  </si>
  <si>
    <t>CAN-HC-00023</t>
  </si>
  <si>
    <t>CAN-HC-00024</t>
  </si>
  <si>
    <t>Nova Scotia</t>
  </si>
  <si>
    <t>CAN-HC-00025</t>
  </si>
  <si>
    <t>CAN-HC-00026</t>
  </si>
  <si>
    <t>CAN-HC-00027</t>
  </si>
  <si>
    <t>CAN-HC-00028</t>
  </si>
  <si>
    <t>CAN-HC-00029</t>
  </si>
  <si>
    <t>CAN-HC-00030</t>
  </si>
  <si>
    <t>CAN-HC-00031</t>
  </si>
  <si>
    <t>CAN-HC-00032</t>
  </si>
  <si>
    <t>CAN-HC-00033</t>
  </si>
  <si>
    <t>CAN-HC-00034</t>
  </si>
  <si>
    <t>CAN-HC-00035</t>
  </si>
  <si>
    <t>CAN-HC-00036</t>
  </si>
  <si>
    <t>CAN-HC-00037</t>
  </si>
  <si>
    <t>CAN-HC-00038</t>
  </si>
  <si>
    <t>CAN-HC-00039</t>
  </si>
  <si>
    <t>CAN-HC-00040</t>
  </si>
  <si>
    <t>CAN-HC-00041</t>
  </si>
  <si>
    <t>CAN-HC-00042</t>
  </si>
  <si>
    <t>CAN-HC-00043</t>
  </si>
  <si>
    <t>CAN-HC-00044</t>
  </si>
  <si>
    <t>CAN-HC-00045</t>
  </si>
  <si>
    <t>CAN-HC-00046</t>
  </si>
  <si>
    <t>CAN-HC-00047</t>
  </si>
  <si>
    <t>CAN-HC-00048</t>
  </si>
  <si>
    <t>CAN-HC-00049</t>
  </si>
  <si>
    <t>CAN-HC-00050</t>
  </si>
  <si>
    <t>CAN-HC-00051</t>
  </si>
  <si>
    <t>CAN-HC-00052</t>
  </si>
  <si>
    <t>CAN-HC-00053</t>
  </si>
  <si>
    <t>CAN-HC-00054</t>
  </si>
  <si>
    <t>CAN-HC-00055</t>
  </si>
  <si>
    <t>CAN-HC-00056</t>
  </si>
  <si>
    <t>CAN-HC-00057</t>
  </si>
  <si>
    <t>CAN-HC-00058</t>
  </si>
  <si>
    <t>CAN-HC-00059</t>
  </si>
  <si>
    <t>CAN-HC-00060</t>
  </si>
  <si>
    <t>CAN-HC-00061</t>
  </si>
  <si>
    <t>CAN-HC-00062</t>
  </si>
  <si>
    <t>CAN-HC-00063</t>
  </si>
  <si>
    <t>CAN-HC-00064</t>
  </si>
  <si>
    <t>CAN-HC-00065</t>
  </si>
  <si>
    <t>CAN-HC-00066</t>
  </si>
  <si>
    <t>CAN-HC-00067</t>
  </si>
  <si>
    <t>CAN-HC-00068</t>
  </si>
  <si>
    <t>CAN-HC-00069</t>
  </si>
  <si>
    <t>CAN-HC-00070</t>
  </si>
  <si>
    <t>CAN-HC-00071</t>
  </si>
  <si>
    <t>CAN-HC-00072</t>
  </si>
  <si>
    <t>CAN-HC-00073</t>
  </si>
  <si>
    <t>CAN-HC-00074</t>
  </si>
  <si>
    <t>CAN-HC-00075</t>
  </si>
  <si>
    <t>CAN-HC-00076</t>
  </si>
  <si>
    <t>CAN-HC-00077</t>
  </si>
  <si>
    <t>CAN-HC-00078</t>
  </si>
  <si>
    <t>CAN-HC-00079</t>
  </si>
  <si>
    <t>CAN-HC-00080</t>
  </si>
  <si>
    <t>CAN-HC-00081</t>
  </si>
  <si>
    <t>CAN-HC-00082</t>
  </si>
  <si>
    <t>CAN-HC-00083</t>
  </si>
  <si>
    <t>CAN-HC-00084</t>
  </si>
  <si>
    <t>CAN-HC-00085</t>
  </si>
  <si>
    <t>CAN-HC-00086</t>
  </si>
  <si>
    <t>New Brunswick</t>
  </si>
  <si>
    <t>CAN-HC-00087</t>
  </si>
  <si>
    <t>CAN-HC-00088</t>
  </si>
  <si>
    <t>CAN-HC-00089</t>
  </si>
  <si>
    <t>CAN-HC-00090</t>
  </si>
  <si>
    <t>CAN-HC-00091</t>
  </si>
  <si>
    <t>CAN-HC-00092</t>
  </si>
  <si>
    <t>CAN-HC-00093</t>
  </si>
  <si>
    <t>CAN-HC-00094</t>
  </si>
  <si>
    <t>CAN-HC-00095</t>
  </si>
  <si>
    <t>CAN-HC-00096</t>
  </si>
  <si>
    <t>CAN-HC-00097</t>
  </si>
  <si>
    <t>CAN-HC-00098</t>
  </si>
  <si>
    <t>CAN-HC-00099</t>
  </si>
  <si>
    <t>CAN-HC-00100</t>
  </si>
  <si>
    <t>CAN-HC-00101</t>
  </si>
  <si>
    <t>CAN-HC-00102</t>
  </si>
  <si>
    <t>CAN-HC-00103</t>
  </si>
  <si>
    <t>CAN-HC-00104</t>
  </si>
  <si>
    <t>CAN-HC-00105</t>
  </si>
  <si>
    <t>CAN-HC-00106</t>
  </si>
  <si>
    <t>CAN-HC-00107</t>
  </si>
  <si>
    <t>CAN-HC-00108</t>
  </si>
  <si>
    <t>CAN-HC-00109</t>
  </si>
  <si>
    <t>CAN-HC-00110</t>
  </si>
  <si>
    <t>CAN-HC-00111</t>
  </si>
  <si>
    <t>CAN-HC-00112</t>
  </si>
  <si>
    <t>CAN-HC-00113</t>
  </si>
  <si>
    <t>CAN-HC-00114</t>
  </si>
  <si>
    <t>CAN-HC-00115</t>
  </si>
  <si>
    <t>CAN-HC-00116</t>
  </si>
  <si>
    <t>CAN-HC-00117</t>
  </si>
  <si>
    <t>CAN-HC-00118</t>
  </si>
  <si>
    <t>CAN-HC-00119</t>
  </si>
  <si>
    <t>CAN-HC-00120</t>
  </si>
  <si>
    <t>CAN-HC-00121</t>
  </si>
  <si>
    <t>CAN-HC-00122</t>
  </si>
  <si>
    <t>CAN-HC-00123</t>
  </si>
  <si>
    <t>CAN-HC-00124</t>
  </si>
  <si>
    <t>CAN-HC-00125</t>
  </si>
  <si>
    <t>CAN-HC-00126</t>
  </si>
  <si>
    <t>CAN-HC-00127</t>
  </si>
  <si>
    <t>CAN-HC-00128</t>
  </si>
  <si>
    <t>CAN-HC-00129</t>
  </si>
  <si>
    <t>CAN-HC-00130</t>
  </si>
  <si>
    <t>CAN-HC-00131</t>
  </si>
  <si>
    <t>CAN-HC-00132</t>
  </si>
  <si>
    <t>CAN-HC-00133</t>
  </si>
  <si>
    <t>CAN-HC-00134</t>
  </si>
  <si>
    <t>CAN-HC-00135</t>
  </si>
  <si>
    <t>CAN-HC-00136</t>
  </si>
  <si>
    <t>CAN-HC-00137</t>
  </si>
  <si>
    <t>CAN-HC-00138</t>
  </si>
  <si>
    <t>CAN-HC-00139</t>
  </si>
  <si>
    <t>CAN-HC-00140</t>
  </si>
  <si>
    <t>CAN-HC-00141</t>
  </si>
  <si>
    <t>CAN-HC-00142</t>
  </si>
  <si>
    <t>CAN-HC-00143</t>
  </si>
  <si>
    <t>CAN-HC-00144</t>
  </si>
  <si>
    <t>CAN-HC-00145</t>
  </si>
  <si>
    <t>CAN-HC-00146</t>
  </si>
  <si>
    <t>CAN-HC-00147</t>
  </si>
  <si>
    <t>CAN-HC-00148</t>
  </si>
  <si>
    <t>CAN-HC-00149</t>
  </si>
  <si>
    <t>CAN-HC-00150</t>
  </si>
  <si>
    <t>CAN-HC-00151</t>
  </si>
  <si>
    <t>CAN-HC-00152</t>
  </si>
  <si>
    <t>CAN-HC-00153</t>
  </si>
  <si>
    <t>CAN-HC-00154</t>
  </si>
  <si>
    <t>Non-binary</t>
  </si>
  <si>
    <t>CAN-HC-00155</t>
  </si>
  <si>
    <t>CAN-HC-00156</t>
  </si>
  <si>
    <t>CAN-HC-00157</t>
  </si>
  <si>
    <t>CAN-HC-00158</t>
  </si>
  <si>
    <t>CAN-HC-00159</t>
  </si>
  <si>
    <t>CAN-HC-00160</t>
  </si>
  <si>
    <t>CAN-HC-00161</t>
  </si>
  <si>
    <t>CAN-HC-00162</t>
  </si>
  <si>
    <t>CAN-HC-00163</t>
  </si>
  <si>
    <t>CAN-HC-00164</t>
  </si>
  <si>
    <t>Newfoundland and Labrador</t>
  </si>
  <si>
    <t>CAN-HC-00165</t>
  </si>
  <si>
    <t>CAN-HC-00166</t>
  </si>
  <si>
    <t>CAN-HC-00167</t>
  </si>
  <si>
    <t>CAN-HC-00168</t>
  </si>
  <si>
    <t>CAN-HC-00169</t>
  </si>
  <si>
    <t>CAN-HC-00170</t>
  </si>
  <si>
    <t>CAN-HC-00171</t>
  </si>
  <si>
    <t>CAN-HC-00172</t>
  </si>
  <si>
    <t>CAN-HC-00173</t>
  </si>
  <si>
    <t>CAN-HC-00174</t>
  </si>
  <si>
    <t>CAN-HC-00175</t>
  </si>
  <si>
    <t>CAN-HC-00176</t>
  </si>
  <si>
    <t>CAN-HC-00177</t>
  </si>
  <si>
    <t>CAN-HC-00178</t>
  </si>
  <si>
    <t>CAN-HC-00179</t>
  </si>
  <si>
    <t>CAN-HC-00180</t>
  </si>
  <si>
    <t>CAN-HC-00181</t>
  </si>
  <si>
    <t>CAN-HC-00182</t>
  </si>
  <si>
    <t>CAN-HC-00183</t>
  </si>
  <si>
    <t>CAN-HC-00184</t>
  </si>
  <si>
    <t>CAN-HC-00185</t>
  </si>
  <si>
    <t>CAN-HC-00186</t>
  </si>
  <si>
    <t>CAN-HC-00187</t>
  </si>
  <si>
    <t>CAN-HC-00188</t>
  </si>
  <si>
    <t>CAN-HC-00189</t>
  </si>
  <si>
    <t>CAN-HC-00190</t>
  </si>
  <si>
    <t>CAN-HC-00191</t>
  </si>
  <si>
    <t>CAN-HC-00192</t>
  </si>
  <si>
    <t>CAN-HC-00193</t>
  </si>
  <si>
    <t>CAN-HC-00194</t>
  </si>
  <si>
    <t>CAN-HC-00195</t>
  </si>
  <si>
    <t>CAN-HC-00196</t>
  </si>
  <si>
    <t>CAN-HC-00197</t>
  </si>
  <si>
    <t>CAN-HC-00198</t>
  </si>
  <si>
    <t>CAN-HC-00199</t>
  </si>
  <si>
    <t>CAN-HC-00200</t>
  </si>
  <si>
    <t>CAN-HC-00201</t>
  </si>
  <si>
    <t>CAN-HC-00202</t>
  </si>
  <si>
    <t>CAN-HC-00203</t>
  </si>
  <si>
    <t>CAN-HC-00204</t>
  </si>
  <si>
    <t>CAN-HC-00205</t>
  </si>
  <si>
    <t>CAN-HC-00206</t>
  </si>
  <si>
    <t>CAN-HC-00207</t>
  </si>
  <si>
    <t>Prince Edward Island</t>
  </si>
  <si>
    <t>CAN-HC-00208</t>
  </si>
  <si>
    <t>CAN-HC-00209</t>
  </si>
  <si>
    <t>CAN-HC-00210</t>
  </si>
  <si>
    <t>CAN-HC-00211</t>
  </si>
  <si>
    <t>CAN-HC-00212</t>
  </si>
  <si>
    <t>CAN-HC-00213</t>
  </si>
  <si>
    <t>CAN-HC-00214</t>
  </si>
  <si>
    <t>CAN-HC-00215</t>
  </si>
  <si>
    <t>CAN-HC-00216</t>
  </si>
  <si>
    <t>CAN-HC-00217</t>
  </si>
  <si>
    <t>CAN-HC-00218</t>
  </si>
  <si>
    <t>CAN-HC-00219</t>
  </si>
  <si>
    <t>CAN-HC-00220</t>
  </si>
  <si>
    <t>CAN-HC-00221</t>
  </si>
  <si>
    <t>CAN-HC-00222</t>
  </si>
  <si>
    <t>CAN-HC-00223</t>
  </si>
  <si>
    <t>CAN-HC-00224</t>
  </si>
  <si>
    <t>CAN-HC-00225</t>
  </si>
  <si>
    <t>CAN-HC-00226</t>
  </si>
  <si>
    <t>CAN-HC-00227</t>
  </si>
  <si>
    <t>CAN-HC-00228</t>
  </si>
  <si>
    <t>CAN-HC-00229</t>
  </si>
  <si>
    <t>CAN-HC-00230</t>
  </si>
  <si>
    <t>CAN-HC-00231</t>
  </si>
  <si>
    <t>CAN-HC-00232</t>
  </si>
  <si>
    <t>CAN-HC-00233</t>
  </si>
  <si>
    <t>CAN-HC-00234</t>
  </si>
  <si>
    <t>CAN-HC-00235</t>
  </si>
  <si>
    <t>CAN-HC-00236</t>
  </si>
  <si>
    <t>CAN-HC-00237</t>
  </si>
  <si>
    <t>CAN-HC-00238</t>
  </si>
  <si>
    <t>CAN-HC-00239</t>
  </si>
  <si>
    <t>CAN-HC-00240</t>
  </si>
  <si>
    <t>CAN-HC-00241</t>
  </si>
  <si>
    <t>CAN-HC-00242</t>
  </si>
  <si>
    <t>CAN-HC-00243</t>
  </si>
  <si>
    <t>CAN-HC-00244</t>
  </si>
  <si>
    <t>CAN-HC-00245</t>
  </si>
  <si>
    <t>CAN-HC-00246</t>
  </si>
  <si>
    <t>CAN-HC-00247</t>
  </si>
  <si>
    <t>CAN-HC-00248</t>
  </si>
  <si>
    <t>CAN-HC-00249</t>
  </si>
  <si>
    <t>CAN-HC-00250</t>
  </si>
  <si>
    <t>CAN-HC-00251</t>
  </si>
  <si>
    <t>CAN-HC-00252</t>
  </si>
  <si>
    <t>CAN-HC-00253</t>
  </si>
  <si>
    <t>CAN-HC-00254</t>
  </si>
  <si>
    <t>CAN-HC-00255</t>
  </si>
  <si>
    <t>CAN-HC-00256</t>
  </si>
  <si>
    <t>CAN-HC-00257</t>
  </si>
  <si>
    <t>CAN-HC-00258</t>
  </si>
  <si>
    <t>CAN-HC-00259</t>
  </si>
  <si>
    <t>CAN-HC-00260</t>
  </si>
  <si>
    <t>CAN-HC-00261</t>
  </si>
  <si>
    <t>CAN-HC-00262</t>
  </si>
  <si>
    <t>CAN-HC-00263</t>
  </si>
  <si>
    <t>CAN-HC-00264</t>
  </si>
  <si>
    <t>CAN-HC-00265</t>
  </si>
  <si>
    <t>CAN-HC-00266</t>
  </si>
  <si>
    <t>CAN-HC-00267</t>
  </si>
  <si>
    <t>CAN-HC-00268</t>
  </si>
  <si>
    <t>CAN-HC-00269</t>
  </si>
  <si>
    <t>CAN-HC-00270</t>
  </si>
  <si>
    <t>CAN-HC-00271</t>
  </si>
  <si>
    <t>CAN-HC-00272</t>
  </si>
  <si>
    <t>CAN-HC-00273</t>
  </si>
  <si>
    <t>CAN-HC-00274</t>
  </si>
  <si>
    <t>CAN-HC-00275</t>
  </si>
  <si>
    <t>CAN-HC-00276</t>
  </si>
  <si>
    <t>CAN-HC-00277</t>
  </si>
  <si>
    <t>CAN-HC-00278</t>
  </si>
  <si>
    <t>CAN-HC-00279</t>
  </si>
  <si>
    <t>CAN-HC-00280</t>
  </si>
  <si>
    <t>CAN-HC-00281</t>
  </si>
  <si>
    <t>CAN-HC-00282</t>
  </si>
  <si>
    <t>CAN-HC-00283</t>
  </si>
  <si>
    <t>CAN-HC-00284</t>
  </si>
  <si>
    <t>CAN-HC-00285</t>
  </si>
  <si>
    <t>CAN-HC-00286</t>
  </si>
  <si>
    <t>CAN-HC-00287</t>
  </si>
  <si>
    <t>CAN-HC-00288</t>
  </si>
  <si>
    <t>CAN-HC-00289</t>
  </si>
  <si>
    <t>CAN-HC-00290</t>
  </si>
  <si>
    <t>CAN-HC-00291</t>
  </si>
  <si>
    <t>CAN-HC-00292</t>
  </si>
  <si>
    <t>CAN-HC-00293</t>
  </si>
  <si>
    <t>CAN-HC-00294</t>
  </si>
  <si>
    <t>CAN-HC-00295</t>
  </si>
  <si>
    <t>CAN-HC-00296</t>
  </si>
  <si>
    <t>CAN-HC-00297</t>
  </si>
  <si>
    <t>CAN-HC-00298</t>
  </si>
  <si>
    <t>CAN-HC-00299</t>
  </si>
  <si>
    <t>CAN-HC-00300</t>
  </si>
  <si>
    <t>CAN-HC-00301</t>
  </si>
  <si>
    <t>CAN-HC-00302</t>
  </si>
  <si>
    <t>CAN-HC-00303</t>
  </si>
  <si>
    <t>CAN-HC-00304</t>
  </si>
  <si>
    <t>CAN-HC-00305</t>
  </si>
  <si>
    <t>CAN-HC-00306</t>
  </si>
  <si>
    <t>CAN-HC-00307</t>
  </si>
  <si>
    <t>CAN-HC-00308</t>
  </si>
  <si>
    <t>CAN-HC-00309</t>
  </si>
  <si>
    <t>CAN-HC-00310</t>
  </si>
  <si>
    <t>CAN-HC-00311</t>
  </si>
  <si>
    <t>CAN-HC-00312</t>
  </si>
  <si>
    <t>CAN-HC-00313</t>
  </si>
  <si>
    <t>CAN-HC-00314</t>
  </si>
  <si>
    <t>CAN-HC-00315</t>
  </si>
  <si>
    <t>CAN-HC-00316</t>
  </si>
  <si>
    <t>CAN-HC-00317</t>
  </si>
  <si>
    <t>CAN-HC-00318</t>
  </si>
  <si>
    <t>CAN-HC-00319</t>
  </si>
  <si>
    <t>CAN-HC-00320</t>
  </si>
  <si>
    <t>CAN-HC-00321</t>
  </si>
  <si>
    <t>CAN-HC-00322</t>
  </si>
  <si>
    <t>CAN-HC-00323</t>
  </si>
  <si>
    <t>CAN-HC-00324</t>
  </si>
  <si>
    <t>CAN-HC-00325</t>
  </si>
  <si>
    <t>CAN-HC-00326</t>
  </si>
  <si>
    <t>CAN-HC-00327</t>
  </si>
  <si>
    <t>CAN-HC-00328</t>
  </si>
  <si>
    <t>CAN-HC-00329</t>
  </si>
  <si>
    <t>CAN-HC-00330</t>
  </si>
  <si>
    <t>CAN-HC-00331</t>
  </si>
  <si>
    <t>CAN-HC-00332</t>
  </si>
  <si>
    <t>CAN-HC-00333</t>
  </si>
  <si>
    <t>CAN-HC-00334</t>
  </si>
  <si>
    <t>CAN-HC-00335</t>
  </si>
  <si>
    <t>CAN-HC-00336</t>
  </si>
  <si>
    <t>CAN-HC-00337</t>
  </si>
  <si>
    <t>CAN-HC-00338</t>
  </si>
  <si>
    <t>CAN-HC-00339</t>
  </si>
  <si>
    <t>CAN-HC-00340</t>
  </si>
  <si>
    <t>CAN-HC-00341</t>
  </si>
  <si>
    <t>CAN-HC-00342</t>
  </si>
  <si>
    <t>CAN-HC-00343</t>
  </si>
  <si>
    <t>CAN-HC-00344</t>
  </si>
  <si>
    <t>CAN-HC-00345</t>
  </si>
  <si>
    <t>CAN-HC-00346</t>
  </si>
  <si>
    <t>CAN-HC-00347</t>
  </si>
  <si>
    <t>CAN-HC-00348</t>
  </si>
  <si>
    <t>CAN-HC-00349</t>
  </si>
  <si>
    <t>CAN-HC-00350</t>
  </si>
  <si>
    <t>CAN-HC-00351</t>
  </si>
  <si>
    <t>CAN-HC-00352</t>
  </si>
  <si>
    <t>CAN-HC-00353</t>
  </si>
  <si>
    <t>CAN-HC-00354</t>
  </si>
  <si>
    <t>CAN-HC-00355</t>
  </si>
  <si>
    <t>CAN-HC-00356</t>
  </si>
  <si>
    <t>CAN-HC-00357</t>
  </si>
  <si>
    <t>CAN-HC-00358</t>
  </si>
  <si>
    <t>CAN-HC-00359</t>
  </si>
  <si>
    <t>CAN-HC-00360</t>
  </si>
  <si>
    <t>CAN-HC-00361</t>
  </si>
  <si>
    <t>CAN-HC-00362</t>
  </si>
  <si>
    <t>CAN-HC-00363</t>
  </si>
  <si>
    <t>CAN-HC-00364</t>
  </si>
  <si>
    <t>CAN-HC-00365</t>
  </si>
  <si>
    <t>CAN-HC-00366</t>
  </si>
  <si>
    <t>CAN-HC-00367</t>
  </si>
  <si>
    <t>CAN-HC-00368</t>
  </si>
  <si>
    <t>CAN-HC-00369</t>
  </si>
  <si>
    <t>CAN-HC-00370</t>
  </si>
  <si>
    <t>CAN-HC-00371</t>
  </si>
  <si>
    <t>CAN-HC-00372</t>
  </si>
  <si>
    <t>CAN-HC-00373</t>
  </si>
  <si>
    <t>CAN-HC-00374</t>
  </si>
  <si>
    <t>CAN-HC-00375</t>
  </si>
  <si>
    <t>CAN-HC-00376</t>
  </si>
  <si>
    <t>CAN-HC-00377</t>
  </si>
  <si>
    <t>CAN-HC-00378</t>
  </si>
  <si>
    <t>CAN-HC-00379</t>
  </si>
  <si>
    <t>CAN-HC-00380</t>
  </si>
  <si>
    <t>CAN-HC-00381</t>
  </si>
  <si>
    <t>CAN-HC-00382</t>
  </si>
  <si>
    <t>CAN-HC-00383</t>
  </si>
  <si>
    <t>CAN-HC-00384</t>
  </si>
  <si>
    <t>CAN-HC-00385</t>
  </si>
  <si>
    <t>CAN-HC-00386</t>
  </si>
  <si>
    <t>CAN-HC-00387</t>
  </si>
  <si>
    <t>CAN-HC-00388</t>
  </si>
  <si>
    <t>CAN-HC-00389</t>
  </si>
  <si>
    <t>CAN-HC-00390</t>
  </si>
  <si>
    <t>CAN-HC-00391</t>
  </si>
  <si>
    <t>CAN-HC-00392</t>
  </si>
  <si>
    <t>CAN-HC-00393</t>
  </si>
  <si>
    <t>CAN-HC-00394</t>
  </si>
  <si>
    <t>CAN-HC-00395</t>
  </si>
  <si>
    <t>CAN-HC-00396</t>
  </si>
  <si>
    <t>CAN-HC-00397</t>
  </si>
  <si>
    <t>CAN-HC-00398</t>
  </si>
  <si>
    <t>CAN-HC-00399</t>
  </si>
  <si>
    <t>CAN-HC-00400</t>
  </si>
  <si>
    <t>CAN-HC-00401</t>
  </si>
  <si>
    <t>CAN-HC-00402</t>
  </si>
  <si>
    <t>CAN-HC-00403</t>
  </si>
  <si>
    <t>CAN-HC-00404</t>
  </si>
  <si>
    <t>CAN-HC-00405</t>
  </si>
  <si>
    <t>CAN-HC-00406</t>
  </si>
  <si>
    <t>CAN-HC-00407</t>
  </si>
  <si>
    <t>CAN-HC-00408</t>
  </si>
  <si>
    <t>CAN-HC-00409</t>
  </si>
  <si>
    <t>CAN-HC-00410</t>
  </si>
  <si>
    <t>CAN-HC-00411</t>
  </si>
  <si>
    <t>CAN-HC-00412</t>
  </si>
  <si>
    <t>CAN-HC-00413</t>
  </si>
  <si>
    <t>CAN-HC-00414</t>
  </si>
  <si>
    <t>CAN-HC-00415</t>
  </si>
  <si>
    <t>CAN-HC-00416</t>
  </si>
  <si>
    <t>CAN-HC-00417</t>
  </si>
  <si>
    <t>CAN-HC-00418</t>
  </si>
  <si>
    <t>CAN-HC-00419</t>
  </si>
  <si>
    <t>CAN-HC-00420</t>
  </si>
  <si>
    <t>CAN-HC-00421</t>
  </si>
  <si>
    <t>CAN-HC-00422</t>
  </si>
  <si>
    <t>CAN-HC-00423</t>
  </si>
  <si>
    <t>CAN-HC-00424</t>
  </si>
  <si>
    <t>CAN-HC-00425</t>
  </si>
  <si>
    <t>CAN-HC-00426</t>
  </si>
  <si>
    <t>CAN-HC-00427</t>
  </si>
  <si>
    <t>CAN-HC-00428</t>
  </si>
  <si>
    <t>CAN-HC-00429</t>
  </si>
  <si>
    <t>CAN-HC-00430</t>
  </si>
  <si>
    <t>CAN-HC-00431</t>
  </si>
  <si>
    <t>CAN-HC-00432</t>
  </si>
  <si>
    <t>CAN-HC-00433</t>
  </si>
  <si>
    <t>CAN-HC-00434</t>
  </si>
  <si>
    <t>CAN-HC-00435</t>
  </si>
  <si>
    <t>CAN-HC-00436</t>
  </si>
  <si>
    <t>CAN-HC-00437</t>
  </si>
  <si>
    <t>CAN-HC-00438</t>
  </si>
  <si>
    <t>CAN-HC-00439</t>
  </si>
  <si>
    <t>CAN-HC-00440</t>
  </si>
  <si>
    <t>CAN-HC-00441</t>
  </si>
  <si>
    <t>CAN-HC-00442</t>
  </si>
  <si>
    <t>CAN-HC-00443</t>
  </si>
  <si>
    <t>CAN-HC-00444</t>
  </si>
  <si>
    <t>CAN-HC-00445</t>
  </si>
  <si>
    <t>CAN-HC-00446</t>
  </si>
  <si>
    <t>CAN-HC-00447</t>
  </si>
  <si>
    <t>CAN-HC-00448</t>
  </si>
  <si>
    <t>CAN-HC-00449</t>
  </si>
  <si>
    <t>CAN-HC-00450</t>
  </si>
  <si>
    <t>CAN-HC-00451</t>
  </si>
  <si>
    <t>CAN-HC-00452</t>
  </si>
  <si>
    <t>CAN-HC-00453</t>
  </si>
  <si>
    <t>CAN-HC-00454</t>
  </si>
  <si>
    <t>CAN-HC-00455</t>
  </si>
  <si>
    <t>CAN-HC-00456</t>
  </si>
  <si>
    <t>CAN-HC-00457</t>
  </si>
  <si>
    <t>CAN-HC-00458</t>
  </si>
  <si>
    <t>CAN-HC-00459</t>
  </si>
  <si>
    <t>CAN-HC-00460</t>
  </si>
  <si>
    <t>CAN-HC-00461</t>
  </si>
  <si>
    <t>CAN-HC-00462</t>
  </si>
  <si>
    <t>CAN-HC-00463</t>
  </si>
  <si>
    <t>CAN-HC-00464</t>
  </si>
  <si>
    <t>CAN-HC-00465</t>
  </si>
  <si>
    <t>CAN-HC-00466</t>
  </si>
  <si>
    <t>CAN-HC-00467</t>
  </si>
  <si>
    <t>CAN-HC-00468</t>
  </si>
  <si>
    <t>CAN-HC-00469</t>
  </si>
  <si>
    <t>CAN-HC-00470</t>
  </si>
  <si>
    <t>CAN-HC-00471</t>
  </si>
  <si>
    <t>CAN-HC-00472</t>
  </si>
  <si>
    <t>CAN-HC-00473</t>
  </si>
  <si>
    <t>CAN-HC-00474</t>
  </si>
  <si>
    <t>CAN-HC-00475</t>
  </si>
  <si>
    <t>CAN-HC-00476</t>
  </si>
  <si>
    <t>CAN-HC-00477</t>
  </si>
  <si>
    <t>CAN-HC-00478</t>
  </si>
  <si>
    <t>CAN-HC-00479</t>
  </si>
  <si>
    <t>CAN-HC-00480</t>
  </si>
  <si>
    <t>CAN-HC-00481</t>
  </si>
  <si>
    <t>CAN-HC-00482</t>
  </si>
  <si>
    <t>CAN-HC-00483</t>
  </si>
  <si>
    <t>CAN-HC-00484</t>
  </si>
  <si>
    <t>CAN-HC-00485</t>
  </si>
  <si>
    <t>CAN-HC-00486</t>
  </si>
  <si>
    <t>CAN-HC-00487</t>
  </si>
  <si>
    <t>CAN-HC-00488</t>
  </si>
  <si>
    <t>CAN-HC-00489</t>
  </si>
  <si>
    <t>CAN-HC-00490</t>
  </si>
  <si>
    <t>Prefer not to disclose</t>
  </si>
  <si>
    <t>CAN-HC-00491</t>
  </si>
  <si>
    <t>CAN-HC-00492</t>
  </si>
  <si>
    <t>CAN-HC-00493</t>
  </si>
  <si>
    <t>CAN-HC-00494</t>
  </si>
  <si>
    <t>CAN-HC-00495</t>
  </si>
  <si>
    <t>CAN-HC-00496</t>
  </si>
  <si>
    <t>CAN-HC-00497</t>
  </si>
  <si>
    <t>CAN-HC-00498</t>
  </si>
  <si>
    <t>CAN-HC-00499</t>
  </si>
  <si>
    <t>CAN-HC-00500</t>
  </si>
  <si>
    <t>CAN-HC-00501</t>
  </si>
  <si>
    <t>CAN-HC-00502</t>
  </si>
  <si>
    <t>CAN-HC-00503</t>
  </si>
  <si>
    <t>CAN-HC-00504</t>
  </si>
  <si>
    <t>CAN-HC-00505</t>
  </si>
  <si>
    <t>CAN-HC-00506</t>
  </si>
  <si>
    <t>CAN-HC-00507</t>
  </si>
  <si>
    <t>CAN-HC-00508</t>
  </si>
  <si>
    <t>CAN-HC-00509</t>
  </si>
  <si>
    <t>CAN-HC-00510</t>
  </si>
  <si>
    <t>CAN-HC-00511</t>
  </si>
  <si>
    <t>CAN-HC-00512</t>
  </si>
  <si>
    <t>CAN-HC-00513</t>
  </si>
  <si>
    <t>CAN-HC-00514</t>
  </si>
  <si>
    <t>CAN-HC-00515</t>
  </si>
  <si>
    <t>CAN-HC-00516</t>
  </si>
  <si>
    <t>CAN-HC-00517</t>
  </si>
  <si>
    <t>CAN-HC-00518</t>
  </si>
  <si>
    <t>CAN-HC-00519</t>
  </si>
  <si>
    <t>CAN-HC-00520</t>
  </si>
  <si>
    <t>CAN-HC-00521</t>
  </si>
  <si>
    <t>CAN-HC-00522</t>
  </si>
  <si>
    <t>CAN-HC-00523</t>
  </si>
  <si>
    <t>CAN-HC-00524</t>
  </si>
  <si>
    <t>CAN-HC-00525</t>
  </si>
  <si>
    <t>CAN-HC-00526</t>
  </si>
  <si>
    <t>CAN-HC-00527</t>
  </si>
  <si>
    <t>CAN-HC-00528</t>
  </si>
  <si>
    <t>CAN-HC-00529</t>
  </si>
  <si>
    <t>CAN-HC-00530</t>
  </si>
  <si>
    <t>CAN-HC-00531</t>
  </si>
  <si>
    <t>CAN-HC-00532</t>
  </si>
  <si>
    <t>CAN-HC-00533</t>
  </si>
  <si>
    <t>CAN-HC-00534</t>
  </si>
  <si>
    <t>CAN-HC-00535</t>
  </si>
  <si>
    <t>CAN-HC-00536</t>
  </si>
  <si>
    <t>CAN-HC-00537</t>
  </si>
  <si>
    <t>CAN-HC-00538</t>
  </si>
  <si>
    <t>CAN-HC-00539</t>
  </si>
  <si>
    <t>CAN-HC-00540</t>
  </si>
  <si>
    <t>CAN-HC-00541</t>
  </si>
  <si>
    <t>CAN-HC-00542</t>
  </si>
  <si>
    <t>CAN-HC-00543</t>
  </si>
  <si>
    <t>CAN-HC-00544</t>
  </si>
  <si>
    <t>CAN-HC-00545</t>
  </si>
  <si>
    <t>CAN-HC-00546</t>
  </si>
  <si>
    <t>CAN-HC-00547</t>
  </si>
  <si>
    <t>CAN-HC-00548</t>
  </si>
  <si>
    <t>CAN-HC-00549</t>
  </si>
  <si>
    <t>CAN-HC-00550</t>
  </si>
  <si>
    <t>CAN-HC-00551</t>
  </si>
  <si>
    <t>CAN-HC-00552</t>
  </si>
  <si>
    <t>CAN-HC-00553</t>
  </si>
  <si>
    <t>CAN-HC-00554</t>
  </si>
  <si>
    <t>CAN-HC-00555</t>
  </si>
  <si>
    <t>CAN-HC-00556</t>
  </si>
  <si>
    <t>CAN-HC-00557</t>
  </si>
  <si>
    <t>CAN-HC-00558</t>
  </si>
  <si>
    <t>CAN-HC-00559</t>
  </si>
  <si>
    <t>CAN-HC-00560</t>
  </si>
  <si>
    <t>CAN-HC-00561</t>
  </si>
  <si>
    <t>CAN-HC-00562</t>
  </si>
  <si>
    <t>CAN-HC-00563</t>
  </si>
  <si>
    <t>CAN-HC-00564</t>
  </si>
  <si>
    <t>CAN-HC-00565</t>
  </si>
  <si>
    <t>CAN-HC-00566</t>
  </si>
  <si>
    <t>CAN-HC-00567</t>
  </si>
  <si>
    <t>CAN-HC-00568</t>
  </si>
  <si>
    <t>CAN-HC-00569</t>
  </si>
  <si>
    <t>CAN-HC-00570</t>
  </si>
  <si>
    <t>CAN-HC-00571</t>
  </si>
  <si>
    <t>CAN-HC-00572</t>
  </si>
  <si>
    <t>CAN-HC-00573</t>
  </si>
  <si>
    <t>CAN-HC-00574</t>
  </si>
  <si>
    <t>CAN-HC-00575</t>
  </si>
  <si>
    <t>CAN-HC-00576</t>
  </si>
  <si>
    <t>CAN-HC-00577</t>
  </si>
  <si>
    <t>CAN-HC-00578</t>
  </si>
  <si>
    <t>CAN-HC-00579</t>
  </si>
  <si>
    <t>CAN-HC-00580</t>
  </si>
  <si>
    <t>CAN-HC-00581</t>
  </si>
  <si>
    <t>CAN-HC-00582</t>
  </si>
  <si>
    <t>CAN-HC-00583</t>
  </si>
  <si>
    <t>CAN-HC-00584</t>
  </si>
  <si>
    <t>CAN-HC-00585</t>
  </si>
  <si>
    <t>CAN-HC-00586</t>
  </si>
  <si>
    <t>CAN-HC-00587</t>
  </si>
  <si>
    <t>CAN-HC-00588</t>
  </si>
  <si>
    <t>CAN-HC-00589</t>
  </si>
  <si>
    <t>CAN-HC-00590</t>
  </si>
  <si>
    <t>CAN-HC-00591</t>
  </si>
  <si>
    <t>CAN-HC-00592</t>
  </si>
  <si>
    <t>CAN-HC-00593</t>
  </si>
  <si>
    <t>CAN-HC-00594</t>
  </si>
  <si>
    <t>CAN-HC-00595</t>
  </si>
  <si>
    <t>CAN-HC-00596</t>
  </si>
  <si>
    <t>CAN-HC-00597</t>
  </si>
  <si>
    <t>CAN-HC-00598</t>
  </si>
  <si>
    <t>CAN-HC-00599</t>
  </si>
  <si>
    <t>CAN-HC-00600</t>
  </si>
  <si>
    <t>CAN-HC-00601</t>
  </si>
  <si>
    <t>CAN-HC-00602</t>
  </si>
  <si>
    <t>CAN-HC-00603</t>
  </si>
  <si>
    <t>CAN-HC-00604</t>
  </si>
  <si>
    <t>CAN-HC-00605</t>
  </si>
  <si>
    <t>CAN-HC-00606</t>
  </si>
  <si>
    <t>CAN-HC-00607</t>
  </si>
  <si>
    <t>CAN-HC-00608</t>
  </si>
  <si>
    <t>CAN-HC-00609</t>
  </si>
  <si>
    <t>CAN-HC-00610</t>
  </si>
  <si>
    <t>CAN-HC-00611</t>
  </si>
  <si>
    <t>CAN-HC-00612</t>
  </si>
  <si>
    <t>CAN-HC-00613</t>
  </si>
  <si>
    <t>CAN-HC-00614</t>
  </si>
  <si>
    <t>CAN-HC-00615</t>
  </si>
  <si>
    <t>CAN-HC-00616</t>
  </si>
  <si>
    <t>CAN-HC-00617</t>
  </si>
  <si>
    <t>CAN-HC-00618</t>
  </si>
  <si>
    <t>CAN-HC-00619</t>
  </si>
  <si>
    <t>CAN-HC-00620</t>
  </si>
  <si>
    <t>CAN-HC-00621</t>
  </si>
  <si>
    <t>CAN-HC-00622</t>
  </si>
  <si>
    <t>CAN-HC-00623</t>
  </si>
  <si>
    <t>CAN-HC-00624</t>
  </si>
  <si>
    <t>CAN-HC-00625</t>
  </si>
  <si>
    <t>CAN-HC-00626</t>
  </si>
  <si>
    <t>CAN-HC-00627</t>
  </si>
  <si>
    <t>CAN-HC-00628</t>
  </si>
  <si>
    <t>CAN-HC-00629</t>
  </si>
  <si>
    <t>CAN-HC-00630</t>
  </si>
  <si>
    <t>CAN-HC-00631</t>
  </si>
  <si>
    <t>CAN-HC-00632</t>
  </si>
  <si>
    <t>CAN-HC-00633</t>
  </si>
  <si>
    <t>CAN-HC-00634</t>
  </si>
  <si>
    <t>CAN-HC-00635</t>
  </si>
  <si>
    <t>CAN-HC-00636</t>
  </si>
  <si>
    <t>CAN-HC-00637</t>
  </si>
  <si>
    <t>CAN-HC-00638</t>
  </si>
  <si>
    <t>CAN-HC-00639</t>
  </si>
  <si>
    <t>CAN-HC-00640</t>
  </si>
  <si>
    <t>CAN-HC-00641</t>
  </si>
  <si>
    <t>CAN-HC-00642</t>
  </si>
  <si>
    <t>CAN-HC-00643</t>
  </si>
  <si>
    <t>CAN-HC-00644</t>
  </si>
  <si>
    <t>CAN-HC-00645</t>
  </si>
  <si>
    <t>CAN-HC-00646</t>
  </si>
  <si>
    <t>CAN-HC-00647</t>
  </si>
  <si>
    <t>CAN-HC-00648</t>
  </si>
  <si>
    <t>CAN-HC-00649</t>
  </si>
  <si>
    <t>CAN-HC-00650</t>
  </si>
  <si>
    <t>CAN-HC-00651</t>
  </si>
  <si>
    <t>CAN-HC-00652</t>
  </si>
  <si>
    <t>CAN-HC-00653</t>
  </si>
  <si>
    <t>CAN-HC-00654</t>
  </si>
  <si>
    <t>CAN-HC-00655</t>
  </si>
  <si>
    <t>CAN-HC-00656</t>
  </si>
  <si>
    <t>CAN-HC-00657</t>
  </si>
  <si>
    <t>CAN-HC-00658</t>
  </si>
  <si>
    <t>CAN-HC-00659</t>
  </si>
  <si>
    <t>CAN-HC-00660</t>
  </si>
  <si>
    <t>CAN-HC-00661</t>
  </si>
  <si>
    <t>CAN-HC-00662</t>
  </si>
  <si>
    <t>CAN-HC-00663</t>
  </si>
  <si>
    <t>CAN-HC-00664</t>
  </si>
  <si>
    <t>CAN-HC-00665</t>
  </si>
  <si>
    <t>CAN-HC-00666</t>
  </si>
  <si>
    <t>CAN-HC-00667</t>
  </si>
  <si>
    <t>CAN-HC-00668</t>
  </si>
  <si>
    <t>CAN-HC-00669</t>
  </si>
  <si>
    <t>CAN-HC-00670</t>
  </si>
  <si>
    <t>CAN-HC-00671</t>
  </si>
  <si>
    <t>CAN-HC-00672</t>
  </si>
  <si>
    <t>CAN-HC-00673</t>
  </si>
  <si>
    <t>CAN-HC-00674</t>
  </si>
  <si>
    <t>CAN-HC-00675</t>
  </si>
  <si>
    <t>CAN-HC-00676</t>
  </si>
  <si>
    <t>CAN-HC-00677</t>
  </si>
  <si>
    <t>CAN-HC-00678</t>
  </si>
  <si>
    <t>CAN-HC-00679</t>
  </si>
  <si>
    <t>CAN-HC-00680</t>
  </si>
  <si>
    <t>CAN-HC-00681</t>
  </si>
  <si>
    <t>CAN-HC-00682</t>
  </si>
  <si>
    <t>CAN-HC-00683</t>
  </si>
  <si>
    <t>CAN-HC-00684</t>
  </si>
  <si>
    <t>CAN-HC-00685</t>
  </si>
  <si>
    <t>CAN-HC-00686</t>
  </si>
  <si>
    <t>CAN-HC-00687</t>
  </si>
  <si>
    <t>CAN-HC-00688</t>
  </si>
  <si>
    <t>CAN-HC-00689</t>
  </si>
  <si>
    <t>CAN-HC-00690</t>
  </si>
  <si>
    <t>CAN-HC-00691</t>
  </si>
  <si>
    <t>CAN-HC-00692</t>
  </si>
  <si>
    <t>CAN-HC-00693</t>
  </si>
  <si>
    <t>CAN-HC-00694</t>
  </si>
  <si>
    <t>CAN-HC-00695</t>
  </si>
  <si>
    <t>CAN-HC-00696</t>
  </si>
  <si>
    <t>CAN-HC-00697</t>
  </si>
  <si>
    <t>CAN-HC-00698</t>
  </si>
  <si>
    <t>CAN-HC-00699</t>
  </si>
  <si>
    <t>CAN-HC-00700</t>
  </si>
  <si>
    <t>CAN-HC-00701</t>
  </si>
  <si>
    <t>CAN-HC-00702</t>
  </si>
  <si>
    <t>CAN-HC-00703</t>
  </si>
  <si>
    <t>CAN-HC-00704</t>
  </si>
  <si>
    <t>CAN-HC-00705</t>
  </si>
  <si>
    <t>CAN-HC-00706</t>
  </si>
  <si>
    <t>CAN-HC-00707</t>
  </si>
  <si>
    <t>CAN-HC-00708</t>
  </si>
  <si>
    <t>CAN-HC-00709</t>
  </si>
  <si>
    <t>CAN-HC-00710</t>
  </si>
  <si>
    <t>CAN-HC-00711</t>
  </si>
  <si>
    <t>CAN-HC-00712</t>
  </si>
  <si>
    <t>CAN-HC-00713</t>
  </si>
  <si>
    <t>CAN-HC-00714</t>
  </si>
  <si>
    <t>CAN-HC-00715</t>
  </si>
  <si>
    <t>CAN-HC-00716</t>
  </si>
  <si>
    <t>CAN-HC-00717</t>
  </si>
  <si>
    <t>CAN-HC-00718</t>
  </si>
  <si>
    <t>CAN-HC-00719</t>
  </si>
  <si>
    <t>CAN-HC-00720</t>
  </si>
  <si>
    <t>CAN-HC-00721</t>
  </si>
  <si>
    <t>CAN-HC-00722</t>
  </si>
  <si>
    <t>CAN-HC-00723</t>
  </si>
  <si>
    <t>CAN-HC-00724</t>
  </si>
  <si>
    <t>CAN-HC-00725</t>
  </si>
  <si>
    <t>CAN-HC-00726</t>
  </si>
  <si>
    <t>CAN-HC-00727</t>
  </si>
  <si>
    <t>CAN-HC-00728</t>
  </si>
  <si>
    <t>CAN-HC-00729</t>
  </si>
  <si>
    <t>CAN-HC-00730</t>
  </si>
  <si>
    <t>CAN-HC-00731</t>
  </si>
  <si>
    <t>CAN-HC-00732</t>
  </si>
  <si>
    <t>CAN-HC-00733</t>
  </si>
  <si>
    <t>CAN-HC-00734</t>
  </si>
  <si>
    <t>CAN-HC-00735</t>
  </si>
  <si>
    <t>CAN-HC-00736</t>
  </si>
  <si>
    <t>CAN-HC-00737</t>
  </si>
  <si>
    <t>CAN-HC-00738</t>
  </si>
  <si>
    <t>CAN-HC-00739</t>
  </si>
  <si>
    <t>CAN-HC-00740</t>
  </si>
  <si>
    <t>CAN-HC-00741</t>
  </si>
  <si>
    <t>CAN-HC-00742</t>
  </si>
  <si>
    <t>CAN-HC-00743</t>
  </si>
  <si>
    <t>CAN-HC-00744</t>
  </si>
  <si>
    <t>CAN-HC-00745</t>
  </si>
  <si>
    <t>CAN-HC-00746</t>
  </si>
  <si>
    <t>CAN-HC-00747</t>
  </si>
  <si>
    <t>CAN-HC-00748</t>
  </si>
  <si>
    <t>CAN-HC-00749</t>
  </si>
  <si>
    <t>CAN-HC-00750</t>
  </si>
  <si>
    <t>CAN-HC-00751</t>
  </si>
  <si>
    <t>CAN-HC-00752</t>
  </si>
  <si>
    <t>CAN-HC-00753</t>
  </si>
  <si>
    <t>CAN-HC-00754</t>
  </si>
  <si>
    <t>CAN-HC-00755</t>
  </si>
  <si>
    <t>CAN-HC-00756</t>
  </si>
  <si>
    <t>CAN-HC-00757</t>
  </si>
  <si>
    <t>CAN-HC-00758</t>
  </si>
  <si>
    <t>CAN-HC-00759</t>
  </si>
  <si>
    <t>CAN-HC-00760</t>
  </si>
  <si>
    <t>CAN-HC-00761</t>
  </si>
  <si>
    <t>CAN-HC-00762</t>
  </si>
  <si>
    <t>CAN-HC-00763</t>
  </si>
  <si>
    <t>CAN-HC-00764</t>
  </si>
  <si>
    <t>CAN-HC-00765</t>
  </si>
  <si>
    <t>CAN-HC-00766</t>
  </si>
  <si>
    <t>CAN-HC-00767</t>
  </si>
  <si>
    <t>CAN-HC-00768</t>
  </si>
  <si>
    <t>CAN-HC-00769</t>
  </si>
  <si>
    <t>CAN-HC-00770</t>
  </si>
  <si>
    <t>CAN-HC-00771</t>
  </si>
  <si>
    <t>CAN-HC-00772</t>
  </si>
  <si>
    <t>CAN-HC-00773</t>
  </si>
  <si>
    <t>CAN-HC-00774</t>
  </si>
  <si>
    <t>CAN-HC-00775</t>
  </si>
  <si>
    <t>CAN-HC-00776</t>
  </si>
  <si>
    <t>CAN-HC-00777</t>
  </si>
  <si>
    <t>CAN-HC-00778</t>
  </si>
  <si>
    <t>CAN-HC-00779</t>
  </si>
  <si>
    <t>CAN-HC-00780</t>
  </si>
  <si>
    <t>CAN-HC-00781</t>
  </si>
  <si>
    <t>CAN-HC-00782</t>
  </si>
  <si>
    <t>CAN-HC-00783</t>
  </si>
  <si>
    <t>CAN-HC-00784</t>
  </si>
  <si>
    <t>CAN-HC-00785</t>
  </si>
  <si>
    <t>CAN-HC-00786</t>
  </si>
  <si>
    <t>CAN-HC-00787</t>
  </si>
  <si>
    <t>CAN-HC-00788</t>
  </si>
  <si>
    <t>CAN-HC-00789</t>
  </si>
  <si>
    <t>CAN-HC-00790</t>
  </si>
  <si>
    <t>CAN-HC-00791</t>
  </si>
  <si>
    <t>CAN-HC-00792</t>
  </si>
  <si>
    <t>CAN-HC-00793</t>
  </si>
  <si>
    <t>CAN-HC-00794</t>
  </si>
  <si>
    <t>CAN-HC-00795</t>
  </si>
  <si>
    <t>CAN-HC-00796</t>
  </si>
  <si>
    <t>CAN-HC-00797</t>
  </si>
  <si>
    <t>CAN-HC-00798</t>
  </si>
  <si>
    <t>CAN-HC-00799</t>
  </si>
  <si>
    <t>CAN-HC-00800</t>
  </si>
  <si>
    <t>CAN-HC-00801</t>
  </si>
  <si>
    <t>CAN-HC-00802</t>
  </si>
  <si>
    <t>CAN-HC-00803</t>
  </si>
  <si>
    <t>CAN-HC-00804</t>
  </si>
  <si>
    <t>CAN-HC-00805</t>
  </si>
  <si>
    <t>CAN-HC-00806</t>
  </si>
  <si>
    <t>CAN-HC-00807</t>
  </si>
  <si>
    <t>CAN-HC-00808</t>
  </si>
  <si>
    <t>CAN-HC-00809</t>
  </si>
  <si>
    <t>CAN-HC-00810</t>
  </si>
  <si>
    <t>CAN-HC-00811</t>
  </si>
  <si>
    <t>CAN-HC-00812</t>
  </si>
  <si>
    <t>CAN-HC-00813</t>
  </si>
  <si>
    <t>CAN-HC-00814</t>
  </si>
  <si>
    <t>CAN-HC-00815</t>
  </si>
  <si>
    <t>CAN-HC-00816</t>
  </si>
  <si>
    <t>CAN-HC-00817</t>
  </si>
  <si>
    <t>CAN-HC-00818</t>
  </si>
  <si>
    <t>CAN-HC-00819</t>
  </si>
  <si>
    <t>CAN-HC-00820</t>
  </si>
  <si>
    <t>CAN-HC-00821</t>
  </si>
  <si>
    <t>CAN-HC-00822</t>
  </si>
  <si>
    <t>CAN-HC-00823</t>
  </si>
  <si>
    <t>CAN-HC-00824</t>
  </si>
  <si>
    <t>CAN-HC-00825</t>
  </si>
  <si>
    <t>CAN-HC-00826</t>
  </si>
  <si>
    <t>CAN-HC-00827</t>
  </si>
  <si>
    <t>CAN-HC-00828</t>
  </si>
  <si>
    <t>CAN-HC-00829</t>
  </si>
  <si>
    <t>CAN-HC-00830</t>
  </si>
  <si>
    <t>CAN-HC-00831</t>
  </si>
  <si>
    <t>CAN-HC-00832</t>
  </si>
  <si>
    <t>CAN-HC-00833</t>
  </si>
  <si>
    <t>CAN-HC-00834</t>
  </si>
  <si>
    <t>CAN-HC-00835</t>
  </si>
  <si>
    <t>CAN-HC-00836</t>
  </si>
  <si>
    <t>CAN-HC-00837</t>
  </si>
  <si>
    <t>CAN-HC-00838</t>
  </si>
  <si>
    <t>CAN-HC-00839</t>
  </si>
  <si>
    <t>CAN-HC-00840</t>
  </si>
  <si>
    <t>CAN-HC-00841</t>
  </si>
  <si>
    <t>CAN-HC-00842</t>
  </si>
  <si>
    <t>CAN-HC-00843</t>
  </si>
  <si>
    <t>CAN-HC-00844</t>
  </si>
  <si>
    <t>CAN-HC-00845</t>
  </si>
  <si>
    <t>CAN-HC-00846</t>
  </si>
  <si>
    <t>CAN-HC-00847</t>
  </si>
  <si>
    <t>CAN-HC-00848</t>
  </si>
  <si>
    <t>CAN-HC-00849</t>
  </si>
  <si>
    <t>CAN-HC-00850</t>
  </si>
  <si>
    <t>CAN-HC-00851</t>
  </si>
  <si>
    <t>CAN-HC-00852</t>
  </si>
  <si>
    <t>CAN-HC-00853</t>
  </si>
  <si>
    <t>CAN-HC-00854</t>
  </si>
  <si>
    <t>CAN-HC-00855</t>
  </si>
  <si>
    <t>CAN-HC-00856</t>
  </si>
  <si>
    <t>CAN-HC-00857</t>
  </si>
  <si>
    <t>CAN-HC-00858</t>
  </si>
  <si>
    <t>CAN-HC-00859</t>
  </si>
  <si>
    <t>CAN-HC-00860</t>
  </si>
  <si>
    <t>CAN-HC-00861</t>
  </si>
  <si>
    <t>CAN-HC-00862</t>
  </si>
  <si>
    <t>CAN-HC-00863</t>
  </si>
  <si>
    <t>CAN-HC-00864</t>
  </si>
  <si>
    <t>CAN-HC-00865</t>
  </si>
  <si>
    <t>CAN-HC-00866</t>
  </si>
  <si>
    <t>CAN-HC-00867</t>
  </si>
  <si>
    <t>CAN-HC-00868</t>
  </si>
  <si>
    <t>CAN-HC-00869</t>
  </si>
  <si>
    <t>CAN-HC-00870</t>
  </si>
  <si>
    <t>CAN-HC-00871</t>
  </si>
  <si>
    <t>CAN-HC-00872</t>
  </si>
  <si>
    <t>CAN-HC-00873</t>
  </si>
  <si>
    <t>CAN-HC-00874</t>
  </si>
  <si>
    <t>CAN-HC-00875</t>
  </si>
  <si>
    <t>CAN-HC-00876</t>
  </si>
  <si>
    <t>CAN-HC-00877</t>
  </si>
  <si>
    <t>CAN-HC-00878</t>
  </si>
  <si>
    <t>CAN-HC-00879</t>
  </si>
  <si>
    <t>CAN-HC-00880</t>
  </si>
  <si>
    <t>CAN-HC-00881</t>
  </si>
  <si>
    <t>CAN-HC-00882</t>
  </si>
  <si>
    <t>CAN-HC-00883</t>
  </si>
  <si>
    <t>CAN-HC-00884</t>
  </si>
  <si>
    <t>CAN-HC-00885</t>
  </si>
  <si>
    <t>CAN-HC-00886</t>
  </si>
  <si>
    <t>CAN-HC-00887</t>
  </si>
  <si>
    <t>CAN-HC-00888</t>
  </si>
  <si>
    <t>CAN-HC-00889</t>
  </si>
  <si>
    <t>CAN-HC-00890</t>
  </si>
  <si>
    <t>CAN-HC-00891</t>
  </si>
  <si>
    <t>CAN-HC-00892</t>
  </si>
  <si>
    <t>CAN-HC-00893</t>
  </si>
  <si>
    <t>CAN-HC-00894</t>
  </si>
  <si>
    <t>CAN-HC-00895</t>
  </si>
  <si>
    <t>CAN-HC-00896</t>
  </si>
  <si>
    <t>CAN-HC-00897</t>
  </si>
  <si>
    <t>CAN-HC-00898</t>
  </si>
  <si>
    <t>CAN-HC-00899</t>
  </si>
  <si>
    <t>CAN-HC-00900</t>
  </si>
  <si>
    <t>CAN-HC-00901</t>
  </si>
  <si>
    <t>CAN-HC-00902</t>
  </si>
  <si>
    <t>CAN-HC-00903</t>
  </si>
  <si>
    <t>CAN-HC-00904</t>
  </si>
  <si>
    <t>CAN-HC-00905</t>
  </si>
  <si>
    <t>CAN-HC-00906</t>
  </si>
  <si>
    <t>CAN-HC-00907</t>
  </si>
  <si>
    <t>CAN-HC-00908</t>
  </si>
  <si>
    <t>CAN-HC-00909</t>
  </si>
  <si>
    <t>CAN-HC-00910</t>
  </si>
  <si>
    <t>CAN-HC-00911</t>
  </si>
  <si>
    <t>CAN-HC-00912</t>
  </si>
  <si>
    <t>CAN-HC-00913</t>
  </si>
  <si>
    <t>CAN-HC-00914</t>
  </si>
  <si>
    <t>CAN-HC-00915</t>
  </si>
  <si>
    <t>CAN-HC-00916</t>
  </si>
  <si>
    <t>CAN-HC-00917</t>
  </si>
  <si>
    <t>CAN-HC-00918</t>
  </si>
  <si>
    <t>CAN-HC-00919</t>
  </si>
  <si>
    <t>CAN-HC-00920</t>
  </si>
  <si>
    <t>CAN-HC-00921</t>
  </si>
  <si>
    <t>CAN-HC-00922</t>
  </si>
  <si>
    <t>CAN-HC-00923</t>
  </si>
  <si>
    <t>CAN-HC-00924</t>
  </si>
  <si>
    <t>CAN-HC-00925</t>
  </si>
  <si>
    <t>CAN-HC-00926</t>
  </si>
  <si>
    <t>CAN-HC-00927</t>
  </si>
  <si>
    <t>CAN-HC-00928</t>
  </si>
  <si>
    <t>CAN-HC-00929</t>
  </si>
  <si>
    <t>CAN-HC-00930</t>
  </si>
  <si>
    <t>CAN-HC-00931</t>
  </si>
  <si>
    <t>CAN-HC-00932</t>
  </si>
  <si>
    <t>CAN-HC-00933</t>
  </si>
  <si>
    <t>CAN-HC-00934</t>
  </si>
  <si>
    <t>CAN-HC-00935</t>
  </si>
  <si>
    <t>CAN-HC-00936</t>
  </si>
  <si>
    <t>CAN-HC-00937</t>
  </si>
  <si>
    <t>CAN-HC-00938</t>
  </si>
  <si>
    <t>CAN-HC-00939</t>
  </si>
  <si>
    <t>CAN-HC-00940</t>
  </si>
  <si>
    <t>CAN-HC-00941</t>
  </si>
  <si>
    <t>CAN-HC-00942</t>
  </si>
  <si>
    <t>CAN-HC-00943</t>
  </si>
  <si>
    <t>CAN-HC-00944</t>
  </si>
  <si>
    <t>CAN-HC-00945</t>
  </si>
  <si>
    <t>CAN-HC-00946</t>
  </si>
  <si>
    <t>CAN-HC-00947</t>
  </si>
  <si>
    <t>CAN-HC-00948</t>
  </si>
  <si>
    <t>CAN-HC-00949</t>
  </si>
  <si>
    <t>CAN-HC-00950</t>
  </si>
  <si>
    <t>CAN-HC-00951</t>
  </si>
  <si>
    <t>CAN-HC-00952</t>
  </si>
  <si>
    <t>CAN-HC-00953</t>
  </si>
  <si>
    <t>CAN-HC-00954</t>
  </si>
  <si>
    <t>CAN-HC-00955</t>
  </si>
  <si>
    <t>CAN-HC-00956</t>
  </si>
  <si>
    <t>CAN-HC-00957</t>
  </si>
  <si>
    <t>CAN-HC-00958</t>
  </si>
  <si>
    <t>CAN-HC-00959</t>
  </si>
  <si>
    <t>CAN-HC-00960</t>
  </si>
  <si>
    <t>CAN-HC-00961</t>
  </si>
  <si>
    <t>CAN-HC-00962</t>
  </si>
  <si>
    <t>CAN-HC-00963</t>
  </si>
  <si>
    <t>CAN-HC-00964</t>
  </si>
  <si>
    <t>CAN-HC-00965</t>
  </si>
  <si>
    <t>CAN-HC-00966</t>
  </si>
  <si>
    <t>CAN-HC-00967</t>
  </si>
  <si>
    <t>CAN-HC-00968</t>
  </si>
  <si>
    <t>CAN-HC-00969</t>
  </si>
  <si>
    <t>CAN-HC-00970</t>
  </si>
  <si>
    <t>CAN-HC-00971</t>
  </si>
  <si>
    <t>CAN-HC-00972</t>
  </si>
  <si>
    <t>CAN-HC-00973</t>
  </si>
  <si>
    <t>CAN-HC-00974</t>
  </si>
  <si>
    <t>CAN-HC-00975</t>
  </si>
  <si>
    <t>CAN-HC-00976</t>
  </si>
  <si>
    <t>CAN-HC-00977</t>
  </si>
  <si>
    <t>CAN-HC-00978</t>
  </si>
  <si>
    <t>CAN-HC-00979</t>
  </si>
  <si>
    <t>CAN-HC-00980</t>
  </si>
  <si>
    <t>CAN-HC-00981</t>
  </si>
  <si>
    <t>CAN-HC-00982</t>
  </si>
  <si>
    <t>CAN-HC-00983</t>
  </si>
  <si>
    <t>CAN-HC-00984</t>
  </si>
  <si>
    <t>CAN-HC-00985</t>
  </si>
  <si>
    <t>CAN-HC-00986</t>
  </si>
  <si>
    <t>CAN-HC-00987</t>
  </si>
  <si>
    <t>CAN-HC-00988</t>
  </si>
  <si>
    <t>CAN-HC-00989</t>
  </si>
  <si>
    <t>CAN-HC-00990</t>
  </si>
  <si>
    <t>CAN-HC-00991</t>
  </si>
  <si>
    <t>CAN-HC-00992</t>
  </si>
  <si>
    <t>CAN-HC-00993</t>
  </si>
  <si>
    <t>CAN-HC-00994</t>
  </si>
  <si>
    <t>CAN-HC-00995</t>
  </si>
  <si>
    <t>CAN-HC-00996</t>
  </si>
  <si>
    <t>CAN-HC-00997</t>
  </si>
  <si>
    <t>CAN-HC-00998</t>
  </si>
  <si>
    <t>CAN-HC-00999</t>
  </si>
  <si>
    <t>CAN-HC-01000</t>
  </si>
  <si>
    <t>CAN-HC-01001</t>
  </si>
  <si>
    <t>CAN-HC-01002</t>
  </si>
  <si>
    <t>CAN-HC-01003</t>
  </si>
  <si>
    <t>CAN-HC-01004</t>
  </si>
  <si>
    <t>CAN-HC-01005</t>
  </si>
  <si>
    <t>CAN-HC-01006</t>
  </si>
  <si>
    <t>CAN-HC-01007</t>
  </si>
  <si>
    <t>CAN-HC-01008</t>
  </si>
  <si>
    <t>CAN-HC-01009</t>
  </si>
  <si>
    <t>CAN-HC-01010</t>
  </si>
  <si>
    <t>CAN-HC-01011</t>
  </si>
  <si>
    <t>CAN-HC-01012</t>
  </si>
  <si>
    <t>CAN-HC-01013</t>
  </si>
  <si>
    <t>CAN-HC-01014</t>
  </si>
  <si>
    <t>CAN-HC-01015</t>
  </si>
  <si>
    <t>CAN-HC-01016</t>
  </si>
  <si>
    <t>CAN-HC-01017</t>
  </si>
  <si>
    <t>CAN-HC-01018</t>
  </si>
  <si>
    <t>CAN-HC-01019</t>
  </si>
  <si>
    <t>CAN-HC-01020</t>
  </si>
  <si>
    <t>CAN-HC-01021</t>
  </si>
  <si>
    <t>CAN-HC-01022</t>
  </si>
  <si>
    <t>CAN-HC-01023</t>
  </si>
  <si>
    <t>CAN-HC-01024</t>
  </si>
  <si>
    <t>CAN-HC-01025</t>
  </si>
  <si>
    <t>CAN-HC-01026</t>
  </si>
  <si>
    <t>CAN-HC-01027</t>
  </si>
  <si>
    <t>CAN-HC-01028</t>
  </si>
  <si>
    <t>CAN-HC-01029</t>
  </si>
  <si>
    <t>CAN-HC-01030</t>
  </si>
  <si>
    <t>CAN-HC-01031</t>
  </si>
  <si>
    <t>CAN-HC-01032</t>
  </si>
  <si>
    <t>CAN-HC-01033</t>
  </si>
  <si>
    <t>CAN-HC-01034</t>
  </si>
  <si>
    <t>CAN-HC-01035</t>
  </si>
  <si>
    <t>CAN-HC-01036</t>
  </si>
  <si>
    <t>CAN-HC-01037</t>
  </si>
  <si>
    <t>CAN-HC-01038</t>
  </si>
  <si>
    <t>CAN-HC-01039</t>
  </si>
  <si>
    <t>CAN-HC-01040</t>
  </si>
  <si>
    <t>CAN-HC-01041</t>
  </si>
  <si>
    <t>CAN-HC-01042</t>
  </si>
  <si>
    <t>CAN-HC-01043</t>
  </si>
  <si>
    <t>CAN-HC-01044</t>
  </si>
  <si>
    <t>CAN-HC-01045</t>
  </si>
  <si>
    <t>CAN-HC-01046</t>
  </si>
  <si>
    <t>CAN-HC-01047</t>
  </si>
  <si>
    <t>CAN-HC-01048</t>
  </si>
  <si>
    <t>CAN-HC-01049</t>
  </si>
  <si>
    <t>CAN-HC-01050</t>
  </si>
  <si>
    <t>CAN-HC-01051</t>
  </si>
  <si>
    <t>CAN-HC-01052</t>
  </si>
  <si>
    <t>CAN-HC-01053</t>
  </si>
  <si>
    <t>CAN-HC-01054</t>
  </si>
  <si>
    <t>CAN-HC-01055</t>
  </si>
  <si>
    <t>CAN-HC-01056</t>
  </si>
  <si>
    <t>CAN-HC-01057</t>
  </si>
  <si>
    <t>CAN-HC-01058</t>
  </si>
  <si>
    <t>CAN-HC-01059</t>
  </si>
  <si>
    <t>CAN-HC-01060</t>
  </si>
  <si>
    <t>CAN-HC-01061</t>
  </si>
  <si>
    <t>CAN-HC-01062</t>
  </si>
  <si>
    <t>CAN-HC-01063</t>
  </si>
  <si>
    <t>CAN-HC-01064</t>
  </si>
  <si>
    <t>CAN-HC-01065</t>
  </si>
  <si>
    <t>CAN-HC-01066</t>
  </si>
  <si>
    <t>CAN-HC-01067</t>
  </si>
  <si>
    <t>CAN-HC-01068</t>
  </si>
  <si>
    <t>CAN-HC-01069</t>
  </si>
  <si>
    <t>CAN-HC-01070</t>
  </si>
  <si>
    <t>CAN-HC-01071</t>
  </si>
  <si>
    <t>CAN-HC-01072</t>
  </si>
  <si>
    <t>CAN-HC-01073</t>
  </si>
  <si>
    <t>CAN-HC-01074</t>
  </si>
  <si>
    <t>CAN-HC-01075</t>
  </si>
  <si>
    <t>CAN-HC-01076</t>
  </si>
  <si>
    <t>CAN-HC-01077</t>
  </si>
  <si>
    <t>CAN-HC-01078</t>
  </si>
  <si>
    <t>CAN-HC-01079</t>
  </si>
  <si>
    <t>CAN-HC-01080</t>
  </si>
  <si>
    <t>CAN-HC-01081</t>
  </si>
  <si>
    <t>CAN-HC-01082</t>
  </si>
  <si>
    <t>CAN-HC-01083</t>
  </si>
  <si>
    <t>CAN-HC-01084</t>
  </si>
  <si>
    <t>CAN-HC-01085</t>
  </si>
  <si>
    <t>CAN-HC-01086</t>
  </si>
  <si>
    <t>CAN-HC-01087</t>
  </si>
  <si>
    <t>CAN-HC-01088</t>
  </si>
  <si>
    <t>CAN-HC-01089</t>
  </si>
  <si>
    <t>CAN-HC-01090</t>
  </si>
  <si>
    <t>CAN-HC-01091</t>
  </si>
  <si>
    <t>CAN-HC-01092</t>
  </si>
  <si>
    <t>CAN-HC-01093</t>
  </si>
  <si>
    <t>CAN-HC-01094</t>
  </si>
  <si>
    <t>CAN-HC-01095</t>
  </si>
  <si>
    <t>CAN-HC-01096</t>
  </si>
  <si>
    <t>CAN-HC-01097</t>
  </si>
  <si>
    <t>CAN-HC-01098</t>
  </si>
  <si>
    <t>CAN-HC-01099</t>
  </si>
  <si>
    <t>CAN-HC-01100</t>
  </si>
  <si>
    <t>CAN-HC-01101</t>
  </si>
  <si>
    <t>CAN-HC-01102</t>
  </si>
  <si>
    <t>CAN-HC-01103</t>
  </si>
  <si>
    <t>CAN-HC-01104</t>
  </si>
  <si>
    <t>CAN-HC-01105</t>
  </si>
  <si>
    <t>CAN-HC-01106</t>
  </si>
  <si>
    <t>CAN-HC-01107</t>
  </si>
  <si>
    <t>CAN-HC-01108</t>
  </si>
  <si>
    <t>CAN-HC-01109</t>
  </si>
  <si>
    <t>CAN-HC-01110</t>
  </si>
  <si>
    <t>CAN-HC-01111</t>
  </si>
  <si>
    <t>CAN-HC-01112</t>
  </si>
  <si>
    <t>CAN-HC-01113</t>
  </si>
  <si>
    <t>CAN-HC-01114</t>
  </si>
  <si>
    <t>CAN-HC-01115</t>
  </si>
  <si>
    <t>CAN-HC-01116</t>
  </si>
  <si>
    <t>CAN-HC-01117</t>
  </si>
  <si>
    <t>CAN-HC-01118</t>
  </si>
  <si>
    <t>CAN-HC-01119</t>
  </si>
  <si>
    <t>CAN-HC-01120</t>
  </si>
  <si>
    <t>CAN-HC-01121</t>
  </si>
  <si>
    <t>CAN-HC-01122</t>
  </si>
  <si>
    <t>CAN-HC-01123</t>
  </si>
  <si>
    <t>CAN-HC-01124</t>
  </si>
  <si>
    <t>CAN-HC-01125</t>
  </si>
  <si>
    <t>CAN-HC-01126</t>
  </si>
  <si>
    <t>CAN-HC-01127</t>
  </si>
  <si>
    <t>CAN-HC-01128</t>
  </si>
  <si>
    <t>CAN-HC-01129</t>
  </si>
  <si>
    <t>CAN-HC-01130</t>
  </si>
  <si>
    <t>CAN-HC-01131</t>
  </si>
  <si>
    <t>CAN-HC-01132</t>
  </si>
  <si>
    <t>CAN-HC-01133</t>
  </si>
  <si>
    <t>CAN-HC-01134</t>
  </si>
  <si>
    <t>CAN-HC-01135</t>
  </si>
  <si>
    <t>CAN-HC-01136</t>
  </si>
  <si>
    <t>CAN-HC-01137</t>
  </si>
  <si>
    <t>CAN-HC-01138</t>
  </si>
  <si>
    <t>CAN-HC-01139</t>
  </si>
  <si>
    <t>CAN-HC-01140</t>
  </si>
  <si>
    <t>CAN-HC-01141</t>
  </si>
  <si>
    <t>CAN-HC-01142</t>
  </si>
  <si>
    <t>CAN-HC-01143</t>
  </si>
  <si>
    <t>CAN-HC-01144</t>
  </si>
  <si>
    <t>CAN-HC-01145</t>
  </si>
  <si>
    <t>CAN-HC-01146</t>
  </si>
  <si>
    <t>CAN-HC-01147</t>
  </si>
  <si>
    <t>CAN-HC-01148</t>
  </si>
  <si>
    <t>CAN-HC-01149</t>
  </si>
  <si>
    <t>CAN-HC-01150</t>
  </si>
  <si>
    <t>CAN-HC-01151</t>
  </si>
  <si>
    <t>CAN-HC-01152</t>
  </si>
  <si>
    <t>CAN-HC-01153</t>
  </si>
  <si>
    <t>CAN-HC-01154</t>
  </si>
  <si>
    <t>CAN-HC-01155</t>
  </si>
  <si>
    <t>CAN-HC-01156</t>
  </si>
  <si>
    <t>CAN-HC-01157</t>
  </si>
  <si>
    <t>CAN-HC-01158</t>
  </si>
  <si>
    <t>CAN-HC-01159</t>
  </si>
  <si>
    <t>CAN-HC-01160</t>
  </si>
  <si>
    <t>CAN-HC-01161</t>
  </si>
  <si>
    <t>CAN-HC-01162</t>
  </si>
  <si>
    <t>CAN-HC-01163</t>
  </si>
  <si>
    <t>CAN-HC-01164</t>
  </si>
  <si>
    <t>CAN-HC-01165</t>
  </si>
  <si>
    <t>CAN-HC-01166</t>
  </si>
  <si>
    <t>CAN-HC-01167</t>
  </si>
  <si>
    <t>CAN-HC-01168</t>
  </si>
  <si>
    <t>CAN-HC-01169</t>
  </si>
  <si>
    <t>CAN-HC-01170</t>
  </si>
  <si>
    <t>CAN-HC-01171</t>
  </si>
  <si>
    <t>CAN-HC-01172</t>
  </si>
  <si>
    <t>CAN-HC-01173</t>
  </si>
  <si>
    <t>CAN-HC-01174</t>
  </si>
  <si>
    <t>CAN-HC-01175</t>
  </si>
  <si>
    <t>CAN-HC-01176</t>
  </si>
  <si>
    <t>CAN-HC-01177</t>
  </si>
  <si>
    <t>CAN-HC-01178</t>
  </si>
  <si>
    <t>CAN-HC-01179</t>
  </si>
  <si>
    <t>CAN-HC-01180</t>
  </si>
  <si>
    <t>CAN-HC-01181</t>
  </si>
  <si>
    <t>CAN-HC-01182</t>
  </si>
  <si>
    <t>CAN-HC-01183</t>
  </si>
  <si>
    <t>CAN-HC-01184</t>
  </si>
  <si>
    <t>CAN-HC-01185</t>
  </si>
  <si>
    <t>CAN-HC-01186</t>
  </si>
  <si>
    <t>CAN-HC-01187</t>
  </si>
  <si>
    <t>CAN-HC-01188</t>
  </si>
  <si>
    <t>CAN-HC-01189</t>
  </si>
  <si>
    <t>CAN-HC-01190</t>
  </si>
  <si>
    <t>CAN-HC-01191</t>
  </si>
  <si>
    <t>CAN-HC-01192</t>
  </si>
  <si>
    <t>CAN-HC-01193</t>
  </si>
  <si>
    <t>CAN-HC-01194</t>
  </si>
  <si>
    <t>CAN-HC-01195</t>
  </si>
  <si>
    <t>CAN-HC-01196</t>
  </si>
  <si>
    <t>CAN-HC-01197</t>
  </si>
  <si>
    <t>CAN-HC-01198</t>
  </si>
  <si>
    <t>CAN-HC-01199</t>
  </si>
  <si>
    <t>CAN-HC-01200</t>
  </si>
  <si>
    <t>CAN-HC-01201</t>
  </si>
  <si>
    <t>CAN-HC-01202</t>
  </si>
  <si>
    <t>CAN-HC-01203</t>
  </si>
  <si>
    <t>CAN-HC-01204</t>
  </si>
  <si>
    <t>CAN-HC-01205</t>
  </si>
  <si>
    <t>CAN-HC-01206</t>
  </si>
  <si>
    <t>CAN-HC-01207</t>
  </si>
  <si>
    <t>CAN-HC-01208</t>
  </si>
  <si>
    <t>CAN-HC-01209</t>
  </si>
  <si>
    <t>CAN-HC-01210</t>
  </si>
  <si>
    <t>CAN-HC-01211</t>
  </si>
  <si>
    <t>CAN-HC-01212</t>
  </si>
  <si>
    <t>CAN-HC-01213</t>
  </si>
  <si>
    <t>CAN-HC-01214</t>
  </si>
  <si>
    <t>CAN-HC-01215</t>
  </si>
  <si>
    <t>CAN-HC-01216</t>
  </si>
  <si>
    <t>CAN-HC-01217</t>
  </si>
  <si>
    <t>CAN-HC-01218</t>
  </si>
  <si>
    <t>CAN-HC-01219</t>
  </si>
  <si>
    <t>CAN-HC-01220</t>
  </si>
  <si>
    <t>CAN-HC-01221</t>
  </si>
  <si>
    <t>CAN-HC-01222</t>
  </si>
  <si>
    <t>CAN-HC-01223</t>
  </si>
  <si>
    <t>CAN-HC-01224</t>
  </si>
  <si>
    <t>CAN-HC-01225</t>
  </si>
  <si>
    <t>CAN-HC-01226</t>
  </si>
  <si>
    <t>CAN-HC-01227</t>
  </si>
  <si>
    <t>CAN-HC-01228</t>
  </si>
  <si>
    <t>CAN-HC-01229</t>
  </si>
  <si>
    <t>CAN-HC-01230</t>
  </si>
  <si>
    <t>CAN-HC-01231</t>
  </si>
  <si>
    <t>CAN-HC-01232</t>
  </si>
  <si>
    <t>CAN-HC-01233</t>
  </si>
  <si>
    <t>CAN-HC-01234</t>
  </si>
  <si>
    <t>CAN-HC-01235</t>
  </si>
  <si>
    <t>CAN-HC-01236</t>
  </si>
  <si>
    <t>CAN-HC-01237</t>
  </si>
  <si>
    <t>CAN-HC-01238</t>
  </si>
  <si>
    <t>CAN-HC-01239</t>
  </si>
  <si>
    <t>CAN-HC-01240</t>
  </si>
  <si>
    <t>CAN-HC-01241</t>
  </si>
  <si>
    <t>CAN-HC-01242</t>
  </si>
  <si>
    <t>CAN-HC-01243</t>
  </si>
  <si>
    <t>CAN-HC-01244</t>
  </si>
  <si>
    <t>CAN-HC-01245</t>
  </si>
  <si>
    <t>CAN-HC-01246</t>
  </si>
  <si>
    <t>CAN-HC-01247</t>
  </si>
  <si>
    <t>CAN-HC-01248</t>
  </si>
  <si>
    <t>CAN-HC-01249</t>
  </si>
  <si>
    <t>CAN-HC-01250</t>
  </si>
  <si>
    <t>CAN-HC-01251</t>
  </si>
  <si>
    <t>CAN-HC-01252</t>
  </si>
  <si>
    <t>CAN-HC-01253</t>
  </si>
  <si>
    <t>CAN-HC-01254</t>
  </si>
  <si>
    <t>CAN-HC-01255</t>
  </si>
  <si>
    <t>CAN-HC-01256</t>
  </si>
  <si>
    <t>CAN-HC-01257</t>
  </si>
  <si>
    <t>CAN-HC-01258</t>
  </si>
  <si>
    <t>CAN-HC-01259</t>
  </si>
  <si>
    <t>CAN-HC-01260</t>
  </si>
  <si>
    <t>CAN-HC-01261</t>
  </si>
  <si>
    <t>CAN-HC-01262</t>
  </si>
  <si>
    <t>CAN-HC-01263</t>
  </si>
  <si>
    <t>CAN-HC-01264</t>
  </si>
  <si>
    <t>CAN-HC-01265</t>
  </si>
  <si>
    <t>CAN-HC-01266</t>
  </si>
  <si>
    <t>CAN-HC-01267</t>
  </si>
  <si>
    <t>CAN-HC-01268</t>
  </si>
  <si>
    <t>CAN-HC-01269</t>
  </si>
  <si>
    <t>CAN-HC-01270</t>
  </si>
  <si>
    <t>CAN-HC-01271</t>
  </si>
  <si>
    <t>CAN-HC-01272</t>
  </si>
  <si>
    <t>CAN-HC-01273</t>
  </si>
  <si>
    <t>CAN-HC-01274</t>
  </si>
  <si>
    <t>CAN-HC-01275</t>
  </si>
  <si>
    <t>CAN-HC-01276</t>
  </si>
  <si>
    <t>CAN-HC-01277</t>
  </si>
  <si>
    <t>CAN-HC-01278</t>
  </si>
  <si>
    <t>CAN-HC-01279</t>
  </si>
  <si>
    <t>CAN-HC-01280</t>
  </si>
  <si>
    <t>CAN-HC-01281</t>
  </si>
  <si>
    <t>CAN-HC-01282</t>
  </si>
  <si>
    <t>CAN-HC-01283</t>
  </si>
  <si>
    <t>CAN-HC-01284</t>
  </si>
  <si>
    <t>CAN-HC-01285</t>
  </si>
  <si>
    <t>CAN-HC-01286</t>
  </si>
  <si>
    <t>CAN-HC-01287</t>
  </si>
  <si>
    <t>CAN-HC-01288</t>
  </si>
  <si>
    <t>CAN-HC-01289</t>
  </si>
  <si>
    <t>CAN-HC-01290</t>
  </si>
  <si>
    <t>CAN-HC-01291</t>
  </si>
  <si>
    <t>CAN-HC-01292</t>
  </si>
  <si>
    <t>CAN-HC-01293</t>
  </si>
  <si>
    <t>CAN-HC-01294</t>
  </si>
  <si>
    <t>CAN-HC-01295</t>
  </si>
  <si>
    <t>CAN-HC-01296</t>
  </si>
  <si>
    <t>CAN-HC-01297</t>
  </si>
  <si>
    <t>CAN-HC-01298</t>
  </si>
  <si>
    <t>CAN-HC-01299</t>
  </si>
  <si>
    <t>CAN-HC-01300</t>
  </si>
  <si>
    <t>CAN-HC-01301</t>
  </si>
  <si>
    <t>CAN-HC-01302</t>
  </si>
  <si>
    <t>CAN-HC-01303</t>
  </si>
  <si>
    <t>CAN-HC-01304</t>
  </si>
  <si>
    <t>CAN-HC-01305</t>
  </si>
  <si>
    <t>CAN-HC-01306</t>
  </si>
  <si>
    <t>CAN-HC-01307</t>
  </si>
  <si>
    <t>CAN-HC-01308</t>
  </si>
  <si>
    <t>CAN-HC-01309</t>
  </si>
  <si>
    <t>CAN-HC-01310</t>
  </si>
  <si>
    <t>CAN-HC-01311</t>
  </si>
  <si>
    <t>CAN-HC-01312</t>
  </si>
  <si>
    <t>CAN-HC-01313</t>
  </si>
  <si>
    <t>CAN-HC-01314</t>
  </si>
  <si>
    <t>CAN-HC-01315</t>
  </si>
  <si>
    <t>CAN-HC-01316</t>
  </si>
  <si>
    <t>CAN-HC-01317</t>
  </si>
  <si>
    <t>CAN-HC-01318</t>
  </si>
  <si>
    <t>CAN-HC-01319</t>
  </si>
  <si>
    <t>CAN-HC-01320</t>
  </si>
  <si>
    <t>CAN-HC-01321</t>
  </si>
  <si>
    <t>CAN-HC-01322</t>
  </si>
  <si>
    <t>CAN-HC-01323</t>
  </si>
  <si>
    <t>CAN-HC-01324</t>
  </si>
  <si>
    <t>CAN-HC-01325</t>
  </si>
  <si>
    <t>CAN-HC-01326</t>
  </si>
  <si>
    <t>CAN-HC-01327</t>
  </si>
  <si>
    <t>CAN-HC-01328</t>
  </si>
  <si>
    <t>CAN-HC-01329</t>
  </si>
  <si>
    <t>CAN-HC-01330</t>
  </si>
  <si>
    <t>CAN-HC-01331</t>
  </si>
  <si>
    <t>CAN-HC-01332</t>
  </si>
  <si>
    <t>CAN-HC-01333</t>
  </si>
  <si>
    <t>CAN-HC-01334</t>
  </si>
  <si>
    <t>CAN-HC-01335</t>
  </si>
  <si>
    <t>CAN-HC-01336</t>
  </si>
  <si>
    <t>CAN-HC-01337</t>
  </si>
  <si>
    <t>CAN-HC-01338</t>
  </si>
  <si>
    <t>CAN-HC-01339</t>
  </si>
  <si>
    <t>CAN-HC-01340</t>
  </si>
  <si>
    <t>CAN-HC-01341</t>
  </si>
  <si>
    <t>CAN-HC-01342</t>
  </si>
  <si>
    <t>CAN-HC-01343</t>
  </si>
  <si>
    <t>CAN-HC-01344</t>
  </si>
  <si>
    <t>CAN-HC-01345</t>
  </si>
  <si>
    <t>CAN-HC-01346</t>
  </si>
  <si>
    <t>CAN-HC-01347</t>
  </si>
  <si>
    <t>CAN-HC-01348</t>
  </si>
  <si>
    <t>CAN-HC-01349</t>
  </si>
  <si>
    <t>CAN-HC-01350</t>
  </si>
  <si>
    <t>CAN-HC-01351</t>
  </si>
  <si>
    <t>CAN-HC-01352</t>
  </si>
  <si>
    <t>CAN-HC-01353</t>
  </si>
  <si>
    <t>CAN-HC-01354</t>
  </si>
  <si>
    <t>CAN-HC-01355</t>
  </si>
  <si>
    <t>CAN-HC-01356</t>
  </si>
  <si>
    <t>CAN-HC-01357</t>
  </si>
  <si>
    <t>CAN-HC-01358</t>
  </si>
  <si>
    <t>CAN-HC-01359</t>
  </si>
  <si>
    <t>CAN-HC-01360</t>
  </si>
  <si>
    <t>CAN-HC-01361</t>
  </si>
  <si>
    <t>CAN-HC-01362</t>
  </si>
  <si>
    <t>CAN-HC-01363</t>
  </si>
  <si>
    <t>CAN-HC-01364</t>
  </si>
  <si>
    <t>CAN-HC-01365</t>
  </si>
  <si>
    <t>CAN-HC-01366</t>
  </si>
  <si>
    <t>CAN-HC-01367</t>
  </si>
  <si>
    <t>CAN-HC-01368</t>
  </si>
  <si>
    <t>CAN-HC-01369</t>
  </si>
  <si>
    <t>CAN-HC-01370</t>
  </si>
  <si>
    <t>CAN-HC-01371</t>
  </si>
  <si>
    <t>CAN-HC-01372</t>
  </si>
  <si>
    <t>CAN-HC-01373</t>
  </si>
  <si>
    <t>CAN-HC-01374</t>
  </si>
  <si>
    <t>CAN-HC-01375</t>
  </si>
  <si>
    <t>CAN-HC-01376</t>
  </si>
  <si>
    <t>CAN-HC-01377</t>
  </si>
  <si>
    <t>CAN-HC-01378</t>
  </si>
  <si>
    <t>CAN-HC-01379</t>
  </si>
  <si>
    <t>CAN-HC-01380</t>
  </si>
  <si>
    <t>CAN-HC-01381</t>
  </si>
  <si>
    <t>CAN-HC-01382</t>
  </si>
  <si>
    <t>CAN-HC-01383</t>
  </si>
  <si>
    <t>CAN-HC-01384</t>
  </si>
  <si>
    <t>CAN-HC-01385</t>
  </si>
  <si>
    <t>CAN-HC-01386</t>
  </si>
  <si>
    <t>CAN-HC-01387</t>
  </si>
  <si>
    <t>CAN-HC-01388</t>
  </si>
  <si>
    <t>CAN-HC-01389</t>
  </si>
  <si>
    <t>CAN-HC-01390</t>
  </si>
  <si>
    <t>CAN-HC-01391</t>
  </si>
  <si>
    <t>CAN-HC-01392</t>
  </si>
  <si>
    <t>CAN-HC-01393</t>
  </si>
  <si>
    <t>CAN-HC-01394</t>
  </si>
  <si>
    <t>CAN-HC-01395</t>
  </si>
  <si>
    <t>CAN-HC-01396</t>
  </si>
  <si>
    <t>CAN-HC-01397</t>
  </si>
  <si>
    <t>CAN-HC-01398</t>
  </si>
  <si>
    <t>CAN-HC-01399</t>
  </si>
  <si>
    <t>CAN-HC-01400</t>
  </si>
  <si>
    <t>CAN-HC-01401</t>
  </si>
  <si>
    <t>CAN-HC-01402</t>
  </si>
  <si>
    <t>CAN-HC-01403</t>
  </si>
  <si>
    <t>CAN-HC-01404</t>
  </si>
  <si>
    <t>CAN-HC-01405</t>
  </si>
  <si>
    <t>CAN-HC-01406</t>
  </si>
  <si>
    <t>CAN-HC-01407</t>
  </si>
  <si>
    <t>CAN-HC-01408</t>
  </si>
  <si>
    <t>CAN-HC-01409</t>
  </si>
  <si>
    <t>CAN-HC-01410</t>
  </si>
  <si>
    <t>CAN-HC-01411</t>
  </si>
  <si>
    <t>CAN-HC-01412</t>
  </si>
  <si>
    <t>CAN-HC-01413</t>
  </si>
  <si>
    <t>CAN-HC-01414</t>
  </si>
  <si>
    <t>CAN-HC-01415</t>
  </si>
  <si>
    <t>CAN-HC-01416</t>
  </si>
  <si>
    <t>CAN-HC-01417</t>
  </si>
  <si>
    <t>CAN-HC-01418</t>
  </si>
  <si>
    <t>CAN-HC-01419</t>
  </si>
  <si>
    <t>CAN-HC-01420</t>
  </si>
  <si>
    <t>CAN-HC-01421</t>
  </si>
  <si>
    <t>CAN-HC-01422</t>
  </si>
  <si>
    <t>CAN-HC-01423</t>
  </si>
  <si>
    <t>CAN-HC-01424</t>
  </si>
  <si>
    <t>CAN-HC-01425</t>
  </si>
  <si>
    <t>CAN-HC-01426</t>
  </si>
  <si>
    <t>CAN-HC-01427</t>
  </si>
  <si>
    <t>CAN-HC-01428</t>
  </si>
  <si>
    <t>CAN-HC-01429</t>
  </si>
  <si>
    <t>CAN-HC-01430</t>
  </si>
  <si>
    <t>CAN-HC-01431</t>
  </si>
  <si>
    <t>CAN-HC-01432</t>
  </si>
  <si>
    <t>CAN-HC-01433</t>
  </si>
  <si>
    <t>CAN-HC-01434</t>
  </si>
  <si>
    <t>CAN-HC-01435</t>
  </si>
  <si>
    <t>CAN-HC-01436</t>
  </si>
  <si>
    <t>CAN-HC-01437</t>
  </si>
  <si>
    <t>CAN-HC-01438</t>
  </si>
  <si>
    <t>CAN-HC-01439</t>
  </si>
  <si>
    <t>CAN-HC-01440</t>
  </si>
  <si>
    <t>CAN-HC-01441</t>
  </si>
  <si>
    <t>CAN-HC-01442</t>
  </si>
  <si>
    <t>CAN-HC-01443</t>
  </si>
  <si>
    <t>CAN-HC-01444</t>
  </si>
  <si>
    <t>CAN-HC-01445</t>
  </si>
  <si>
    <t>CAN-HC-01446</t>
  </si>
  <si>
    <t>CAN-HC-01447</t>
  </si>
  <si>
    <t>CAN-HC-01448</t>
  </si>
  <si>
    <t>CAN-HC-01449</t>
  </si>
  <si>
    <t>CAN-HC-01450</t>
  </si>
  <si>
    <t>CAN-HC-01451</t>
  </si>
  <si>
    <t>CAN-HC-01452</t>
  </si>
  <si>
    <t>CAN-HC-01453</t>
  </si>
  <si>
    <t>CAN-HC-01454</t>
  </si>
  <si>
    <t>CAN-HC-01455</t>
  </si>
  <si>
    <t>CAN-HC-01456</t>
  </si>
  <si>
    <t>CAN-HC-01457</t>
  </si>
  <si>
    <t>CAN-HC-01458</t>
  </si>
  <si>
    <t>CAN-HC-01459</t>
  </si>
  <si>
    <t>CAN-HC-01460</t>
  </si>
  <si>
    <t>CAN-HC-01461</t>
  </si>
  <si>
    <t>CAN-HC-01462</t>
  </si>
  <si>
    <t>CAN-HC-01463</t>
  </si>
  <si>
    <t>CAN-HC-01464</t>
  </si>
  <si>
    <t>CAN-HC-01465</t>
  </si>
  <si>
    <t>CAN-HC-01466</t>
  </si>
  <si>
    <t>CAN-HC-01467</t>
  </si>
  <si>
    <t>CAN-HC-01468</t>
  </si>
  <si>
    <t>CAN-HC-01469</t>
  </si>
  <si>
    <t>CAN-HC-01470</t>
  </si>
  <si>
    <t>CAN-HC-01471</t>
  </si>
  <si>
    <t>CAN-HC-01472</t>
  </si>
  <si>
    <t>CAN-HC-01473</t>
  </si>
  <si>
    <t>CAN-HC-01474</t>
  </si>
  <si>
    <t>CAN-HC-01475</t>
  </si>
  <si>
    <t>CAN-HC-01476</t>
  </si>
  <si>
    <t>CAN-HC-01477</t>
  </si>
  <si>
    <t>CAN-HC-01478</t>
  </si>
  <si>
    <t>CAN-HC-01479</t>
  </si>
  <si>
    <t>CAN-HC-01480</t>
  </si>
  <si>
    <t>CAN-HC-01481</t>
  </si>
  <si>
    <t>CAN-HC-01482</t>
  </si>
  <si>
    <t>CAN-HC-01483</t>
  </si>
  <si>
    <t>CAN-HC-01484</t>
  </si>
  <si>
    <t>CAN-HC-01485</t>
  </si>
  <si>
    <t>CAN-HC-01486</t>
  </si>
  <si>
    <t>CAN-HC-01487</t>
  </si>
  <si>
    <t>CAN-HC-01488</t>
  </si>
  <si>
    <t>CAN-HC-01489</t>
  </si>
  <si>
    <t>CAN-HC-01490</t>
  </si>
  <si>
    <t>CAN-HC-01491</t>
  </si>
  <si>
    <t>CAN-HC-01492</t>
  </si>
  <si>
    <t>CAN-HC-01493</t>
  </si>
  <si>
    <t>CAN-HC-01494</t>
  </si>
  <si>
    <t>CAN-HC-01495</t>
  </si>
  <si>
    <t>CAN-HC-01496</t>
  </si>
  <si>
    <t>CAN-HC-01497</t>
  </si>
  <si>
    <t>CAN-HC-01498</t>
  </si>
  <si>
    <t>CAN-HC-01499</t>
  </si>
  <si>
    <t>CAN-HC-01500</t>
  </si>
  <si>
    <t>CAN-HC-01501</t>
  </si>
  <si>
    <t>CAN-HC-01502</t>
  </si>
  <si>
    <t>CAN-HC-01503</t>
  </si>
  <si>
    <t>CAN-HC-01504</t>
  </si>
  <si>
    <t>CAN-HC-01505</t>
  </si>
  <si>
    <t>CAN-HC-01506</t>
  </si>
  <si>
    <t>CAN-HC-01507</t>
  </si>
  <si>
    <t>CAN-HC-01508</t>
  </si>
  <si>
    <t>CAN-HC-01509</t>
  </si>
  <si>
    <t>CAN-HC-01510</t>
  </si>
  <si>
    <t>CAN-HC-01511</t>
  </si>
  <si>
    <t>CAN-HC-01512</t>
  </si>
  <si>
    <t>CAN-HC-01513</t>
  </si>
  <si>
    <t>CAN-HC-01514</t>
  </si>
  <si>
    <t>CAN-HC-01515</t>
  </si>
  <si>
    <t>CAN-HC-01516</t>
  </si>
  <si>
    <t>CAN-HC-01517</t>
  </si>
  <si>
    <t>CAN-HC-01518</t>
  </si>
  <si>
    <t>CAN-HC-01519</t>
  </si>
  <si>
    <t>CAN-HC-01520</t>
  </si>
  <si>
    <t>CAN-HC-01521</t>
  </si>
  <si>
    <t>CAN-HC-01522</t>
  </si>
  <si>
    <t>CAN-HC-01523</t>
  </si>
  <si>
    <t>CAN-HC-01524</t>
  </si>
  <si>
    <t>CAN-HC-01525</t>
  </si>
  <si>
    <t>CAN-HC-01526</t>
  </si>
  <si>
    <t>CAN-HC-01527</t>
  </si>
  <si>
    <t>CAN-HC-01528</t>
  </si>
  <si>
    <t>CAN-HC-01529</t>
  </si>
  <si>
    <t>CAN-HC-01530</t>
  </si>
  <si>
    <t>CAN-HC-01531</t>
  </si>
  <si>
    <t>CAN-HC-01532</t>
  </si>
  <si>
    <t>CAN-HC-01533</t>
  </si>
  <si>
    <t>CAN-HC-01534</t>
  </si>
  <si>
    <t>CAN-HC-01535</t>
  </si>
  <si>
    <t>CAN-HC-01536</t>
  </si>
  <si>
    <t>CAN-HC-01537</t>
  </si>
  <si>
    <t>CAN-HC-01538</t>
  </si>
  <si>
    <t>CAN-HC-01539</t>
  </si>
  <si>
    <t>CAN-HC-01540</t>
  </si>
  <si>
    <t>CAN-HC-01541</t>
  </si>
  <si>
    <t>CAN-HC-01542</t>
  </si>
  <si>
    <t>CAN-HC-01543</t>
  </si>
  <si>
    <t>CAN-HC-01544</t>
  </si>
  <si>
    <t>CAN-HC-01545</t>
  </si>
  <si>
    <t>CAN-HC-01546</t>
  </si>
  <si>
    <t>CAN-HC-01547</t>
  </si>
  <si>
    <t>CAN-HC-01548</t>
  </si>
  <si>
    <t>CAN-HC-01549</t>
  </si>
  <si>
    <t>CAN-HC-01550</t>
  </si>
  <si>
    <t>CAN-HC-01551</t>
  </si>
  <si>
    <t>CAN-HC-01552</t>
  </si>
  <si>
    <t>CAN-HC-01553</t>
  </si>
  <si>
    <t>CAN-HC-01554</t>
  </si>
  <si>
    <t>CAN-HC-01555</t>
  </si>
  <si>
    <t>CAN-HC-01556</t>
  </si>
  <si>
    <t>CAN-HC-01557</t>
  </si>
  <si>
    <t>CAN-HC-01558</t>
  </si>
  <si>
    <t>CAN-HC-01559</t>
  </si>
  <si>
    <t>CAN-HC-01560</t>
  </si>
  <si>
    <t>CAN-HC-01561</t>
  </si>
  <si>
    <t>CAN-HC-01562</t>
  </si>
  <si>
    <t>CAN-HC-01563</t>
  </si>
  <si>
    <t>CAN-HC-01564</t>
  </si>
  <si>
    <t>CAN-HC-01565</t>
  </si>
  <si>
    <t>CAN-HC-01566</t>
  </si>
  <si>
    <t>CAN-HC-01567</t>
  </si>
  <si>
    <t>CAN-HC-01568</t>
  </si>
  <si>
    <t>CAN-HC-01569</t>
  </si>
  <si>
    <t>CAN-HC-01570</t>
  </si>
  <si>
    <t>CAN-HC-01571</t>
  </si>
  <si>
    <t>CAN-HC-01572</t>
  </si>
  <si>
    <t>CAN-HC-01573</t>
  </si>
  <si>
    <t>CAN-HC-01574</t>
  </si>
  <si>
    <t>CAN-HC-01575</t>
  </si>
  <si>
    <t>CAN-HC-01576</t>
  </si>
  <si>
    <t>CAN-HC-01577</t>
  </si>
  <si>
    <t>CAN-HC-01578</t>
  </si>
  <si>
    <t>CAN-HC-01579</t>
  </si>
  <si>
    <t>CAN-HC-01580</t>
  </si>
  <si>
    <t>CAN-HC-01581</t>
  </si>
  <si>
    <t>CAN-HC-01582</t>
  </si>
  <si>
    <t>CAN-HC-01583</t>
  </si>
  <si>
    <t>CAN-HC-01584</t>
  </si>
  <si>
    <t>CAN-HC-01585</t>
  </si>
  <si>
    <t>CAN-HC-01586</t>
  </si>
  <si>
    <t>CAN-HC-01587</t>
  </si>
  <si>
    <t>CAN-HC-01588</t>
  </si>
  <si>
    <t>CAN-HC-01589</t>
  </si>
  <si>
    <t>CAN-HC-01590</t>
  </si>
  <si>
    <t>CAN-HC-01591</t>
  </si>
  <si>
    <t>CAN-HC-01592</t>
  </si>
  <si>
    <t>CAN-HC-01593</t>
  </si>
  <si>
    <t>CAN-HC-01594</t>
  </si>
  <si>
    <t>CAN-HC-01595</t>
  </si>
  <si>
    <t>CAN-HC-01596</t>
  </si>
  <si>
    <t>CAN-HC-01597</t>
  </si>
  <si>
    <t>CAN-HC-01598</t>
  </si>
  <si>
    <t>CAN-HC-01599</t>
  </si>
  <si>
    <t>CAN-HC-01600</t>
  </si>
  <si>
    <t>CAN-HC-01601</t>
  </si>
  <si>
    <t>CAN-HC-01602</t>
  </si>
  <si>
    <t>CAN-HC-01603</t>
  </si>
  <si>
    <t>CAN-HC-01604</t>
  </si>
  <si>
    <t>CAN-HC-01605</t>
  </si>
  <si>
    <t>CAN-HC-01606</t>
  </si>
  <si>
    <t>CAN-HC-01607</t>
  </si>
  <si>
    <t>CAN-HC-01608</t>
  </si>
  <si>
    <t>CAN-HC-01609</t>
  </si>
  <si>
    <t>CAN-HC-01610</t>
  </si>
  <si>
    <t>CAN-HC-01611</t>
  </si>
  <si>
    <t>CAN-HC-01612</t>
  </si>
  <si>
    <t>CAN-HC-01613</t>
  </si>
  <si>
    <t>CAN-HC-01614</t>
  </si>
  <si>
    <t>CAN-HC-01615</t>
  </si>
  <si>
    <t>CAN-HC-01616</t>
  </si>
  <si>
    <t>CAN-HC-01617</t>
  </si>
  <si>
    <t>CAN-HC-01618</t>
  </si>
  <si>
    <t>CAN-HC-01619</t>
  </si>
  <si>
    <t>CAN-HC-01620</t>
  </si>
  <si>
    <t>CAN-HC-01621</t>
  </si>
  <si>
    <t>CAN-HC-01622</t>
  </si>
  <si>
    <t>CAN-HC-01623</t>
  </si>
  <si>
    <t>CAN-HC-01624</t>
  </si>
  <si>
    <t>CAN-HC-01625</t>
  </si>
  <si>
    <t>CAN-HC-01626</t>
  </si>
  <si>
    <t>CAN-HC-01627</t>
  </si>
  <si>
    <t>CAN-HC-01628</t>
  </si>
  <si>
    <t>CAN-HC-01629</t>
  </si>
  <si>
    <t>CAN-HC-01630</t>
  </si>
  <si>
    <t>CAN-HC-01631</t>
  </si>
  <si>
    <t>CAN-HC-01632</t>
  </si>
  <si>
    <t>CAN-HC-01633</t>
  </si>
  <si>
    <t>CAN-HC-01634</t>
  </si>
  <si>
    <t>CAN-HC-01635</t>
  </si>
  <si>
    <t>CAN-HC-01636</t>
  </si>
  <si>
    <t>CAN-HC-01637</t>
  </si>
  <si>
    <t>CAN-HC-01638</t>
  </si>
  <si>
    <t>CAN-HC-01639</t>
  </si>
  <si>
    <t>CAN-HC-01640</t>
  </si>
  <si>
    <t>CAN-HC-01641</t>
  </si>
  <si>
    <t>CAN-HC-01642</t>
  </si>
  <si>
    <t>CAN-HC-01643</t>
  </si>
  <si>
    <t>CAN-HC-01644</t>
  </si>
  <si>
    <t>CAN-HC-01645</t>
  </si>
  <si>
    <t>CAN-HC-01646</t>
  </si>
  <si>
    <t>CAN-HC-01647</t>
  </si>
  <si>
    <t>CAN-HC-01648</t>
  </si>
  <si>
    <t>CAN-HC-01649</t>
  </si>
  <si>
    <t>CAN-HC-01650</t>
  </si>
  <si>
    <t>CAN-HC-01651</t>
  </si>
  <si>
    <t>CAN-HC-01652</t>
  </si>
  <si>
    <t>CAN-HC-01653</t>
  </si>
  <si>
    <t>CAN-HC-01654</t>
  </si>
  <si>
    <t>CAN-HC-01655</t>
  </si>
  <si>
    <t>CAN-HC-01656</t>
  </si>
  <si>
    <t>CAN-HC-01657</t>
  </si>
  <si>
    <t>CAN-HC-01658</t>
  </si>
  <si>
    <t>CAN-HC-01659</t>
  </si>
  <si>
    <t>CAN-HC-01660</t>
  </si>
  <si>
    <t>CAN-HC-01661</t>
  </si>
  <si>
    <t>CAN-HC-01662</t>
  </si>
  <si>
    <t>CAN-HC-01663</t>
  </si>
  <si>
    <t>CAN-HC-01664</t>
  </si>
  <si>
    <t>CAN-HC-01665</t>
  </si>
  <si>
    <t>CAN-HC-01666</t>
  </si>
  <si>
    <t>CAN-HC-01667</t>
  </si>
  <si>
    <t>CAN-HC-01668</t>
  </si>
  <si>
    <t>CAN-HC-01669</t>
  </si>
  <si>
    <t>CAN-HC-01670</t>
  </si>
  <si>
    <t>CAN-HC-01671</t>
  </si>
  <si>
    <t>CAN-HC-01672</t>
  </si>
  <si>
    <t>CAN-HC-01673</t>
  </si>
  <si>
    <t>CAN-HC-01674</t>
  </si>
  <si>
    <t>CAN-HC-01675</t>
  </si>
  <si>
    <t>CAN-HC-01676</t>
  </si>
  <si>
    <t>CAN-HC-01677</t>
  </si>
  <si>
    <t>CAN-HC-01678</t>
  </si>
  <si>
    <t>CAN-HC-01679</t>
  </si>
  <si>
    <t>CAN-HC-01680</t>
  </si>
  <si>
    <t>CAN-HC-01681</t>
  </si>
  <si>
    <t>CAN-HC-01682</t>
  </si>
  <si>
    <t>CAN-HC-01683</t>
  </si>
  <si>
    <t>CAN-HC-01684</t>
  </si>
  <si>
    <t>CAN-HC-01685</t>
  </si>
  <si>
    <t>CAN-HC-01686</t>
  </si>
  <si>
    <t>CAN-HC-01687</t>
  </si>
  <si>
    <t>CAN-HC-01688</t>
  </si>
  <si>
    <t>CAN-HC-01689</t>
  </si>
  <si>
    <t>CAN-HC-01690</t>
  </si>
  <si>
    <t>CAN-HC-01691</t>
  </si>
  <si>
    <t>CAN-HC-01692</t>
  </si>
  <si>
    <t>CAN-HC-01693</t>
  </si>
  <si>
    <t>CAN-HC-01694</t>
  </si>
  <si>
    <t>CAN-HC-01695</t>
  </si>
  <si>
    <t>CAN-HC-01696</t>
  </si>
  <si>
    <t>CAN-HC-01697</t>
  </si>
  <si>
    <t>CAN-HC-01698</t>
  </si>
  <si>
    <t>CAN-HC-01699</t>
  </si>
  <si>
    <t>CAN-HC-01700</t>
  </si>
  <si>
    <t>CAN-HC-01701</t>
  </si>
  <si>
    <t>CAN-HC-01702</t>
  </si>
  <si>
    <t>CAN-HC-01703</t>
  </si>
  <si>
    <t>CAN-HC-01704</t>
  </si>
  <si>
    <t>CAN-HC-01705</t>
  </si>
  <si>
    <t>CAN-HC-01706</t>
  </si>
  <si>
    <t>CAN-HC-01707</t>
  </si>
  <si>
    <t>CAN-HC-01708</t>
  </si>
  <si>
    <t>CAN-HC-01709</t>
  </si>
  <si>
    <t>CAN-HC-01710</t>
  </si>
  <si>
    <t>CAN-HC-01711</t>
  </si>
  <si>
    <t>CAN-HC-01712</t>
  </si>
  <si>
    <t>CAN-HC-01713</t>
  </si>
  <si>
    <t>CAN-HC-01714</t>
  </si>
  <si>
    <t>CAN-HC-01715</t>
  </si>
  <si>
    <t>CAN-HC-01716</t>
  </si>
  <si>
    <t>CAN-HC-01717</t>
  </si>
  <si>
    <t>CAN-HC-01718</t>
  </si>
  <si>
    <t>CAN-HC-01719</t>
  </si>
  <si>
    <t>CAN-HC-01720</t>
  </si>
  <si>
    <t>CAN-HC-01721</t>
  </si>
  <si>
    <t>CAN-HC-01722</t>
  </si>
  <si>
    <t>CAN-HC-01723</t>
  </si>
  <si>
    <t>CAN-HC-01724</t>
  </si>
  <si>
    <t>CAN-HC-01725</t>
  </si>
  <si>
    <t>CAN-HC-01726</t>
  </si>
  <si>
    <t>CAN-HC-01727</t>
  </si>
  <si>
    <t>CAN-HC-01728</t>
  </si>
  <si>
    <t>CAN-HC-01729</t>
  </si>
  <si>
    <t>CAN-HC-01730</t>
  </si>
  <si>
    <t>CAN-HC-01731</t>
  </si>
  <si>
    <t>CAN-HC-01732</t>
  </si>
  <si>
    <t>CAN-HC-01733</t>
  </si>
  <si>
    <t>CAN-HC-01734</t>
  </si>
  <si>
    <t>CAN-HC-01735</t>
  </si>
  <si>
    <t>CAN-HC-01736</t>
  </si>
  <si>
    <t>CAN-HC-01737</t>
  </si>
  <si>
    <t>CAN-HC-01738</t>
  </si>
  <si>
    <t>CAN-HC-01739</t>
  </si>
  <si>
    <t>CAN-HC-01740</t>
  </si>
  <si>
    <t>CAN-HC-01741</t>
  </si>
  <si>
    <t>CAN-HC-01742</t>
  </si>
  <si>
    <t>CAN-HC-01743</t>
  </si>
  <si>
    <t>CAN-HC-01744</t>
  </si>
  <si>
    <t>CAN-HC-01745</t>
  </si>
  <si>
    <t>CAN-HC-01746</t>
  </si>
  <si>
    <t>CAN-HC-01747</t>
  </si>
  <si>
    <t>CAN-HC-01748</t>
  </si>
  <si>
    <t>CAN-HC-01749</t>
  </si>
  <si>
    <t>CAN-HC-01750</t>
  </si>
  <si>
    <t>CAN-HC-01751</t>
  </si>
  <si>
    <t>CAN-HC-01752</t>
  </si>
  <si>
    <t>CAN-HC-01753</t>
  </si>
  <si>
    <t>CAN-HC-01754</t>
  </si>
  <si>
    <t>CAN-HC-01755</t>
  </si>
  <si>
    <t>CAN-HC-01756</t>
  </si>
  <si>
    <t>CAN-HC-01757</t>
  </si>
  <si>
    <t>CAN-HC-01758</t>
  </si>
  <si>
    <t>CAN-HC-01759</t>
  </si>
  <si>
    <t>CAN-HC-01760</t>
  </si>
  <si>
    <t>CAN-HC-01761</t>
  </si>
  <si>
    <t>CAN-HC-01762</t>
  </si>
  <si>
    <t>CAN-HC-01763</t>
  </si>
  <si>
    <t>CAN-HC-01764</t>
  </si>
  <si>
    <t>CAN-HC-01765</t>
  </si>
  <si>
    <t>CAN-HC-01766</t>
  </si>
  <si>
    <t>CAN-HC-01767</t>
  </si>
  <si>
    <t>CAN-HC-01768</t>
  </si>
  <si>
    <t>CAN-HC-01769</t>
  </si>
  <si>
    <t>CAN-HC-01770</t>
  </si>
  <si>
    <t>CAN-HC-01771</t>
  </si>
  <si>
    <t>CAN-HC-01772</t>
  </si>
  <si>
    <t>CAN-HC-01773</t>
  </si>
  <si>
    <t>CAN-HC-01774</t>
  </si>
  <si>
    <t>CAN-HC-01775</t>
  </si>
  <si>
    <t>CAN-HC-01776</t>
  </si>
  <si>
    <t>CAN-HC-01777</t>
  </si>
  <si>
    <t>CAN-HC-01778</t>
  </si>
  <si>
    <t>CAN-HC-01779</t>
  </si>
  <si>
    <t>CAN-HC-01780</t>
  </si>
  <si>
    <t>CAN-HC-01781</t>
  </si>
  <si>
    <t>CAN-HC-01782</t>
  </si>
  <si>
    <t>CAN-HC-01783</t>
  </si>
  <si>
    <t>CAN-HC-01784</t>
  </si>
  <si>
    <t>CAN-HC-01785</t>
  </si>
  <si>
    <t>CAN-HC-01786</t>
  </si>
  <si>
    <t>CAN-HC-01787</t>
  </si>
  <si>
    <t>CAN-HC-01788</t>
  </si>
  <si>
    <t>CAN-HC-01789</t>
  </si>
  <si>
    <t>CAN-HC-01790</t>
  </si>
  <si>
    <t>CAN-HC-01791</t>
  </si>
  <si>
    <t>CAN-HC-01792</t>
  </si>
  <si>
    <t>CAN-HC-01793</t>
  </si>
  <si>
    <t>CAN-HC-01794</t>
  </si>
  <si>
    <t>CAN-HC-01795</t>
  </si>
  <si>
    <t>CAN-HC-01796</t>
  </si>
  <si>
    <t>CAN-HC-01797</t>
  </si>
  <si>
    <t>CAN-HC-01798</t>
  </si>
  <si>
    <t>CAN-HC-01799</t>
  </si>
  <si>
    <t>CAN-HC-01800</t>
  </si>
  <si>
    <t>CAN-HC-01801</t>
  </si>
  <si>
    <t>CAN-HC-01802</t>
  </si>
  <si>
    <t>CAN-HC-01803</t>
  </si>
  <si>
    <t>CAN-HC-01804</t>
  </si>
  <si>
    <t>CAN-HC-01805</t>
  </si>
  <si>
    <t>CAN-HC-01806</t>
  </si>
  <si>
    <t>CAN-HC-01807</t>
  </si>
  <si>
    <t>CAN-HC-01808</t>
  </si>
  <si>
    <t>CAN-HC-01809</t>
  </si>
  <si>
    <t>CAN-HC-01810</t>
  </si>
  <si>
    <t>CAN-HC-01811</t>
  </si>
  <si>
    <t>CAN-HC-01812</t>
  </si>
  <si>
    <t>CAN-HC-01813</t>
  </si>
  <si>
    <t>CAN-HC-01814</t>
  </si>
  <si>
    <t>CAN-HC-01815</t>
  </si>
  <si>
    <t>CAN-HC-01816</t>
  </si>
  <si>
    <t>CAN-HC-01817</t>
  </si>
  <si>
    <t>CAN-HC-01818</t>
  </si>
  <si>
    <t>CAN-HC-01819</t>
  </si>
  <si>
    <t>CAN-HC-01820</t>
  </si>
  <si>
    <t>CAN-HC-01821</t>
  </si>
  <si>
    <t>CAN-HC-01822</t>
  </si>
  <si>
    <t>CAN-HC-01823</t>
  </si>
  <si>
    <t>CAN-HC-01824</t>
  </si>
  <si>
    <t>CAN-HC-01825</t>
  </si>
  <si>
    <t>CAN-HC-01826</t>
  </si>
  <si>
    <t>CAN-HC-01827</t>
  </si>
  <si>
    <t>CAN-HC-01828</t>
  </si>
  <si>
    <t>CAN-HC-01829</t>
  </si>
  <si>
    <t>CAN-HC-01830</t>
  </si>
  <si>
    <t>CAN-HC-01831</t>
  </si>
  <si>
    <t>CAN-HC-01832</t>
  </si>
  <si>
    <t>CAN-HC-01833</t>
  </si>
  <si>
    <t>CAN-HC-01834</t>
  </si>
  <si>
    <t>CAN-HC-01835</t>
  </si>
  <si>
    <t>CAN-HC-01836</t>
  </si>
  <si>
    <t>CAN-HC-01837</t>
  </si>
  <si>
    <t>CAN-HC-01838</t>
  </si>
  <si>
    <t>CAN-HC-01839</t>
  </si>
  <si>
    <t>CAN-HC-01840</t>
  </si>
  <si>
    <t>CAN-HC-01841</t>
  </si>
  <si>
    <t>CAN-HC-01842</t>
  </si>
  <si>
    <t>CAN-HC-01843</t>
  </si>
  <si>
    <t>CAN-HC-01844</t>
  </si>
  <si>
    <t>CAN-HC-01845</t>
  </si>
  <si>
    <t>CAN-HC-01846</t>
  </si>
  <si>
    <t>CAN-HC-01847</t>
  </si>
  <si>
    <t>CAN-HC-01848</t>
  </si>
  <si>
    <t>CAN-HC-01849</t>
  </si>
  <si>
    <t>CAN-HC-01850</t>
  </si>
  <si>
    <t>CAN-HC-01851</t>
  </si>
  <si>
    <t>CAN-HC-01852</t>
  </si>
  <si>
    <t>CAN-HC-01853</t>
  </si>
  <si>
    <t>CAN-HC-01854</t>
  </si>
  <si>
    <t>CAN-HC-01855</t>
  </si>
  <si>
    <t>CAN-HC-01856</t>
  </si>
  <si>
    <t>CAN-HC-01857</t>
  </si>
  <si>
    <t>CAN-HC-01858</t>
  </si>
  <si>
    <t>CAN-HC-01859</t>
  </si>
  <si>
    <t>CAN-HC-01860</t>
  </si>
  <si>
    <t>CAN-HC-01861</t>
  </si>
  <si>
    <t>CAN-HC-01862</t>
  </si>
  <si>
    <t>CAN-HC-01863</t>
  </si>
  <si>
    <t>CAN-HC-01864</t>
  </si>
  <si>
    <t>CAN-HC-01865</t>
  </si>
  <si>
    <t>CAN-HC-01866</t>
  </si>
  <si>
    <t>CAN-HC-01867</t>
  </si>
  <si>
    <t>CAN-HC-01868</t>
  </si>
  <si>
    <t>CAN-HC-01869</t>
  </si>
  <si>
    <t>CAN-HC-01870</t>
  </si>
  <si>
    <t>CAN-HC-01871</t>
  </si>
  <si>
    <t>CAN-HC-01872</t>
  </si>
  <si>
    <t>CAN-HC-01873</t>
  </si>
  <si>
    <t>CAN-HC-01874</t>
  </si>
  <si>
    <t>CAN-HC-01875</t>
  </si>
  <si>
    <t>CAN-HC-01876</t>
  </si>
  <si>
    <t>CAN-HC-01877</t>
  </si>
  <si>
    <t>CAN-HC-01878</t>
  </si>
  <si>
    <t>CAN-HC-01879</t>
  </si>
  <si>
    <t>CAN-HC-01880</t>
  </si>
  <si>
    <t>CAN-HC-01881</t>
  </si>
  <si>
    <t>CAN-HC-01882</t>
  </si>
  <si>
    <t>CAN-HC-01883</t>
  </si>
  <si>
    <t>CAN-HC-01884</t>
  </si>
  <si>
    <t>CAN-HC-01885</t>
  </si>
  <si>
    <t>CAN-HC-01886</t>
  </si>
  <si>
    <t>CAN-HC-01887</t>
  </si>
  <si>
    <t>CAN-HC-01888</t>
  </si>
  <si>
    <t>CAN-HC-01889</t>
  </si>
  <si>
    <t>CAN-HC-01890</t>
  </si>
  <si>
    <t>CAN-HC-01891</t>
  </si>
  <si>
    <t>CAN-HC-01892</t>
  </si>
  <si>
    <t>CAN-HC-01893</t>
  </si>
  <si>
    <t>CAN-HC-01894</t>
  </si>
  <si>
    <t>CAN-HC-01895</t>
  </si>
  <si>
    <t>CAN-HC-01896</t>
  </si>
  <si>
    <t>CAN-HC-01897</t>
  </si>
  <si>
    <t>CAN-HC-01898</t>
  </si>
  <si>
    <t>CAN-HC-01899</t>
  </si>
  <si>
    <t>CAN-HC-01900</t>
  </si>
  <si>
    <t>CAN-HC-01901</t>
  </si>
  <si>
    <t>CAN-HC-01902</t>
  </si>
  <si>
    <t>CAN-HC-01903</t>
  </si>
  <si>
    <t>CAN-HC-01904</t>
  </si>
  <si>
    <t>CAN-HC-01905</t>
  </si>
  <si>
    <t>CAN-HC-01906</t>
  </si>
  <si>
    <t>CAN-HC-01907</t>
  </si>
  <si>
    <t>CAN-HC-01908</t>
  </si>
  <si>
    <t>CAN-HC-01909</t>
  </si>
  <si>
    <t>CAN-HC-01910</t>
  </si>
  <si>
    <t>CAN-HC-01911</t>
  </si>
  <si>
    <t>CAN-HC-01912</t>
  </si>
  <si>
    <t>CAN-HC-01913</t>
  </si>
  <si>
    <t>CAN-HC-01914</t>
  </si>
  <si>
    <t>CAN-HC-01915</t>
  </si>
  <si>
    <t>CAN-HC-01916</t>
  </si>
  <si>
    <t>CAN-HC-01917</t>
  </si>
  <si>
    <t>CAN-HC-01918</t>
  </si>
  <si>
    <t>CAN-HC-01919</t>
  </si>
  <si>
    <t>CAN-HC-01920</t>
  </si>
  <si>
    <t>CAN-HC-01921</t>
  </si>
  <si>
    <t>CAN-HC-01922</t>
  </si>
  <si>
    <t>CAN-HC-01923</t>
  </si>
  <si>
    <t>CAN-HC-01924</t>
  </si>
  <si>
    <t>CAN-HC-01925</t>
  </si>
  <si>
    <t>CAN-HC-01926</t>
  </si>
  <si>
    <t>CAN-HC-01927</t>
  </si>
  <si>
    <t>CAN-HC-01928</t>
  </si>
  <si>
    <t>CAN-HC-01929</t>
  </si>
  <si>
    <t>CAN-HC-01930</t>
  </si>
  <si>
    <t>CAN-HC-01931</t>
  </si>
  <si>
    <t>CAN-HC-01932</t>
  </si>
  <si>
    <t>CAN-HC-01933</t>
  </si>
  <si>
    <t>CAN-HC-01934</t>
  </si>
  <si>
    <t>CAN-HC-01935</t>
  </si>
  <si>
    <t>CAN-HC-01936</t>
  </si>
  <si>
    <t>CAN-HC-01937</t>
  </si>
  <si>
    <t>CAN-HC-01938</t>
  </si>
  <si>
    <t>CAN-HC-01939</t>
  </si>
  <si>
    <t>CAN-HC-01940</t>
  </si>
  <si>
    <t>CAN-HC-01941</t>
  </si>
  <si>
    <t>CAN-HC-01942</t>
  </si>
  <si>
    <t>CAN-HC-01943</t>
  </si>
  <si>
    <t>CAN-HC-01944</t>
  </si>
  <si>
    <t>CAN-HC-01945</t>
  </si>
  <si>
    <t>CAN-HC-01946</t>
  </si>
  <si>
    <t>CAN-HC-01947</t>
  </si>
  <si>
    <t>CAN-HC-01948</t>
  </si>
  <si>
    <t>CAN-HC-01949</t>
  </si>
  <si>
    <t>CAN-HC-01950</t>
  </si>
  <si>
    <t>CAN-HC-01951</t>
  </si>
  <si>
    <t>CAN-HC-01952</t>
  </si>
  <si>
    <t>CAN-HC-01953</t>
  </si>
  <si>
    <t>CAN-HC-01954</t>
  </si>
  <si>
    <t>CAN-HC-01955</t>
  </si>
  <si>
    <t>CAN-HC-01956</t>
  </si>
  <si>
    <t>CAN-HC-01957</t>
  </si>
  <si>
    <t>CAN-HC-01958</t>
  </si>
  <si>
    <t>CAN-HC-01959</t>
  </si>
  <si>
    <t>CAN-HC-01960</t>
  </si>
  <si>
    <t>CAN-HC-01961</t>
  </si>
  <si>
    <t>CAN-HC-01962</t>
  </si>
  <si>
    <t>CAN-HC-01963</t>
  </si>
  <si>
    <t>CAN-HC-01964</t>
  </si>
  <si>
    <t>CAN-HC-01965</t>
  </si>
  <si>
    <t>CAN-HC-01966</t>
  </si>
  <si>
    <t>CAN-HC-01967</t>
  </si>
  <si>
    <t>CAN-HC-01968</t>
  </si>
  <si>
    <t>CAN-HC-01969</t>
  </si>
  <si>
    <t>CAN-HC-01970</t>
  </si>
  <si>
    <t>CAN-HC-01971</t>
  </si>
  <si>
    <t>CAN-HC-01972</t>
  </si>
  <si>
    <t>CAN-HC-01973</t>
  </si>
  <si>
    <t>CAN-HC-01974</t>
  </si>
  <si>
    <t>CAN-HC-01975</t>
  </si>
  <si>
    <t>CAN-HC-01976</t>
  </si>
  <si>
    <t>CAN-HC-01977</t>
  </si>
  <si>
    <t>CAN-HC-01978</t>
  </si>
  <si>
    <t>CAN-HC-01979</t>
  </si>
  <si>
    <t>CAN-HC-01980</t>
  </si>
  <si>
    <t>CAN-HC-01981</t>
  </si>
  <si>
    <t>CAN-HC-01982</t>
  </si>
  <si>
    <t>CAN-HC-01983</t>
  </si>
  <si>
    <t>CAN-HC-01984</t>
  </si>
  <si>
    <t>CAN-HC-01985</t>
  </si>
  <si>
    <t>CAN-HC-01986</t>
  </si>
  <si>
    <t>CAN-HC-01987</t>
  </si>
  <si>
    <t>CAN-HC-01988</t>
  </si>
  <si>
    <t>CAN-HC-01989</t>
  </si>
  <si>
    <t>CAN-HC-01990</t>
  </si>
  <si>
    <t>CAN-HC-01991</t>
  </si>
  <si>
    <t>CAN-HC-01992</t>
  </si>
  <si>
    <t>CAN-HC-01993</t>
  </si>
  <si>
    <t>CAN-HC-01994</t>
  </si>
  <si>
    <t>CAN-HC-01995</t>
  </si>
  <si>
    <t>CAN-HC-01996</t>
  </si>
  <si>
    <t>CAN-HC-01997</t>
  </si>
  <si>
    <t>CAN-HC-01998</t>
  </si>
  <si>
    <t>CAN-HC-01999</t>
  </si>
  <si>
    <t>CAN-HC-02000</t>
  </si>
  <si>
    <t>CAN-HC-02001</t>
  </si>
  <si>
    <t>CAN-HC-02002</t>
  </si>
  <si>
    <t>CAN-HC-02003</t>
  </si>
  <si>
    <t>CAN-HC-02004</t>
  </si>
  <si>
    <t>CAN-HC-02005</t>
  </si>
  <si>
    <t>CAN-HC-02006</t>
  </si>
  <si>
    <t>CAN-HC-02007</t>
  </si>
  <si>
    <t>CAN-HC-02008</t>
  </si>
  <si>
    <t>CAN-HC-02009</t>
  </si>
  <si>
    <t>CAN-HC-02010</t>
  </si>
  <si>
    <t>CAN-HC-02011</t>
  </si>
  <si>
    <t>CAN-HC-02012</t>
  </si>
  <si>
    <t>CAN-HC-02013</t>
  </si>
  <si>
    <t>CAN-HC-02014</t>
  </si>
  <si>
    <t>CAN-HC-02015</t>
  </si>
  <si>
    <t>CAN-HC-02016</t>
  </si>
  <si>
    <t>CAN-HC-02017</t>
  </si>
  <si>
    <t>CAN-HC-02018</t>
  </si>
  <si>
    <t>CAN-HC-02019</t>
  </si>
  <si>
    <t>CAN-HC-02020</t>
  </si>
  <si>
    <t>CAN-HC-02021</t>
  </si>
  <si>
    <t>CAN-HC-02022</t>
  </si>
  <si>
    <t>CAN-HC-02023</t>
  </si>
  <si>
    <t>CAN-HC-02024</t>
  </si>
  <si>
    <t>CAN-HC-02025</t>
  </si>
  <si>
    <t>CAN-HC-02026</t>
  </si>
  <si>
    <t>CAN-HC-02027</t>
  </si>
  <si>
    <t>CAN-HC-02028</t>
  </si>
  <si>
    <t>CAN-HC-02029</t>
  </si>
  <si>
    <t>CAN-HC-02030</t>
  </si>
  <si>
    <t>CAN-HC-02031</t>
  </si>
  <si>
    <t>CAN-HC-02032</t>
  </si>
  <si>
    <t>CAN-HC-02033</t>
  </si>
  <si>
    <t>CAN-HC-02034</t>
  </si>
  <si>
    <t>CAN-HC-02035</t>
  </si>
  <si>
    <t>CAN-HC-02036</t>
  </si>
  <si>
    <t>CAN-HC-02037</t>
  </si>
  <si>
    <t>CAN-HC-02038</t>
  </si>
  <si>
    <t>CAN-HC-02039</t>
  </si>
  <si>
    <t>CAN-HC-02040</t>
  </si>
  <si>
    <t>CAN-HC-02041</t>
  </si>
  <si>
    <t>CAN-HC-02042</t>
  </si>
  <si>
    <t>CAN-HC-02043</t>
  </si>
  <si>
    <t>CAN-HC-02044</t>
  </si>
  <si>
    <t>CAN-HC-02045</t>
  </si>
  <si>
    <t>CAN-HC-02046</t>
  </si>
  <si>
    <t>CAN-HC-02047</t>
  </si>
  <si>
    <t>CAN-HC-02048</t>
  </si>
  <si>
    <t>CAN-HC-02049</t>
  </si>
  <si>
    <t>CAN-HC-02050</t>
  </si>
  <si>
    <t>CAN-HC-02051</t>
  </si>
  <si>
    <t>CAN-HC-02052</t>
  </si>
  <si>
    <t>CAN-HC-02053</t>
  </si>
  <si>
    <t>CAN-HC-02054</t>
  </si>
  <si>
    <t>CAN-HC-02055</t>
  </si>
  <si>
    <t>CAN-HC-02056</t>
  </si>
  <si>
    <t>CAN-HC-02057</t>
  </si>
  <si>
    <t>CAN-HC-02058</t>
  </si>
  <si>
    <t>CAN-HC-02059</t>
  </si>
  <si>
    <t>CAN-HC-02060</t>
  </si>
  <si>
    <t>CAN-HC-02061</t>
  </si>
  <si>
    <t>CAN-HC-02062</t>
  </si>
  <si>
    <t>CAN-HC-02063</t>
  </si>
  <si>
    <t>CAN-HC-02064</t>
  </si>
  <si>
    <t>CAN-HC-02065</t>
  </si>
  <si>
    <t>CAN-HC-02066</t>
  </si>
  <si>
    <t>CAN-HC-02067</t>
  </si>
  <si>
    <t>CAN-HC-02068</t>
  </si>
  <si>
    <t>CAN-HC-02069</t>
  </si>
  <si>
    <t>CAN-HC-02070</t>
  </si>
  <si>
    <t>CAN-HC-02071</t>
  </si>
  <si>
    <t>CAN-HC-02072</t>
  </si>
  <si>
    <t>CAN-HC-02073</t>
  </si>
  <si>
    <t>CAN-HC-02074</t>
  </si>
  <si>
    <t>CAN-HC-02075</t>
  </si>
  <si>
    <t>CAN-HC-02076</t>
  </si>
  <si>
    <t>CAN-HC-02077</t>
  </si>
  <si>
    <t>CAN-HC-02078</t>
  </si>
  <si>
    <t>CAN-HC-02079</t>
  </si>
  <si>
    <t>CAN-HC-02080</t>
  </si>
  <si>
    <t>CAN-HC-02081</t>
  </si>
  <si>
    <t>CAN-HC-02082</t>
  </si>
  <si>
    <t>CAN-HC-02083</t>
  </si>
  <si>
    <t>CAN-HC-02084</t>
  </si>
  <si>
    <t>CAN-HC-02085</t>
  </si>
  <si>
    <t>CAN-HC-02086</t>
  </si>
  <si>
    <t>CAN-HC-02087</t>
  </si>
  <si>
    <t>CAN-HC-02088</t>
  </si>
  <si>
    <t>CAN-HC-02089</t>
  </si>
  <si>
    <t>CAN-HC-02090</t>
  </si>
  <si>
    <t>CAN-HC-02091</t>
  </si>
  <si>
    <t>CAN-HC-02092</t>
  </si>
  <si>
    <t>CAN-HC-02093</t>
  </si>
  <si>
    <t>CAN-HC-02094</t>
  </si>
  <si>
    <t>CAN-HC-02095</t>
  </si>
  <si>
    <t>CAN-HC-02096</t>
  </si>
  <si>
    <t>CAN-HC-02097</t>
  </si>
  <si>
    <t>CAN-HC-02098</t>
  </si>
  <si>
    <t>CAN-HC-02099</t>
  </si>
  <si>
    <t>CAN-HC-02100</t>
  </si>
  <si>
    <t>CAN-HC-02101</t>
  </si>
  <si>
    <t>CAN-HC-02102</t>
  </si>
  <si>
    <t>CAN-HC-02103</t>
  </si>
  <si>
    <t>CAN-HC-02104</t>
  </si>
  <si>
    <t>CAN-HC-02105</t>
  </si>
  <si>
    <t>CAN-HC-02106</t>
  </si>
  <si>
    <t>CAN-HC-02107</t>
  </si>
  <si>
    <t>CAN-HC-02108</t>
  </si>
  <si>
    <t>CAN-HC-02109</t>
  </si>
  <si>
    <t>CAN-HC-02110</t>
  </si>
  <si>
    <t>CAN-HC-02111</t>
  </si>
  <si>
    <t>CAN-HC-02112</t>
  </si>
  <si>
    <t>CAN-HC-02113</t>
  </si>
  <si>
    <t>CAN-HC-02114</t>
  </si>
  <si>
    <t>CAN-HC-02115</t>
  </si>
  <si>
    <t>CAN-HC-02116</t>
  </si>
  <si>
    <t>CAN-HC-02117</t>
  </si>
  <si>
    <t>CAN-HC-02118</t>
  </si>
  <si>
    <t>CAN-HC-02119</t>
  </si>
  <si>
    <t>CAN-HC-02120</t>
  </si>
  <si>
    <t>CAN-HC-02121</t>
  </si>
  <si>
    <t>CAN-HC-02122</t>
  </si>
  <si>
    <t>CAN-HC-02123</t>
  </si>
  <si>
    <t>CAN-HC-02124</t>
  </si>
  <si>
    <t>CAN-HC-02125</t>
  </si>
  <si>
    <t>CAN-HC-02126</t>
  </si>
  <si>
    <t>CAN-HC-02127</t>
  </si>
  <si>
    <t>CAN-HC-02128</t>
  </si>
  <si>
    <t>CAN-HC-02129</t>
  </si>
  <si>
    <t>CAN-HC-02130</t>
  </si>
  <si>
    <t>CAN-HC-02131</t>
  </si>
  <si>
    <t>CAN-HC-02132</t>
  </si>
  <si>
    <t>CAN-HC-02133</t>
  </si>
  <si>
    <t>CAN-HC-02134</t>
  </si>
  <si>
    <t>CAN-HC-02135</t>
  </si>
  <si>
    <t>CAN-HC-02136</t>
  </si>
  <si>
    <t>CAN-HC-02137</t>
  </si>
  <si>
    <t>CAN-HC-02138</t>
  </si>
  <si>
    <t>CAN-HC-02139</t>
  </si>
  <si>
    <t>CAN-HC-02140</t>
  </si>
  <si>
    <t>CAN-HC-02141</t>
  </si>
  <si>
    <t>CAN-HC-02142</t>
  </si>
  <si>
    <t>CAN-HC-02143</t>
  </si>
  <si>
    <t>CAN-HC-02144</t>
  </si>
  <si>
    <t>CAN-HC-02145</t>
  </si>
  <si>
    <t>CAN-HC-02146</t>
  </si>
  <si>
    <t>CAN-HC-02147</t>
  </si>
  <si>
    <t>CAN-HC-02148</t>
  </si>
  <si>
    <t>CAN-HC-02149</t>
  </si>
  <si>
    <t>CAN-HC-02150</t>
  </si>
  <si>
    <t>CAN-HC-02151</t>
  </si>
  <si>
    <t>CAN-HC-02152</t>
  </si>
  <si>
    <t>CAN-HC-02153</t>
  </si>
  <si>
    <t>CAN-HC-02154</t>
  </si>
  <si>
    <t>CAN-HC-02155</t>
  </si>
  <si>
    <t>CAN-HC-02156</t>
  </si>
  <si>
    <t>CAN-HC-02157</t>
  </si>
  <si>
    <t>CAN-HC-02158</t>
  </si>
  <si>
    <t>CAN-HC-02159</t>
  </si>
  <si>
    <t>CAN-HC-02160</t>
  </si>
  <si>
    <t>CAN-HC-02161</t>
  </si>
  <si>
    <t>CAN-HC-02162</t>
  </si>
  <si>
    <t>CAN-HC-02163</t>
  </si>
  <si>
    <t>CAN-HC-02164</t>
  </si>
  <si>
    <t>CAN-HC-02165</t>
  </si>
  <si>
    <t>CAN-HC-02166</t>
  </si>
  <si>
    <t>CAN-HC-02167</t>
  </si>
  <si>
    <t>CAN-HC-02168</t>
  </si>
  <si>
    <t>CAN-HC-02169</t>
  </si>
  <si>
    <t>CAN-HC-02170</t>
  </si>
  <si>
    <t>CAN-HC-02171</t>
  </si>
  <si>
    <t>CAN-HC-02172</t>
  </si>
  <si>
    <t>CAN-HC-02173</t>
  </si>
  <si>
    <t>CAN-HC-02174</t>
  </si>
  <si>
    <t>CAN-HC-02175</t>
  </si>
  <si>
    <t>CAN-HC-02176</t>
  </si>
  <si>
    <t>CAN-HC-02177</t>
  </si>
  <si>
    <t>CAN-HC-02178</t>
  </si>
  <si>
    <t>CAN-HC-02179</t>
  </si>
  <si>
    <t>CAN-HC-02180</t>
  </si>
  <si>
    <t>CAN-HC-02181</t>
  </si>
  <si>
    <t>CAN-HC-02182</t>
  </si>
  <si>
    <t>CAN-HC-02183</t>
  </si>
  <si>
    <t>CAN-HC-02184</t>
  </si>
  <si>
    <t>CAN-HC-02185</t>
  </si>
  <si>
    <t>CAN-HC-02186</t>
  </si>
  <si>
    <t>CAN-HC-02187</t>
  </si>
  <si>
    <t>CAN-HC-02188</t>
  </si>
  <si>
    <t>CAN-HC-02189</t>
  </si>
  <si>
    <t>CAN-HC-02190</t>
  </si>
  <si>
    <t>CAN-HC-02191</t>
  </si>
  <si>
    <t>CAN-HC-02192</t>
  </si>
  <si>
    <t>CAN-HC-02193</t>
  </si>
  <si>
    <t>CAN-HC-02194</t>
  </si>
  <si>
    <t>CAN-HC-02195</t>
  </si>
  <si>
    <t>CAN-HC-02196</t>
  </si>
  <si>
    <t>CAN-HC-02197</t>
  </si>
  <si>
    <t>CAN-HC-02198</t>
  </si>
  <si>
    <t>CAN-HC-02199</t>
  </si>
  <si>
    <t>CAN-HC-02200</t>
  </si>
  <si>
    <t>CAN-HC-02201</t>
  </si>
  <si>
    <t>CAN-HC-02202</t>
  </si>
  <si>
    <t>CAN-HC-02203</t>
  </si>
  <si>
    <t>CAN-HC-02204</t>
  </si>
  <si>
    <t>CAN-HC-02205</t>
  </si>
  <si>
    <t>CAN-HC-02206</t>
  </si>
  <si>
    <t>CAN-HC-02207</t>
  </si>
  <si>
    <t>CAN-HC-02208</t>
  </si>
  <si>
    <t>CAN-HC-02209</t>
  </si>
  <si>
    <t>CAN-HC-02210</t>
  </si>
  <si>
    <t>CAN-HC-02211</t>
  </si>
  <si>
    <t>CAN-HC-02212</t>
  </si>
  <si>
    <t>CAN-HC-02213</t>
  </si>
  <si>
    <t>CAN-HC-02214</t>
  </si>
  <si>
    <t>CAN-HC-02215</t>
  </si>
  <si>
    <t>CAN-HC-02216</t>
  </si>
  <si>
    <t>CAN-HC-02217</t>
  </si>
  <si>
    <t>CAN-HC-02218</t>
  </si>
  <si>
    <t>CAN-HC-02219</t>
  </si>
  <si>
    <t>CAN-HC-02220</t>
  </si>
  <si>
    <t>CAN-HC-02221</t>
  </si>
  <si>
    <t>CAN-HC-02222</t>
  </si>
  <si>
    <t>CAN-HC-02223</t>
  </si>
  <si>
    <t>CAN-HC-02224</t>
  </si>
  <si>
    <t>CAN-HC-02225</t>
  </si>
  <si>
    <t>CAN-HC-02226</t>
  </si>
  <si>
    <t>CAN-HC-02227</t>
  </si>
  <si>
    <t>CAN-HC-02228</t>
  </si>
  <si>
    <t>CAN-HC-02229</t>
  </si>
  <si>
    <t>CAN-HC-02230</t>
  </si>
  <si>
    <t>CAN-HC-02231</t>
  </si>
  <si>
    <t>CAN-HC-02232</t>
  </si>
  <si>
    <t>CAN-HC-02233</t>
  </si>
  <si>
    <t>CAN-HC-02234</t>
  </si>
  <si>
    <t>CAN-HC-02235</t>
  </si>
  <si>
    <t>CAN-HC-02236</t>
  </si>
  <si>
    <t>CAN-HC-02237</t>
  </si>
  <si>
    <t>CAN-HC-02238</t>
  </si>
  <si>
    <t>CAN-HC-02239</t>
  </si>
  <si>
    <t>CAN-HC-02240</t>
  </si>
  <si>
    <t>CAN-HC-02241</t>
  </si>
  <si>
    <t>CAN-HC-02242</t>
  </si>
  <si>
    <t>CAN-HC-02243</t>
  </si>
  <si>
    <t>CAN-HC-02244</t>
  </si>
  <si>
    <t>CAN-HC-02245</t>
  </si>
  <si>
    <t>CAN-HC-02246</t>
  </si>
  <si>
    <t>CAN-HC-02247</t>
  </si>
  <si>
    <t>CAN-HC-02248</t>
  </si>
  <si>
    <t>CAN-HC-02249</t>
  </si>
  <si>
    <t>CAN-HC-02250</t>
  </si>
  <si>
    <t>CAN-HC-02251</t>
  </si>
  <si>
    <t>CAN-HC-02252</t>
  </si>
  <si>
    <t>CAN-HC-02253</t>
  </si>
  <si>
    <t>CAN-HC-02254</t>
  </si>
  <si>
    <t>CAN-HC-02255</t>
  </si>
  <si>
    <t>CAN-HC-02256</t>
  </si>
  <si>
    <t>CAN-HC-02257</t>
  </si>
  <si>
    <t>CAN-HC-02258</t>
  </si>
  <si>
    <t>CAN-HC-02259</t>
  </si>
  <si>
    <t>CAN-HC-02260</t>
  </si>
  <si>
    <t>CAN-HC-02261</t>
  </si>
  <si>
    <t>CAN-HC-02262</t>
  </si>
  <si>
    <t>CAN-HC-02263</t>
  </si>
  <si>
    <t>CAN-HC-02264</t>
  </si>
  <si>
    <t>CAN-HC-02265</t>
  </si>
  <si>
    <t>CAN-HC-02266</t>
  </si>
  <si>
    <t>CAN-HC-02267</t>
  </si>
  <si>
    <t>CAN-HC-02268</t>
  </si>
  <si>
    <t>CAN-HC-02269</t>
  </si>
  <si>
    <t>CAN-HC-02270</t>
  </si>
  <si>
    <t>CAN-HC-02271</t>
  </si>
  <si>
    <t>CAN-HC-02272</t>
  </si>
  <si>
    <t>CAN-HC-02273</t>
  </si>
  <si>
    <t>CAN-HC-02274</t>
  </si>
  <si>
    <t>CAN-HC-02275</t>
  </si>
  <si>
    <t>CAN-HC-02276</t>
  </si>
  <si>
    <t>CAN-HC-02277</t>
  </si>
  <si>
    <t>CAN-HC-02278</t>
  </si>
  <si>
    <t>CAN-HC-02279</t>
  </si>
  <si>
    <t>CAN-HC-02280</t>
  </si>
  <si>
    <t>CAN-HC-02281</t>
  </si>
  <si>
    <t>CAN-HC-02282</t>
  </si>
  <si>
    <t>CAN-HC-02283</t>
  </si>
  <si>
    <t>CAN-HC-02284</t>
  </si>
  <si>
    <t>CAN-HC-02285</t>
  </si>
  <si>
    <t>CAN-HC-02286</t>
  </si>
  <si>
    <t>CAN-HC-02287</t>
  </si>
  <si>
    <t>CAN-HC-02288</t>
  </si>
  <si>
    <t>CAN-HC-02289</t>
  </si>
  <si>
    <t>CAN-HC-02290</t>
  </si>
  <si>
    <t>CAN-HC-02291</t>
  </si>
  <si>
    <t>CAN-HC-02292</t>
  </si>
  <si>
    <t>CAN-HC-02293</t>
  </si>
  <si>
    <t>CAN-HC-02294</t>
  </si>
  <si>
    <t>CAN-HC-02295</t>
  </si>
  <si>
    <t>CAN-HC-02296</t>
  </si>
  <si>
    <t>CAN-HC-02297</t>
  </si>
  <si>
    <t>CAN-HC-02298</t>
  </si>
  <si>
    <t>CAN-HC-02299</t>
  </si>
  <si>
    <t>CAN-HC-02300</t>
  </si>
  <si>
    <t>CAN-HC-02301</t>
  </si>
  <si>
    <t>CAN-HC-02302</t>
  </si>
  <si>
    <t>CAN-HC-02303</t>
  </si>
  <si>
    <t>CAN-HC-02304</t>
  </si>
  <si>
    <t>CAN-HC-02305</t>
  </si>
  <si>
    <t>CAN-HC-02306</t>
  </si>
  <si>
    <t>CAN-HC-02307</t>
  </si>
  <si>
    <t>CAN-HC-02308</t>
  </si>
  <si>
    <t>CAN-HC-02309</t>
  </si>
  <si>
    <t>CAN-HC-02310</t>
  </si>
  <si>
    <t>CAN-HC-02311</t>
  </si>
  <si>
    <t>CAN-HC-02312</t>
  </si>
  <si>
    <t>CAN-HC-02313</t>
  </si>
  <si>
    <t>CAN-HC-02314</t>
  </si>
  <si>
    <t>CAN-HC-02315</t>
  </si>
  <si>
    <t>CAN-HC-02316</t>
  </si>
  <si>
    <t>CAN-HC-02317</t>
  </si>
  <si>
    <t>CAN-HC-02318</t>
  </si>
  <si>
    <t>CAN-HC-02319</t>
  </si>
  <si>
    <t>CAN-HC-02320</t>
  </si>
  <si>
    <t>CAN-HC-02321</t>
  </si>
  <si>
    <t>CAN-HC-02322</t>
  </si>
  <si>
    <t>CAN-HC-02323</t>
  </si>
  <si>
    <t>CAN-HC-02324</t>
  </si>
  <si>
    <t>CAN-HC-02325</t>
  </si>
  <si>
    <t>CAN-HC-02326</t>
  </si>
  <si>
    <t>CAN-HC-02327</t>
  </si>
  <si>
    <t>CAN-HC-02328</t>
  </si>
  <si>
    <t>CAN-HC-02329</t>
  </si>
  <si>
    <t>CAN-HC-02330</t>
  </si>
  <si>
    <t>CAN-HC-02331</t>
  </si>
  <si>
    <t>CAN-HC-02332</t>
  </si>
  <si>
    <t>CAN-HC-02333</t>
  </si>
  <si>
    <t>CAN-HC-02334</t>
  </si>
  <si>
    <t>CAN-HC-02335</t>
  </si>
  <si>
    <t>CAN-HC-02336</t>
  </si>
  <si>
    <t>CAN-HC-02337</t>
  </si>
  <si>
    <t>CAN-HC-02338</t>
  </si>
  <si>
    <t>CAN-HC-02339</t>
  </si>
  <si>
    <t>CAN-HC-02340</t>
  </si>
  <si>
    <t>CAN-HC-02341</t>
  </si>
  <si>
    <t>CAN-HC-02342</t>
  </si>
  <si>
    <t>CAN-HC-02343</t>
  </si>
  <si>
    <t>CAN-HC-02344</t>
  </si>
  <si>
    <t>CAN-HC-02345</t>
  </si>
  <si>
    <t>CAN-HC-02346</t>
  </si>
  <si>
    <t>CAN-HC-02347</t>
  </si>
  <si>
    <t>CAN-HC-02348</t>
  </si>
  <si>
    <t>CAN-HC-02349</t>
  </si>
  <si>
    <t>CAN-HC-02350</t>
  </si>
  <si>
    <t>CAN-HC-02351</t>
  </si>
  <si>
    <t>CAN-HC-02352</t>
  </si>
  <si>
    <t>CAN-HC-02353</t>
  </si>
  <si>
    <t>CAN-HC-02354</t>
  </si>
  <si>
    <t>CAN-HC-02355</t>
  </si>
  <si>
    <t>CAN-HC-02356</t>
  </si>
  <si>
    <t>CAN-HC-02357</t>
  </si>
  <si>
    <t>CAN-HC-02358</t>
  </si>
  <si>
    <t>CAN-HC-02359</t>
  </si>
  <si>
    <t>CAN-HC-02360</t>
  </si>
  <si>
    <t>CAN-HC-02361</t>
  </si>
  <si>
    <t>CAN-HC-02362</t>
  </si>
  <si>
    <t>CAN-HC-02363</t>
  </si>
  <si>
    <t>CAN-HC-02364</t>
  </si>
  <si>
    <t>CAN-HC-02365</t>
  </si>
  <si>
    <t>CAN-HC-02366</t>
  </si>
  <si>
    <t>CAN-HC-02367</t>
  </si>
  <si>
    <t>CAN-HC-02368</t>
  </si>
  <si>
    <t>CAN-HC-02369</t>
  </si>
  <si>
    <t>CAN-HC-02370</t>
  </si>
  <si>
    <t>CAN-HC-02371</t>
  </si>
  <si>
    <t>CAN-HC-02372</t>
  </si>
  <si>
    <t>CAN-HC-02373</t>
  </si>
  <si>
    <t>CAN-HC-02374</t>
  </si>
  <si>
    <t>CAN-HC-02375</t>
  </si>
  <si>
    <t>CAN-HC-02376</t>
  </si>
  <si>
    <t>CAN-HC-02377</t>
  </si>
  <si>
    <t>CAN-HC-02378</t>
  </si>
  <si>
    <t>CAN-HC-02379</t>
  </si>
  <si>
    <t>CAN-HC-02380</t>
  </si>
  <si>
    <t>CAN-HC-02381</t>
  </si>
  <si>
    <t>CAN-HC-02382</t>
  </si>
  <si>
    <t>CAN-HC-02383</t>
  </si>
  <si>
    <t>CAN-HC-02384</t>
  </si>
  <si>
    <t>CAN-HC-02385</t>
  </si>
  <si>
    <t>CAN-HC-02386</t>
  </si>
  <si>
    <t>CAN-HC-02387</t>
  </si>
  <si>
    <t>CAN-HC-02388</t>
  </si>
  <si>
    <t>CAN-HC-02389</t>
  </si>
  <si>
    <t>CAN-HC-02390</t>
  </si>
  <si>
    <t>CAN-HC-02391</t>
  </si>
  <si>
    <t>CAN-HC-02392</t>
  </si>
  <si>
    <t>CAN-HC-02393</t>
  </si>
  <si>
    <t>CAN-HC-02394</t>
  </si>
  <si>
    <t>CAN-HC-02395</t>
  </si>
  <si>
    <t>CAN-HC-02396</t>
  </si>
  <si>
    <t>CAN-HC-02397</t>
  </si>
  <si>
    <t>CAN-HC-02398</t>
  </si>
  <si>
    <t>CAN-HC-02399</t>
  </si>
  <si>
    <t>CAN-HC-02400</t>
  </si>
  <si>
    <t>CAN-HC-02401</t>
  </si>
  <si>
    <t>CAN-HC-02402</t>
  </si>
  <si>
    <t>CAN-HC-02403</t>
  </si>
  <si>
    <t>CAN-HC-02404</t>
  </si>
  <si>
    <t>CAN-HC-02405</t>
  </si>
  <si>
    <t>CAN-HC-02406</t>
  </si>
  <si>
    <t>CAN-HC-02407</t>
  </si>
  <si>
    <t>CAN-HC-02408</t>
  </si>
  <si>
    <t>CAN-HC-02409</t>
  </si>
  <si>
    <t>CAN-HC-02410</t>
  </si>
  <si>
    <t>CAN-HC-02411</t>
  </si>
  <si>
    <t>CAN-HC-02412</t>
  </si>
  <si>
    <t>CAN-HC-02413</t>
  </si>
  <si>
    <t>CAN-HC-02414</t>
  </si>
  <si>
    <t>CAN-HC-02415</t>
  </si>
  <si>
    <t>CAN-HC-02416</t>
  </si>
  <si>
    <t>CAN-HC-02417</t>
  </si>
  <si>
    <t>CAN-HC-02418</t>
  </si>
  <si>
    <t>CAN-HC-02419</t>
  </si>
  <si>
    <t>CAN-HC-02420</t>
  </si>
  <si>
    <t>CAN-HC-02421</t>
  </si>
  <si>
    <t>CAN-HC-02422</t>
  </si>
  <si>
    <t>CAN-HC-02423</t>
  </si>
  <si>
    <t>CAN-HC-02424</t>
  </si>
  <si>
    <t>CAN-HC-02425</t>
  </si>
  <si>
    <t>CAN-HC-02426</t>
  </si>
  <si>
    <t>CAN-HC-02427</t>
  </si>
  <si>
    <t>CAN-HC-02428</t>
  </si>
  <si>
    <t>CAN-HC-02429</t>
  </si>
  <si>
    <t>CAN-HC-02430</t>
  </si>
  <si>
    <t>CAN-HC-02431</t>
  </si>
  <si>
    <t>CAN-HC-02432</t>
  </si>
  <si>
    <t>CAN-HC-02433</t>
  </si>
  <si>
    <t>CAN-HC-02434</t>
  </si>
  <si>
    <t>CAN-HC-02435</t>
  </si>
  <si>
    <t>CAN-HC-02436</t>
  </si>
  <si>
    <t>CAN-HC-02437</t>
  </si>
  <si>
    <t>CAN-HC-02438</t>
  </si>
  <si>
    <t>CAN-HC-02439</t>
  </si>
  <si>
    <t>CAN-HC-02440</t>
  </si>
  <si>
    <t>CAN-HC-02441</t>
  </si>
  <si>
    <t>CAN-HC-02442</t>
  </si>
  <si>
    <t>CAN-HC-02443</t>
  </si>
  <si>
    <t>CAN-HC-02444</t>
  </si>
  <si>
    <t>CAN-HC-02445</t>
  </si>
  <si>
    <t>CAN-HC-02446</t>
  </si>
  <si>
    <t>CAN-HC-02447</t>
  </si>
  <si>
    <t>CAN-HC-02448</t>
  </si>
  <si>
    <t>CAN-HC-02449</t>
  </si>
  <si>
    <t>CAN-HC-02450</t>
  </si>
  <si>
    <t>CAN-HC-02451</t>
  </si>
  <si>
    <t>CAN-HC-02452</t>
  </si>
  <si>
    <t>CAN-HC-02453</t>
  </si>
  <si>
    <t>CAN-HC-02454</t>
  </si>
  <si>
    <t>CAN-HC-02455</t>
  </si>
  <si>
    <t>CAN-HC-02456</t>
  </si>
  <si>
    <t>CAN-HC-02457</t>
  </si>
  <si>
    <t>CAN-HC-02458</t>
  </si>
  <si>
    <t>CAN-HC-02459</t>
  </si>
  <si>
    <t>CAN-HC-02460</t>
  </si>
  <si>
    <t>CAN-HC-02461</t>
  </si>
  <si>
    <t>CAN-HC-02462</t>
  </si>
  <si>
    <t>CAN-HC-02463</t>
  </si>
  <si>
    <t>CAN-HC-02464</t>
  </si>
  <si>
    <t>CAN-HC-02465</t>
  </si>
  <si>
    <t>CAN-HC-02466</t>
  </si>
  <si>
    <t>CAN-HC-02467</t>
  </si>
  <si>
    <t>CAN-HC-02468</t>
  </si>
  <si>
    <t>CAN-HC-02469</t>
  </si>
  <si>
    <t>CAN-HC-02470</t>
  </si>
  <si>
    <t>CAN-HC-02471</t>
  </si>
  <si>
    <t>CAN-HC-02472</t>
  </si>
  <si>
    <t>CAN-HC-02473</t>
  </si>
  <si>
    <t>CAN-HC-02474</t>
  </si>
  <si>
    <t>CAN-HC-02475</t>
  </si>
  <si>
    <t>CAN-HC-02476</t>
  </si>
  <si>
    <t>CAN-HC-02477</t>
  </si>
  <si>
    <t>CAN-HC-02478</t>
  </si>
  <si>
    <t>CAN-HC-02479</t>
  </si>
  <si>
    <t>CAN-HC-02480</t>
  </si>
  <si>
    <t>CAN-HC-02481</t>
  </si>
  <si>
    <t>CAN-HC-02482</t>
  </si>
  <si>
    <t>CAN-HC-02483</t>
  </si>
  <si>
    <t>CAN-HC-02484</t>
  </si>
  <si>
    <t>CAN-HC-02485</t>
  </si>
  <si>
    <t>CAN-HC-02486</t>
  </si>
  <si>
    <t>CAN-HC-02487</t>
  </si>
  <si>
    <t>CAN-HC-02488</t>
  </si>
  <si>
    <t>CAN-HC-02489</t>
  </si>
  <si>
    <t>CAN-HC-02490</t>
  </si>
  <si>
    <t>CAN-HC-02491</t>
  </si>
  <si>
    <t>CAN-HC-02492</t>
  </si>
  <si>
    <t>CAN-HC-02493</t>
  </si>
  <si>
    <t>CAN-HC-02494</t>
  </si>
  <si>
    <t>CAN-HC-02495</t>
  </si>
  <si>
    <t>CAN-HC-02496</t>
  </si>
  <si>
    <t>CAN-HC-02497</t>
  </si>
  <si>
    <t>CAN-HC-02498</t>
  </si>
  <si>
    <t>CAN-HC-02499</t>
  </si>
  <si>
    <t>CAN-HC-02500</t>
  </si>
  <si>
    <t>CAN-HC-02501</t>
  </si>
  <si>
    <t>CAN-HC-02502</t>
  </si>
  <si>
    <t>CAN-HC-02503</t>
  </si>
  <si>
    <t>CAN-HC-02504</t>
  </si>
  <si>
    <t>CAN-HC-02505</t>
  </si>
  <si>
    <t>CAN-HC-02506</t>
  </si>
  <si>
    <t>CAN-HC-02507</t>
  </si>
  <si>
    <t>CAN-HC-02508</t>
  </si>
  <si>
    <t>CAN-HC-02509</t>
  </si>
  <si>
    <t>CAN-HC-02510</t>
  </si>
  <si>
    <t>CAN-HC-02511</t>
  </si>
  <si>
    <t>CAN-HC-02512</t>
  </si>
  <si>
    <t>CAN-HC-02513</t>
  </si>
  <si>
    <t>CAN-HC-02514</t>
  </si>
  <si>
    <t>CAN-HC-02515</t>
  </si>
  <si>
    <t>CAN-HC-02516</t>
  </si>
  <si>
    <t>CAN-HC-02517</t>
  </si>
  <si>
    <t>CAN-HC-02518</t>
  </si>
  <si>
    <t>CAN-HC-02519</t>
  </si>
  <si>
    <t>CAN-HC-02520</t>
  </si>
  <si>
    <t>CAN-HC-02521</t>
  </si>
  <si>
    <t>CAN-HC-02522</t>
  </si>
  <si>
    <t>CAN-HC-02523</t>
  </si>
  <si>
    <t>CAN-HC-02524</t>
  </si>
  <si>
    <t>CAN-HC-02525</t>
  </si>
  <si>
    <t>CAN-HC-02526</t>
  </si>
  <si>
    <t>CAN-HC-02527</t>
  </si>
  <si>
    <t>CAN-HC-02528</t>
  </si>
  <si>
    <t>CAN-HC-02529</t>
  </si>
  <si>
    <t>CAN-HC-02530</t>
  </si>
  <si>
    <t>CAN-HC-02531</t>
  </si>
  <si>
    <t>CAN-HC-02532</t>
  </si>
  <si>
    <t>CAN-HC-02533</t>
  </si>
  <si>
    <t>CAN-HC-02534</t>
  </si>
  <si>
    <t>CAN-HC-02535</t>
  </si>
  <si>
    <t>CAN-HC-02536</t>
  </si>
  <si>
    <t>CAN-HC-02537</t>
  </si>
  <si>
    <t>CAN-HC-02538</t>
  </si>
  <si>
    <t>CAN-HC-02539</t>
  </si>
  <si>
    <t>CAN-HC-02540</t>
  </si>
  <si>
    <t>CAN-HC-02541</t>
  </si>
  <si>
    <t>CAN-HC-02542</t>
  </si>
  <si>
    <t>CAN-HC-02543</t>
  </si>
  <si>
    <t>CAN-HC-02544</t>
  </si>
  <si>
    <t>CAN-HC-02545</t>
  </si>
  <si>
    <t>CAN-HC-02546</t>
  </si>
  <si>
    <t>CAN-HC-02547</t>
  </si>
  <si>
    <t>CAN-HC-02548</t>
  </si>
  <si>
    <t>CAN-HC-02549</t>
  </si>
  <si>
    <t>CAN-HC-02550</t>
  </si>
  <si>
    <t>CAN-HC-02551</t>
  </si>
  <si>
    <t>CAN-HC-02552</t>
  </si>
  <si>
    <t>CAN-HC-02553</t>
  </si>
  <si>
    <t>CAN-HC-02554</t>
  </si>
  <si>
    <t>CAN-HC-02555</t>
  </si>
  <si>
    <t>CAN-HC-02556</t>
  </si>
  <si>
    <t>CAN-HC-02557</t>
  </si>
  <si>
    <t>CAN-HC-02558</t>
  </si>
  <si>
    <t>CAN-HC-02559</t>
  </si>
  <si>
    <t>CAN-HC-02560</t>
  </si>
  <si>
    <t>CAN-HC-02561</t>
  </si>
  <si>
    <t>CAN-HC-02562</t>
  </si>
  <si>
    <t>CAN-HC-02563</t>
  </si>
  <si>
    <t>CAN-HC-02564</t>
  </si>
  <si>
    <t>CAN-HC-02565</t>
  </si>
  <si>
    <t>CAN-HC-02566</t>
  </si>
  <si>
    <t>CAN-HC-02567</t>
  </si>
  <si>
    <t>CAN-HC-02568</t>
  </si>
  <si>
    <t>CAN-HC-02569</t>
  </si>
  <si>
    <t>CAN-HC-02570</t>
  </si>
  <si>
    <t>CAN-HC-02571</t>
  </si>
  <si>
    <t>CAN-HC-02572</t>
  </si>
  <si>
    <t>CAN-HC-02573</t>
  </si>
  <si>
    <t>CAN-HC-02574</t>
  </si>
  <si>
    <t>CAN-HC-02575</t>
  </si>
  <si>
    <t>CAN-HC-02576</t>
  </si>
  <si>
    <t>CAN-HC-02577</t>
  </si>
  <si>
    <t>CAN-HC-02578</t>
  </si>
  <si>
    <t>CAN-HC-02579</t>
  </si>
  <si>
    <t>CAN-HC-02580</t>
  </si>
  <si>
    <t>CAN-HC-02581</t>
  </si>
  <si>
    <t>CAN-HC-02582</t>
  </si>
  <si>
    <t>CAN-HC-02583</t>
  </si>
  <si>
    <t>CAN-HC-02584</t>
  </si>
  <si>
    <t>CAN-HC-02585</t>
  </si>
  <si>
    <t>CAN-HC-02586</t>
  </si>
  <si>
    <t>CAN-HC-02587</t>
  </si>
  <si>
    <t>CAN-HC-02588</t>
  </si>
  <si>
    <t>CAN-HC-02589</t>
  </si>
  <si>
    <t>CAN-HC-02590</t>
  </si>
  <si>
    <t>CAN-HC-02591</t>
  </si>
  <si>
    <t>CAN-HC-02592</t>
  </si>
  <si>
    <t>CAN-HC-02593</t>
  </si>
  <si>
    <t>CAN-HC-02594</t>
  </si>
  <si>
    <t>CAN-HC-02595</t>
  </si>
  <si>
    <t>CAN-HC-02596</t>
  </si>
  <si>
    <t>CAN-HC-02597</t>
  </si>
  <si>
    <t>CAN-HC-02598</t>
  </si>
  <si>
    <t>CAN-HC-02599</t>
  </si>
  <si>
    <t>CAN-HC-02600</t>
  </si>
  <si>
    <t>CAN-HC-02601</t>
  </si>
  <si>
    <t>CAN-HC-02602</t>
  </si>
  <si>
    <t>CAN-HC-02603</t>
  </si>
  <si>
    <t>CAN-HC-02604</t>
  </si>
  <si>
    <t>CAN-HC-02605</t>
  </si>
  <si>
    <t>CAN-HC-02606</t>
  </si>
  <si>
    <t>CAN-HC-02607</t>
  </si>
  <si>
    <t>CAN-HC-02608</t>
  </si>
  <si>
    <t>CAN-HC-02609</t>
  </si>
  <si>
    <t>CAN-HC-02610</t>
  </si>
  <si>
    <t>CAN-HC-02611</t>
  </si>
  <si>
    <t>CAN-HC-02612</t>
  </si>
  <si>
    <t>CAN-HC-02613</t>
  </si>
  <si>
    <t>CAN-HC-02614</t>
  </si>
  <si>
    <t>CAN-HC-02615</t>
  </si>
  <si>
    <t>CAN-HC-02616</t>
  </si>
  <si>
    <t>CAN-HC-02617</t>
  </si>
  <si>
    <t>CAN-HC-02618</t>
  </si>
  <si>
    <t>CAN-HC-02619</t>
  </si>
  <si>
    <t>CAN-HC-02620</t>
  </si>
  <si>
    <t>CAN-HC-02621</t>
  </si>
  <si>
    <t>CAN-HC-02622</t>
  </si>
  <si>
    <t>CAN-HC-02623</t>
  </si>
  <si>
    <t>CAN-HC-02624</t>
  </si>
  <si>
    <t>CAN-HC-02625</t>
  </si>
  <si>
    <t>CAN-HC-02626</t>
  </si>
  <si>
    <t>CAN-HC-02627</t>
  </si>
  <si>
    <t>CAN-HC-02628</t>
  </si>
  <si>
    <t>CAN-HC-02629</t>
  </si>
  <si>
    <t>CAN-HC-02630</t>
  </si>
  <si>
    <t>CAN-HC-02631</t>
  </si>
  <si>
    <t>CAN-HC-02632</t>
  </si>
  <si>
    <t>CAN-HC-02633</t>
  </si>
  <si>
    <t>CAN-HC-02634</t>
  </si>
  <si>
    <t>CAN-HC-02635</t>
  </si>
  <si>
    <t>CAN-HC-02636</t>
  </si>
  <si>
    <t>CAN-HC-02637</t>
  </si>
  <si>
    <t>CAN-HC-02638</t>
  </si>
  <si>
    <t>CAN-HC-02639</t>
  </si>
  <si>
    <t>CAN-HC-02640</t>
  </si>
  <si>
    <t>CAN-HC-02641</t>
  </si>
  <si>
    <t>CAN-HC-02642</t>
  </si>
  <si>
    <t>CAN-HC-02643</t>
  </si>
  <si>
    <t>CAN-HC-02644</t>
  </si>
  <si>
    <t>CAN-HC-02645</t>
  </si>
  <si>
    <t>CAN-HC-02646</t>
  </si>
  <si>
    <t>CAN-HC-02647</t>
  </si>
  <si>
    <t>CAN-HC-02648</t>
  </si>
  <si>
    <t>CAN-HC-02649</t>
  </si>
  <si>
    <t>CAN-HC-02650</t>
  </si>
  <si>
    <t>CAN-HC-02651</t>
  </si>
  <si>
    <t>CAN-HC-02652</t>
  </si>
  <si>
    <t>CAN-HC-02653</t>
  </si>
  <si>
    <t>CAN-HC-02654</t>
  </si>
  <si>
    <t>CAN-HC-02655</t>
  </si>
  <si>
    <t>CAN-HC-02656</t>
  </si>
  <si>
    <t>CAN-HC-02657</t>
  </si>
  <si>
    <t>CAN-HC-02658</t>
  </si>
  <si>
    <t>CAN-HC-02659</t>
  </si>
  <si>
    <t>CAN-HC-02660</t>
  </si>
  <si>
    <t>CAN-HC-02661</t>
  </si>
  <si>
    <t>CAN-HC-02662</t>
  </si>
  <si>
    <t>CAN-HC-02663</t>
  </si>
  <si>
    <t>CAN-HC-02664</t>
  </si>
  <si>
    <t>CAN-HC-02665</t>
  </si>
  <si>
    <t>CAN-HC-02666</t>
  </si>
  <si>
    <t>CAN-HC-02667</t>
  </si>
  <si>
    <t>CAN-HC-02668</t>
  </si>
  <si>
    <t>CAN-HC-02669</t>
  </si>
  <si>
    <t>CAN-HC-02670</t>
  </si>
  <si>
    <t>CAN-HC-02671</t>
  </si>
  <si>
    <t>CAN-HC-02672</t>
  </si>
  <si>
    <t>CAN-HC-02673</t>
  </si>
  <si>
    <t>CAN-HC-02674</t>
  </si>
  <si>
    <t>CAN-HC-02675</t>
  </si>
  <si>
    <t>CAN-HC-02676</t>
  </si>
  <si>
    <t>CAN-HC-02677</t>
  </si>
  <si>
    <t>CAN-HC-02678</t>
  </si>
  <si>
    <t>CAN-HC-02679</t>
  </si>
  <si>
    <t>CAN-HC-02680</t>
  </si>
  <si>
    <t>CAN-HC-02681</t>
  </si>
  <si>
    <t>CAN-HC-02682</t>
  </si>
  <si>
    <t>CAN-HC-02683</t>
  </si>
  <si>
    <t>CAN-HC-02684</t>
  </si>
  <si>
    <t>CAN-HC-02685</t>
  </si>
  <si>
    <t>CAN-HC-02686</t>
  </si>
  <si>
    <t>CAN-HC-02687</t>
  </si>
  <si>
    <t>CAN-HC-02688</t>
  </si>
  <si>
    <t>CAN-HC-02689</t>
  </si>
  <si>
    <t>CAN-HC-02690</t>
  </si>
  <si>
    <t>CAN-HC-02691</t>
  </si>
  <si>
    <t>CAN-HC-02692</t>
  </si>
  <si>
    <t>CAN-HC-02693</t>
  </si>
  <si>
    <t>CAN-HC-02694</t>
  </si>
  <si>
    <t>CAN-HC-02695</t>
  </si>
  <si>
    <t>CAN-HC-02696</t>
  </si>
  <si>
    <t>CAN-HC-02697</t>
  </si>
  <si>
    <t>CAN-HC-02698</t>
  </si>
  <si>
    <t>CAN-HC-02699</t>
  </si>
  <si>
    <t>CAN-HC-02700</t>
  </si>
  <si>
    <t>CAN-HC-02701</t>
  </si>
  <si>
    <t>CAN-HC-02702</t>
  </si>
  <si>
    <t>CAN-HC-02703</t>
  </si>
  <si>
    <t>CAN-HC-02704</t>
  </si>
  <si>
    <t>CAN-HC-02705</t>
  </si>
  <si>
    <t>CAN-HC-02706</t>
  </si>
  <si>
    <t>CAN-HC-02707</t>
  </si>
  <si>
    <t>CAN-HC-02708</t>
  </si>
  <si>
    <t>CAN-HC-02709</t>
  </si>
  <si>
    <t>CAN-HC-02710</t>
  </si>
  <si>
    <t>CAN-HC-02711</t>
  </si>
  <si>
    <t>CAN-HC-02712</t>
  </si>
  <si>
    <t>CAN-HC-02713</t>
  </si>
  <si>
    <t>CAN-HC-02714</t>
  </si>
  <si>
    <t>CAN-HC-02715</t>
  </si>
  <si>
    <t>CAN-HC-02716</t>
  </si>
  <si>
    <t>CAN-HC-02717</t>
  </si>
  <si>
    <t>CAN-HC-02718</t>
  </si>
  <si>
    <t>CAN-HC-02719</t>
  </si>
  <si>
    <t>CAN-HC-02720</t>
  </si>
  <si>
    <t>CAN-HC-02721</t>
  </si>
  <si>
    <t>CAN-HC-02722</t>
  </si>
  <si>
    <t>CAN-HC-02723</t>
  </si>
  <si>
    <t>CAN-HC-02724</t>
  </si>
  <si>
    <t>CAN-HC-02725</t>
  </si>
  <si>
    <t>CAN-HC-02726</t>
  </si>
  <si>
    <t>CAN-HC-02727</t>
  </si>
  <si>
    <t>CAN-HC-02728</t>
  </si>
  <si>
    <t>CAN-HC-02729</t>
  </si>
  <si>
    <t>CAN-HC-02730</t>
  </si>
  <si>
    <t>CAN-HC-02731</t>
  </si>
  <si>
    <t>CAN-HC-02732</t>
  </si>
  <si>
    <t>CAN-HC-02733</t>
  </si>
  <si>
    <t>CAN-HC-02734</t>
  </si>
  <si>
    <t>CAN-HC-02735</t>
  </si>
  <si>
    <t>CAN-HC-02736</t>
  </si>
  <si>
    <t>CAN-HC-02737</t>
  </si>
  <si>
    <t>CAN-HC-02738</t>
  </si>
  <si>
    <t>CAN-HC-02739</t>
  </si>
  <si>
    <t>CAN-HC-02740</t>
  </si>
  <si>
    <t>CAN-HC-02741</t>
  </si>
  <si>
    <t>CAN-HC-02742</t>
  </si>
  <si>
    <t>CAN-HC-02743</t>
  </si>
  <si>
    <t>CAN-HC-02744</t>
  </si>
  <si>
    <t>CAN-HC-02745</t>
  </si>
  <si>
    <t>CAN-HC-02746</t>
  </si>
  <si>
    <t>CAN-HC-02747</t>
  </si>
  <si>
    <t>CAN-HC-02748</t>
  </si>
  <si>
    <t>CAN-HC-02749</t>
  </si>
  <si>
    <t>CAN-HC-02750</t>
  </si>
  <si>
    <t>CAN-HC-02751</t>
  </si>
  <si>
    <t>CAN-HC-02752</t>
  </si>
  <si>
    <t>CAN-HC-02753</t>
  </si>
  <si>
    <t>CAN-HC-02754</t>
  </si>
  <si>
    <t>CAN-HC-02755</t>
  </si>
  <si>
    <t>CAN-HC-02756</t>
  </si>
  <si>
    <t>CAN-HC-02757</t>
  </si>
  <si>
    <t>CAN-HC-02758</t>
  </si>
  <si>
    <t>CAN-HC-02759</t>
  </si>
  <si>
    <t>CAN-HC-02760</t>
  </si>
  <si>
    <t>CAN-HC-02761</t>
  </si>
  <si>
    <t>CAN-HC-02762</t>
  </si>
  <si>
    <t>CAN-HC-02763</t>
  </si>
  <si>
    <t>CAN-HC-02764</t>
  </si>
  <si>
    <t>CAN-HC-02765</t>
  </si>
  <si>
    <t>CAN-HC-02766</t>
  </si>
  <si>
    <t>CAN-HC-02767</t>
  </si>
  <si>
    <t>CAN-HC-02768</t>
  </si>
  <si>
    <t>CAN-HC-02769</t>
  </si>
  <si>
    <t>CAN-HC-02770</t>
  </si>
  <si>
    <t>CAN-HC-02771</t>
  </si>
  <si>
    <t>CAN-HC-02772</t>
  </si>
  <si>
    <t>CAN-HC-02773</t>
  </si>
  <si>
    <t>CAN-HC-02774</t>
  </si>
  <si>
    <t>CAN-HC-02775</t>
  </si>
  <si>
    <t>CAN-HC-02776</t>
  </si>
  <si>
    <t>CAN-HC-02777</t>
  </si>
  <si>
    <t>CAN-HC-02778</t>
  </si>
  <si>
    <t>CAN-HC-02779</t>
  </si>
  <si>
    <t>CAN-HC-02780</t>
  </si>
  <si>
    <t>CAN-HC-02781</t>
  </si>
  <si>
    <t>CAN-HC-02782</t>
  </si>
  <si>
    <t>CAN-HC-02783</t>
  </si>
  <si>
    <t>CAN-HC-02784</t>
  </si>
  <si>
    <t>CAN-HC-02785</t>
  </si>
  <si>
    <t>CAN-HC-02786</t>
  </si>
  <si>
    <t>CAN-HC-02787</t>
  </si>
  <si>
    <t>CAN-HC-02788</t>
  </si>
  <si>
    <t>CAN-HC-02789</t>
  </si>
  <si>
    <t>CAN-HC-02790</t>
  </si>
  <si>
    <t>CAN-HC-02791</t>
  </si>
  <si>
    <t>CAN-HC-02792</t>
  </si>
  <si>
    <t>CAN-HC-02793</t>
  </si>
  <si>
    <t>CAN-HC-02794</t>
  </si>
  <si>
    <t>CAN-HC-02795</t>
  </si>
  <si>
    <t>CAN-HC-02796</t>
  </si>
  <si>
    <t>CAN-HC-02797</t>
  </si>
  <si>
    <t>CAN-HC-02798</t>
  </si>
  <si>
    <t>CAN-HC-02799</t>
  </si>
  <si>
    <t>CAN-HC-02800</t>
  </si>
  <si>
    <t>CAN-HC-02801</t>
  </si>
  <si>
    <t>CAN-HC-02802</t>
  </si>
  <si>
    <t>CAN-HC-02803</t>
  </si>
  <si>
    <t>CAN-HC-02804</t>
  </si>
  <si>
    <t>CAN-HC-02805</t>
  </si>
  <si>
    <t>CAN-HC-02806</t>
  </si>
  <si>
    <t>CAN-HC-02807</t>
  </si>
  <si>
    <t>CAN-HC-02808</t>
  </si>
  <si>
    <t>CAN-HC-02809</t>
  </si>
  <si>
    <t>CAN-HC-02810</t>
  </si>
  <si>
    <t>CAN-HC-02811</t>
  </si>
  <si>
    <t>CAN-HC-02812</t>
  </si>
  <si>
    <t>CAN-HC-02813</t>
  </si>
  <si>
    <t>CAN-HC-02814</t>
  </si>
  <si>
    <t>CAN-HC-02815</t>
  </si>
  <si>
    <t>CAN-HC-02816</t>
  </si>
  <si>
    <t>CAN-HC-02817</t>
  </si>
  <si>
    <t>CAN-HC-02818</t>
  </si>
  <si>
    <t>CAN-HC-02819</t>
  </si>
  <si>
    <t>CAN-HC-02820</t>
  </si>
  <si>
    <t>CAN-HC-02821</t>
  </si>
  <si>
    <t>CAN-HC-02822</t>
  </si>
  <si>
    <t>CAN-HC-02823</t>
  </si>
  <si>
    <t>CAN-HC-02824</t>
  </si>
  <si>
    <t>CAN-HC-02825</t>
  </si>
  <si>
    <t>CAN-HC-02826</t>
  </si>
  <si>
    <t>CAN-HC-02827</t>
  </si>
  <si>
    <t>CAN-HC-02828</t>
  </si>
  <si>
    <t>CAN-HC-02829</t>
  </si>
  <si>
    <t>CAN-HC-02830</t>
  </si>
  <si>
    <t>CAN-HC-02831</t>
  </si>
  <si>
    <t>CAN-HC-02832</t>
  </si>
  <si>
    <t>CAN-HC-02833</t>
  </si>
  <si>
    <t>CAN-HC-02834</t>
  </si>
  <si>
    <t>CAN-HC-02835</t>
  </si>
  <si>
    <t>CAN-HC-02836</t>
  </si>
  <si>
    <t>CAN-HC-02837</t>
  </si>
  <si>
    <t>CAN-HC-02838</t>
  </si>
  <si>
    <t>CAN-HC-02839</t>
  </si>
  <si>
    <t>CAN-HC-02840</t>
  </si>
  <si>
    <t>CAN-HC-02841</t>
  </si>
  <si>
    <t>CAN-HC-02842</t>
  </si>
  <si>
    <t>CAN-HC-02843</t>
  </si>
  <si>
    <t>CAN-HC-02844</t>
  </si>
  <si>
    <t>CAN-HC-02845</t>
  </si>
  <si>
    <t>CAN-HC-02846</t>
  </si>
  <si>
    <t>CAN-HC-02847</t>
  </si>
  <si>
    <t>CAN-HC-02848</t>
  </si>
  <si>
    <t>CAN-HC-02849</t>
  </si>
  <si>
    <t>CAN-HC-02850</t>
  </si>
  <si>
    <t>CAN-HC-02851</t>
  </si>
  <si>
    <t>CAN-HC-02852</t>
  </si>
  <si>
    <t>CAN-HC-02853</t>
  </si>
  <si>
    <t>CAN-HC-02854</t>
  </si>
  <si>
    <t>CAN-HC-02855</t>
  </si>
  <si>
    <t>CAN-HC-02856</t>
  </si>
  <si>
    <t>CAN-HC-02857</t>
  </si>
  <si>
    <t>CAN-HC-02858</t>
  </si>
  <si>
    <t>CAN-HC-02859</t>
  </si>
  <si>
    <t>CAN-HC-02860</t>
  </si>
  <si>
    <t>CAN-HC-02861</t>
  </si>
  <si>
    <t>CAN-HC-02862</t>
  </si>
  <si>
    <t>CAN-HC-02863</t>
  </si>
  <si>
    <t>CAN-HC-02864</t>
  </si>
  <si>
    <t>CAN-HC-02865</t>
  </si>
  <si>
    <t>CAN-HC-02866</t>
  </si>
  <si>
    <t>CAN-HC-02867</t>
  </si>
  <si>
    <t>CAN-HC-02868</t>
  </si>
  <si>
    <t>CAN-HC-02869</t>
  </si>
  <si>
    <t>CAN-HC-02870</t>
  </si>
  <si>
    <t>CAN-HC-02871</t>
  </si>
  <si>
    <t>CAN-HC-02872</t>
  </si>
  <si>
    <t>CAN-HC-02873</t>
  </si>
  <si>
    <t>CAN-HC-02874</t>
  </si>
  <si>
    <t>CAN-HC-02875</t>
  </si>
  <si>
    <t>CAN-HC-02876</t>
  </si>
  <si>
    <t>CAN-HC-02877</t>
  </si>
  <si>
    <t>CAN-HC-02878</t>
  </si>
  <si>
    <t>CAN-HC-02879</t>
  </si>
  <si>
    <t>CAN-HC-02880</t>
  </si>
  <si>
    <t>CAN-HC-02881</t>
  </si>
  <si>
    <t>CAN-HC-02882</t>
  </si>
  <si>
    <t>CAN-HC-02883</t>
  </si>
  <si>
    <t>CAN-HC-02884</t>
  </si>
  <si>
    <t>CAN-HC-02885</t>
  </si>
  <si>
    <t>CAN-HC-02886</t>
  </si>
  <si>
    <t>CAN-HC-02887</t>
  </si>
  <si>
    <t>CAN-HC-02888</t>
  </si>
  <si>
    <t>CAN-HC-02889</t>
  </si>
  <si>
    <t>CAN-HC-02890</t>
  </si>
  <si>
    <t>CAN-HC-02891</t>
  </si>
  <si>
    <t>CAN-HC-02892</t>
  </si>
  <si>
    <t>CAN-HC-02893</t>
  </si>
  <si>
    <t>CAN-HC-02894</t>
  </si>
  <si>
    <t>CAN-HC-02895</t>
  </si>
  <si>
    <t>CAN-HC-02896</t>
  </si>
  <si>
    <t>CAN-HC-02897</t>
  </si>
  <si>
    <t>CAN-HC-02898</t>
  </si>
  <si>
    <t>CAN-HC-02899</t>
  </si>
  <si>
    <t>CAN-HC-02900</t>
  </si>
  <si>
    <t>CAN-HC-02901</t>
  </si>
  <si>
    <t>CAN-HC-02902</t>
  </si>
  <si>
    <t>CAN-HC-02903</t>
  </si>
  <si>
    <t>CAN-HC-02904</t>
  </si>
  <si>
    <t>CAN-HC-02905</t>
  </si>
  <si>
    <t>CAN-HC-02906</t>
  </si>
  <si>
    <t>CAN-HC-02907</t>
  </si>
  <si>
    <t>CAN-HC-02908</t>
  </si>
  <si>
    <t>CAN-HC-02909</t>
  </si>
  <si>
    <t>CAN-HC-02910</t>
  </si>
  <si>
    <t>CAN-HC-02911</t>
  </si>
  <si>
    <t>CAN-HC-02912</t>
  </si>
  <si>
    <t>CAN-HC-02913</t>
  </si>
  <si>
    <t>CAN-HC-02914</t>
  </si>
  <si>
    <t>CAN-HC-02915</t>
  </si>
  <si>
    <t>CAN-HC-02916</t>
  </si>
  <si>
    <t>CAN-HC-02917</t>
  </si>
  <si>
    <t>CAN-HC-02918</t>
  </si>
  <si>
    <t>CAN-HC-02919</t>
  </si>
  <si>
    <t>CAN-HC-02920</t>
  </si>
  <si>
    <t>CAN-HC-02921</t>
  </si>
  <si>
    <t>CAN-HC-02922</t>
  </si>
  <si>
    <t>CAN-HC-02923</t>
  </si>
  <si>
    <t>CAN-HC-02924</t>
  </si>
  <si>
    <t>CAN-HC-02925</t>
  </si>
  <si>
    <t>CAN-HC-02926</t>
  </si>
  <si>
    <t>CAN-HC-02927</t>
  </si>
  <si>
    <t>CAN-HC-02928</t>
  </si>
  <si>
    <t>CAN-HC-02929</t>
  </si>
  <si>
    <t>CAN-HC-02930</t>
  </si>
  <si>
    <t>CAN-HC-02931</t>
  </si>
  <si>
    <t>CAN-HC-02932</t>
  </si>
  <si>
    <t>CAN-HC-02933</t>
  </si>
  <si>
    <t>CAN-HC-02934</t>
  </si>
  <si>
    <t>CAN-HC-02935</t>
  </si>
  <si>
    <t>CAN-HC-02936</t>
  </si>
  <si>
    <t>CAN-HC-02937</t>
  </si>
  <si>
    <t>CAN-HC-02938</t>
  </si>
  <si>
    <t>CAN-HC-02939</t>
  </si>
  <si>
    <t>CAN-HC-02940</t>
  </si>
  <si>
    <t>CAN-HC-02941</t>
  </si>
  <si>
    <t>CAN-HC-02942</t>
  </si>
  <si>
    <t>CAN-HC-02943</t>
  </si>
  <si>
    <t>CAN-HC-02944</t>
  </si>
  <si>
    <t>CAN-HC-02945</t>
  </si>
  <si>
    <t>CAN-HC-02946</t>
  </si>
  <si>
    <t>CAN-HC-02947</t>
  </si>
  <si>
    <t>CAN-HC-02948</t>
  </si>
  <si>
    <t>CAN-HC-02949</t>
  </si>
  <si>
    <t>CAN-HC-02950</t>
  </si>
  <si>
    <t>CAN-HC-02951</t>
  </si>
  <si>
    <t>CAN-HC-02952</t>
  </si>
  <si>
    <t>CAN-HC-02953</t>
  </si>
  <si>
    <t>CAN-HC-02954</t>
  </si>
  <si>
    <t>CAN-HC-02955</t>
  </si>
  <si>
    <t>CAN-HC-02956</t>
  </si>
  <si>
    <t>CAN-HC-02957</t>
  </si>
  <si>
    <t>CAN-HC-02958</t>
  </si>
  <si>
    <t>CAN-HC-02959</t>
  </si>
  <si>
    <t>CAN-HC-02960</t>
  </si>
  <si>
    <t>CAN-HC-02961</t>
  </si>
  <si>
    <t>CAN-HC-02962</t>
  </si>
  <si>
    <t>CAN-HC-02963</t>
  </si>
  <si>
    <t>CAN-HC-02964</t>
  </si>
  <si>
    <t>CAN-HC-02965</t>
  </si>
  <si>
    <t>CAN-HC-02966</t>
  </si>
  <si>
    <t>CAN-HC-02967</t>
  </si>
  <si>
    <t>CAN-HC-02968</t>
  </si>
  <si>
    <t>CAN-HC-02969</t>
  </si>
  <si>
    <t>CAN-HC-02970</t>
  </si>
  <si>
    <t>CAN-HC-02971</t>
  </si>
  <si>
    <t>CAN-HC-02972</t>
  </si>
  <si>
    <t>CAN-HC-02973</t>
  </si>
  <si>
    <t>CAN-HC-02974</t>
  </si>
  <si>
    <t>CAN-HC-02975</t>
  </si>
  <si>
    <t>CAN-HC-02976</t>
  </si>
  <si>
    <t>CAN-HC-02977</t>
  </si>
  <si>
    <t>CAN-HC-02978</t>
  </si>
  <si>
    <t>CAN-HC-02979</t>
  </si>
  <si>
    <t>CAN-HC-02980</t>
  </si>
  <si>
    <t>CAN-HC-02981</t>
  </si>
  <si>
    <t>CAN-HC-02982</t>
  </si>
  <si>
    <t>CAN-HC-02983</t>
  </si>
  <si>
    <t>CAN-HC-02984</t>
  </si>
  <si>
    <t>CAN-HC-02985</t>
  </si>
  <si>
    <t>CAN-HC-02986</t>
  </si>
  <si>
    <t>CAN-HC-02987</t>
  </si>
  <si>
    <t>CAN-HC-02988</t>
  </si>
  <si>
    <t>CAN-HC-02989</t>
  </si>
  <si>
    <t>CAN-HC-02990</t>
  </si>
  <si>
    <t>CAN-HC-02991</t>
  </si>
  <si>
    <t>CAN-HC-02992</t>
  </si>
  <si>
    <t>CAN-HC-02993</t>
  </si>
  <si>
    <t>CAN-HC-02994</t>
  </si>
  <si>
    <t>CAN-HC-02995</t>
  </si>
  <si>
    <t>CAN-HC-02996</t>
  </si>
  <si>
    <t>CAN-HC-02997</t>
  </si>
  <si>
    <t>CAN-HC-02998</t>
  </si>
  <si>
    <t>CAN-HC-02999</t>
  </si>
  <si>
    <t>CAN-HC-03000</t>
  </si>
  <si>
    <t>CAN-HC-03001</t>
  </si>
  <si>
    <t>CAN-HC-03002</t>
  </si>
  <si>
    <t>CAN-HC-03003</t>
  </si>
  <si>
    <t>CAN-HC-03004</t>
  </si>
  <si>
    <t>CAN-HC-03005</t>
  </si>
  <si>
    <t>CAN-HC-03006</t>
  </si>
  <si>
    <t>CAN-HC-03007</t>
  </si>
  <si>
    <t>CAN-HC-03008</t>
  </si>
  <si>
    <t>CAN-HC-03009</t>
  </si>
  <si>
    <t>CAN-HC-03010</t>
  </si>
  <si>
    <t>CAN-HC-03011</t>
  </si>
  <si>
    <t>CAN-HC-03012</t>
  </si>
  <si>
    <t>CAN-HC-03013</t>
  </si>
  <si>
    <t>CAN-HC-03014</t>
  </si>
  <si>
    <t>CAN-HC-03015</t>
  </si>
  <si>
    <t>CAN-HC-03016</t>
  </si>
  <si>
    <t>CAN-HC-03017</t>
  </si>
  <si>
    <t>CAN-HC-03018</t>
  </si>
  <si>
    <t>CAN-HC-03019</t>
  </si>
  <si>
    <t>CAN-HC-03020</t>
  </si>
  <si>
    <t>CAN-HC-03021</t>
  </si>
  <si>
    <t>CAN-HC-03022</t>
  </si>
  <si>
    <t>CAN-HC-03023</t>
  </si>
  <si>
    <t>CAN-HC-03024</t>
  </si>
  <si>
    <t>CAN-HC-03025</t>
  </si>
  <si>
    <t>CAN-HC-03026</t>
  </si>
  <si>
    <t>CAN-HC-03027</t>
  </si>
  <si>
    <t>CAN-HC-03028</t>
  </si>
  <si>
    <t>CAN-HC-03029</t>
  </si>
  <si>
    <t>CAN-HC-03030</t>
  </si>
  <si>
    <t>CAN-HC-03031</t>
  </si>
  <si>
    <t>CAN-HC-03032</t>
  </si>
  <si>
    <t>CAN-HC-03033</t>
  </si>
  <si>
    <t>CAN-HC-03034</t>
  </si>
  <si>
    <t>CAN-HC-03035</t>
  </si>
  <si>
    <t>CAN-HC-03036</t>
  </si>
  <si>
    <t>CAN-HC-03037</t>
  </si>
  <si>
    <t>CAN-HC-03038</t>
  </si>
  <si>
    <t>CAN-HC-03039</t>
  </si>
  <si>
    <t>CAN-HC-03040</t>
  </si>
  <si>
    <t>CAN-HC-03041</t>
  </si>
  <si>
    <t>CAN-HC-03042</t>
  </si>
  <si>
    <t>CAN-HC-03043</t>
  </si>
  <si>
    <t>CAN-HC-03044</t>
  </si>
  <si>
    <t>CAN-HC-03045</t>
  </si>
  <si>
    <t>CAN-HC-03046</t>
  </si>
  <si>
    <t>CAN-HC-03047</t>
  </si>
  <si>
    <t>CAN-HC-03048</t>
  </si>
  <si>
    <t>CAN-HC-03049</t>
  </si>
  <si>
    <t>CAN-HC-03050</t>
  </si>
  <si>
    <t>CAN-HC-03051</t>
  </si>
  <si>
    <t>CAN-HC-03052</t>
  </si>
  <si>
    <t>CAN-HC-03053</t>
  </si>
  <si>
    <t>CAN-HC-03054</t>
  </si>
  <si>
    <t>CAN-HC-03055</t>
  </si>
  <si>
    <t>CAN-HC-03056</t>
  </si>
  <si>
    <t>CAN-HC-03057</t>
  </si>
  <si>
    <t>CAN-HC-03058</t>
  </si>
  <si>
    <t>CAN-HC-03059</t>
  </si>
  <si>
    <t>CAN-HC-03060</t>
  </si>
  <si>
    <t>CAN-HC-03061</t>
  </si>
  <si>
    <t>CAN-HC-03062</t>
  </si>
  <si>
    <t>CAN-HC-03063</t>
  </si>
  <si>
    <t>CAN-HC-03064</t>
  </si>
  <si>
    <t>CAN-HC-03065</t>
  </si>
  <si>
    <t>CAN-HC-03066</t>
  </si>
  <si>
    <t>CAN-HC-03067</t>
  </si>
  <si>
    <t>CAN-HC-03068</t>
  </si>
  <si>
    <t>CAN-HC-03069</t>
  </si>
  <si>
    <t>CAN-HC-03070</t>
  </si>
  <si>
    <t>CAN-HC-03071</t>
  </si>
  <si>
    <t>CAN-HC-03072</t>
  </si>
  <si>
    <t>CAN-HC-03073</t>
  </si>
  <si>
    <t>CAN-HC-03074</t>
  </si>
  <si>
    <t>CAN-HC-03075</t>
  </si>
  <si>
    <t>CAN-HC-03076</t>
  </si>
  <si>
    <t>CAN-HC-03077</t>
  </si>
  <si>
    <t>CAN-HC-03078</t>
  </si>
  <si>
    <t>CAN-HC-03079</t>
  </si>
  <si>
    <t>CAN-HC-03080</t>
  </si>
  <si>
    <t>CAN-HC-03081</t>
  </si>
  <si>
    <t>CAN-HC-03082</t>
  </si>
  <si>
    <t>CAN-HC-03083</t>
  </si>
  <si>
    <t>CAN-HC-03084</t>
  </si>
  <si>
    <t>CAN-HC-03085</t>
  </si>
  <si>
    <t>CAN-HC-03086</t>
  </si>
  <si>
    <t>CAN-HC-03087</t>
  </si>
  <si>
    <t>CAN-HC-03088</t>
  </si>
  <si>
    <t>CAN-HC-03089</t>
  </si>
  <si>
    <t>CAN-HC-03090</t>
  </si>
  <si>
    <t>CAN-HC-03091</t>
  </si>
  <si>
    <t>CAN-HC-03092</t>
  </si>
  <si>
    <t>CAN-HC-03093</t>
  </si>
  <si>
    <t>CAN-HC-03094</t>
  </si>
  <si>
    <t>CAN-HC-03095</t>
  </si>
  <si>
    <t>CAN-HC-03096</t>
  </si>
  <si>
    <t>CAN-HC-03097</t>
  </si>
  <si>
    <t>CAN-HC-03098</t>
  </si>
  <si>
    <t>CAN-HC-03099</t>
  </si>
  <si>
    <t>CAN-HC-03100</t>
  </si>
  <si>
    <t>CAN-HC-03101</t>
  </si>
  <si>
    <t>CAN-HC-03102</t>
  </si>
  <si>
    <t>CAN-HC-03103</t>
  </si>
  <si>
    <t>CAN-HC-03104</t>
  </si>
  <si>
    <t>CAN-HC-03105</t>
  </si>
  <si>
    <t>CAN-HC-03106</t>
  </si>
  <si>
    <t>CAN-HC-03107</t>
  </si>
  <si>
    <t>CAN-HC-03108</t>
  </si>
  <si>
    <t>CAN-HC-03109</t>
  </si>
  <si>
    <t>CAN-HC-03110</t>
  </si>
  <si>
    <t>CAN-HC-03111</t>
  </si>
  <si>
    <t>CAN-HC-03112</t>
  </si>
  <si>
    <t>CAN-HC-03113</t>
  </si>
  <si>
    <t>CAN-HC-03114</t>
  </si>
  <si>
    <t>CAN-HC-03115</t>
  </si>
  <si>
    <t>CAN-HC-03116</t>
  </si>
  <si>
    <t>CAN-HC-03117</t>
  </si>
  <si>
    <t>CAN-HC-03118</t>
  </si>
  <si>
    <t>CAN-HC-03119</t>
  </si>
  <si>
    <t>CAN-HC-03120</t>
  </si>
  <si>
    <t>CAN-HC-03121</t>
  </si>
  <si>
    <t>CAN-HC-03122</t>
  </si>
  <si>
    <t>CAN-HC-03123</t>
  </si>
  <si>
    <t>CAN-HC-03124</t>
  </si>
  <si>
    <t>CAN-HC-03125</t>
  </si>
  <si>
    <t>CAN-HC-03126</t>
  </si>
  <si>
    <t>CAN-HC-03127</t>
  </si>
  <si>
    <t>CAN-HC-03128</t>
  </si>
  <si>
    <t>CAN-HC-03129</t>
  </si>
  <si>
    <t>CAN-HC-03130</t>
  </si>
  <si>
    <t>CAN-HC-03131</t>
  </si>
  <si>
    <t>CAN-HC-03132</t>
  </si>
  <si>
    <t>CAN-HC-03133</t>
  </si>
  <si>
    <t>CAN-HC-03134</t>
  </si>
  <si>
    <t>CAN-HC-03135</t>
  </si>
  <si>
    <t>CAN-HC-03136</t>
  </si>
  <si>
    <t>CAN-HC-03137</t>
  </si>
  <si>
    <t>CAN-HC-03138</t>
  </si>
  <si>
    <t>CAN-HC-03139</t>
  </si>
  <si>
    <t>CAN-HC-03140</t>
  </si>
  <si>
    <t>CAN-HC-03141</t>
  </si>
  <si>
    <t>CAN-HC-03142</t>
  </si>
  <si>
    <t>CAN-HC-03143</t>
  </si>
  <si>
    <t>CAN-HC-03144</t>
  </si>
  <si>
    <t>CAN-HC-03145</t>
  </si>
  <si>
    <t>CAN-HC-03146</t>
  </si>
  <si>
    <t>CAN-HC-03147</t>
  </si>
  <si>
    <t>CAN-HC-03148</t>
  </si>
  <si>
    <t>CAN-HC-03149</t>
  </si>
  <si>
    <t>CAN-HC-03150</t>
  </si>
  <si>
    <t>CAN-HC-03151</t>
  </si>
  <si>
    <t>CAN-HC-03152</t>
  </si>
  <si>
    <t>CAN-HC-03153</t>
  </si>
  <si>
    <t>CAN-HC-03154</t>
  </si>
  <si>
    <t>CAN-HC-03155</t>
  </si>
  <si>
    <t>CAN-HC-03156</t>
  </si>
  <si>
    <t>CAN-HC-03157</t>
  </si>
  <si>
    <t>CAN-HC-03158</t>
  </si>
  <si>
    <t>CAN-HC-03159</t>
  </si>
  <si>
    <t>CAN-HC-03160</t>
  </si>
  <si>
    <t>CAN-HC-03161</t>
  </si>
  <si>
    <t>CAN-HC-03162</t>
  </si>
  <si>
    <t>CAN-HC-03163</t>
  </si>
  <si>
    <t>CAN-HC-03164</t>
  </si>
  <si>
    <t>CAN-HC-03165</t>
  </si>
  <si>
    <t>CAN-HC-03166</t>
  </si>
  <si>
    <t>CAN-HC-03167</t>
  </si>
  <si>
    <t>CAN-HC-03168</t>
  </si>
  <si>
    <t>CAN-HC-03169</t>
  </si>
  <si>
    <t>CAN-HC-03170</t>
  </si>
  <si>
    <t>CAN-HC-03171</t>
  </si>
  <si>
    <t>CAN-HC-03172</t>
  </si>
  <si>
    <t>CAN-HC-03173</t>
  </si>
  <si>
    <t>CAN-HC-03174</t>
  </si>
  <si>
    <t>CAN-HC-03175</t>
  </si>
  <si>
    <t>CAN-HC-03176</t>
  </si>
  <si>
    <t>CAN-HC-03177</t>
  </si>
  <si>
    <t>CAN-HC-03178</t>
  </si>
  <si>
    <t>CAN-HC-03179</t>
  </si>
  <si>
    <t>CAN-HC-03180</t>
  </si>
  <si>
    <t>CAN-HC-03181</t>
  </si>
  <si>
    <t>CAN-HC-03182</t>
  </si>
  <si>
    <t>CAN-HC-03183</t>
  </si>
  <si>
    <t>CAN-HC-03184</t>
  </si>
  <si>
    <t>CAN-HC-03185</t>
  </si>
  <si>
    <t>CAN-HC-03186</t>
  </si>
  <si>
    <t>CAN-HC-03187</t>
  </si>
  <si>
    <t>CAN-HC-03188</t>
  </si>
  <si>
    <t>CAN-HC-03189</t>
  </si>
  <si>
    <t>CAN-HC-03190</t>
  </si>
  <si>
    <t>CAN-HC-03191</t>
  </si>
  <si>
    <t>CAN-HC-03192</t>
  </si>
  <si>
    <t>CAN-HC-03193</t>
  </si>
  <si>
    <t>CAN-HC-03194</t>
  </si>
  <si>
    <t>CAN-HC-03195</t>
  </si>
  <si>
    <t>CAN-HC-03196</t>
  </si>
  <si>
    <t>CAN-HC-03197</t>
  </si>
  <si>
    <t>CAN-HC-03198</t>
  </si>
  <si>
    <t>CAN-HC-03199</t>
  </si>
  <si>
    <t>CAN-HC-03200</t>
  </si>
  <si>
    <t>CAN-HC-03201</t>
  </si>
  <si>
    <t>CAN-HC-03202</t>
  </si>
  <si>
    <t>CAN-HC-03203</t>
  </si>
  <si>
    <t>CAN-HC-03204</t>
  </si>
  <si>
    <t>CAN-HC-03205</t>
  </si>
  <si>
    <t>CAN-HC-03206</t>
  </si>
  <si>
    <t>CAN-HC-03207</t>
  </si>
  <si>
    <t>CAN-HC-03208</t>
  </si>
  <si>
    <t>CAN-HC-03209</t>
  </si>
  <si>
    <t>CAN-HC-03210</t>
  </si>
  <si>
    <t>CAN-HC-03211</t>
  </si>
  <si>
    <t>CAN-HC-03212</t>
  </si>
  <si>
    <t>CAN-HC-03213</t>
  </si>
  <si>
    <t>CAN-HC-03214</t>
  </si>
  <si>
    <t>CAN-HC-03215</t>
  </si>
  <si>
    <t>CAN-HC-03216</t>
  </si>
  <si>
    <t>CAN-HC-03217</t>
  </si>
  <si>
    <t>CAN-HC-03218</t>
  </si>
  <si>
    <t>CAN-HC-03219</t>
  </si>
  <si>
    <t>CAN-HC-03220</t>
  </si>
  <si>
    <t>CAN-HC-03221</t>
  </si>
  <si>
    <t>CAN-HC-03222</t>
  </si>
  <si>
    <t>CAN-HC-03223</t>
  </si>
  <si>
    <t>CAN-HC-03224</t>
  </si>
  <si>
    <t>CAN-HC-03225</t>
  </si>
  <si>
    <t>CAN-HC-03226</t>
  </si>
  <si>
    <t>CAN-HC-03227</t>
  </si>
  <si>
    <t>CAN-HC-03228</t>
  </si>
  <si>
    <t>CAN-HC-03229</t>
  </si>
  <si>
    <t>CAN-HC-03230</t>
  </si>
  <si>
    <t>CAN-HC-03231</t>
  </si>
  <si>
    <t>CAN-HC-03232</t>
  </si>
  <si>
    <t>CAN-HC-03233</t>
  </si>
  <si>
    <t>CAN-HC-03234</t>
  </si>
  <si>
    <t>CAN-HC-03235</t>
  </si>
  <si>
    <t>CAN-HC-03236</t>
  </si>
  <si>
    <t>CAN-HC-03237</t>
  </si>
  <si>
    <t>CAN-HC-03238</t>
  </si>
  <si>
    <t>CAN-HC-03239</t>
  </si>
  <si>
    <t>CAN-HC-03240</t>
  </si>
  <si>
    <t>CAN-HC-03241</t>
  </si>
  <si>
    <t>CAN-HC-03242</t>
  </si>
  <si>
    <t>CAN-HC-03243</t>
  </si>
  <si>
    <t>CAN-HC-03244</t>
  </si>
  <si>
    <t>CAN-HC-03245</t>
  </si>
  <si>
    <t>CAN-HC-03246</t>
  </si>
  <si>
    <t>CAN-HC-03247</t>
  </si>
  <si>
    <t>CAN-HC-03248</t>
  </si>
  <si>
    <t>CAN-HC-03249</t>
  </si>
  <si>
    <t>CAN-HC-03250</t>
  </si>
  <si>
    <t>CAN-HC-03251</t>
  </si>
  <si>
    <t>CAN-HC-03252</t>
  </si>
  <si>
    <t>CAN-HC-03253</t>
  </si>
  <si>
    <t>CAN-HC-03254</t>
  </si>
  <si>
    <t>CAN-HC-03255</t>
  </si>
  <si>
    <t>CAN-HC-03256</t>
  </si>
  <si>
    <t>CAN-HC-03257</t>
  </si>
  <si>
    <t>CAN-HC-03258</t>
  </si>
  <si>
    <t>CAN-HC-03259</t>
  </si>
  <si>
    <t>CAN-HC-03260</t>
  </si>
  <si>
    <t>CAN-HC-03261</t>
  </si>
  <si>
    <t>CAN-HC-03262</t>
  </si>
  <si>
    <t>CAN-HC-03263</t>
  </si>
  <si>
    <t>CAN-HC-03264</t>
  </si>
  <si>
    <t>CAN-HC-03265</t>
  </si>
  <si>
    <t>CAN-HC-03266</t>
  </si>
  <si>
    <t>CAN-HC-03267</t>
  </si>
  <si>
    <t>CAN-HC-03268</t>
  </si>
  <si>
    <t>CAN-HC-03269</t>
  </si>
  <si>
    <t>CAN-HC-03270</t>
  </si>
  <si>
    <t>CAN-HC-03271</t>
  </si>
  <si>
    <t>CAN-HC-03272</t>
  </si>
  <si>
    <t>CAN-HC-03273</t>
  </si>
  <si>
    <t>CAN-HC-03274</t>
  </si>
  <si>
    <t>CAN-HC-03275</t>
  </si>
  <si>
    <t>CAN-HC-03276</t>
  </si>
  <si>
    <t>CAN-HC-03277</t>
  </si>
  <si>
    <t>CAN-HC-03278</t>
  </si>
  <si>
    <t>CAN-HC-03279</t>
  </si>
  <si>
    <t>CAN-HC-03280</t>
  </si>
  <si>
    <t>CAN-HC-03281</t>
  </si>
  <si>
    <t>CAN-HC-03282</t>
  </si>
  <si>
    <t>CAN-HC-03283</t>
  </si>
  <si>
    <t>CAN-HC-03284</t>
  </si>
  <si>
    <t>CAN-HC-03285</t>
  </si>
  <si>
    <t>CAN-HC-03286</t>
  </si>
  <si>
    <t>CAN-HC-03287</t>
  </si>
  <si>
    <t>CAN-HC-03288</t>
  </si>
  <si>
    <t>CAN-HC-03289</t>
  </si>
  <si>
    <t>CAN-HC-03290</t>
  </si>
  <si>
    <t>CAN-HC-03291</t>
  </si>
  <si>
    <t>CAN-HC-03292</t>
  </si>
  <si>
    <t>CAN-HC-03293</t>
  </si>
  <si>
    <t>CAN-HC-03294</t>
  </si>
  <si>
    <t>CAN-HC-03295</t>
  </si>
  <si>
    <t>CAN-HC-03296</t>
  </si>
  <si>
    <t>CAN-HC-03297</t>
  </si>
  <si>
    <t>CAN-HC-03298</t>
  </si>
  <si>
    <t>CAN-HC-03299</t>
  </si>
  <si>
    <t>CAN-HC-03300</t>
  </si>
  <si>
    <t>CAN-HC-03301</t>
  </si>
  <si>
    <t>CAN-HC-03302</t>
  </si>
  <si>
    <t>CAN-HC-03303</t>
  </si>
  <si>
    <t>CAN-HC-03304</t>
  </si>
  <si>
    <t>CAN-HC-03305</t>
  </si>
  <si>
    <t>CAN-HC-03306</t>
  </si>
  <si>
    <t>CAN-HC-03307</t>
  </si>
  <si>
    <t>CAN-HC-03308</t>
  </si>
  <si>
    <t>CAN-HC-03309</t>
  </si>
  <si>
    <t>CAN-HC-03310</t>
  </si>
  <si>
    <t>CAN-HC-03311</t>
  </si>
  <si>
    <t>CAN-HC-03312</t>
  </si>
  <si>
    <t>CAN-HC-03313</t>
  </si>
  <si>
    <t>CAN-HC-03314</t>
  </si>
  <si>
    <t>CAN-HC-03315</t>
  </si>
  <si>
    <t>CAN-HC-03316</t>
  </si>
  <si>
    <t>CAN-HC-03317</t>
  </si>
  <si>
    <t>CAN-HC-03318</t>
  </si>
  <si>
    <t>CAN-HC-03319</t>
  </si>
  <si>
    <t>CAN-HC-03320</t>
  </si>
  <si>
    <t>CAN-HC-03321</t>
  </si>
  <si>
    <t>CAN-HC-03322</t>
  </si>
  <si>
    <t>CAN-HC-03323</t>
  </si>
  <si>
    <t>CAN-HC-03324</t>
  </si>
  <si>
    <t>CAN-HC-03325</t>
  </si>
  <si>
    <t>CAN-HC-03326</t>
  </si>
  <si>
    <t>CAN-HC-03327</t>
  </si>
  <si>
    <t>CAN-HC-03328</t>
  </si>
  <si>
    <t>CAN-HC-03329</t>
  </si>
  <si>
    <t>CAN-HC-03330</t>
  </si>
  <si>
    <t>CAN-HC-03331</t>
  </si>
  <si>
    <t>CAN-HC-03332</t>
  </si>
  <si>
    <t>CAN-HC-03333</t>
  </si>
  <si>
    <t>CAN-HC-03334</t>
  </si>
  <si>
    <t>CAN-HC-03335</t>
  </si>
  <si>
    <t>CAN-HC-03336</t>
  </si>
  <si>
    <t>CAN-HC-03337</t>
  </si>
  <si>
    <t>CAN-HC-03338</t>
  </si>
  <si>
    <t>CAN-HC-03339</t>
  </si>
  <si>
    <t>CAN-HC-03340</t>
  </si>
  <si>
    <t>CAN-HC-03341</t>
  </si>
  <si>
    <t>CAN-HC-03342</t>
  </si>
  <si>
    <t>CAN-HC-03343</t>
  </si>
  <si>
    <t>CAN-HC-03344</t>
  </si>
  <si>
    <t>CAN-HC-03345</t>
  </si>
  <si>
    <t>CAN-HC-03346</t>
  </si>
  <si>
    <t>CAN-HC-03347</t>
  </si>
  <si>
    <t>CAN-HC-03348</t>
  </si>
  <si>
    <t>CAN-HC-03349</t>
  </si>
  <si>
    <t>CAN-HC-03350</t>
  </si>
  <si>
    <t>CAN-HC-03351</t>
  </si>
  <si>
    <t>CAN-HC-03352</t>
  </si>
  <si>
    <t>CAN-HC-03353</t>
  </si>
  <si>
    <t>CAN-HC-03354</t>
  </si>
  <si>
    <t>CAN-HC-03355</t>
  </si>
  <si>
    <t>CAN-HC-03356</t>
  </si>
  <si>
    <t>CAN-HC-03357</t>
  </si>
  <si>
    <t>CAN-HC-03358</t>
  </si>
  <si>
    <t>CAN-HC-03359</t>
  </si>
  <si>
    <t>CAN-HC-03360</t>
  </si>
  <si>
    <t>CAN-HC-03361</t>
  </si>
  <si>
    <t>CAN-HC-03362</t>
  </si>
  <si>
    <t>CAN-HC-03363</t>
  </si>
  <si>
    <t>CAN-HC-03364</t>
  </si>
  <si>
    <t>CAN-HC-03365</t>
  </si>
  <si>
    <t>CAN-HC-03366</t>
  </si>
  <si>
    <t>CAN-HC-03367</t>
  </si>
  <si>
    <t>CAN-HC-03368</t>
  </si>
  <si>
    <t>CAN-HC-03369</t>
  </si>
  <si>
    <t>CAN-HC-03370</t>
  </si>
  <si>
    <t>CAN-HC-03371</t>
  </si>
  <si>
    <t>CAN-HC-03372</t>
  </si>
  <si>
    <t>CAN-HC-03373</t>
  </si>
  <si>
    <t>CAN-HC-03374</t>
  </si>
  <si>
    <t>CAN-HC-03375</t>
  </si>
  <si>
    <t>CAN-HC-03376</t>
  </si>
  <si>
    <t>CAN-HC-03377</t>
  </si>
  <si>
    <t>CAN-HC-03378</t>
  </si>
  <si>
    <t>CAN-HC-03379</t>
  </si>
  <si>
    <t>CAN-HC-03380</t>
  </si>
  <si>
    <t>CAN-HC-03381</t>
  </si>
  <si>
    <t>CAN-HC-03382</t>
  </si>
  <si>
    <t>CAN-HC-03383</t>
  </si>
  <si>
    <t>CAN-HC-03384</t>
  </si>
  <si>
    <t>CAN-HC-03385</t>
  </si>
  <si>
    <t>CAN-HC-03386</t>
  </si>
  <si>
    <t>CAN-HC-03387</t>
  </si>
  <si>
    <t>CAN-HC-03388</t>
  </si>
  <si>
    <t>CAN-HC-03389</t>
  </si>
  <si>
    <t>CAN-HC-03390</t>
  </si>
  <si>
    <t>CAN-HC-03391</t>
  </si>
  <si>
    <t>CAN-HC-03392</t>
  </si>
  <si>
    <t>CAN-HC-03393</t>
  </si>
  <si>
    <t>CAN-HC-03394</t>
  </si>
  <si>
    <t>CAN-HC-03395</t>
  </si>
  <si>
    <t>CAN-HC-03396</t>
  </si>
  <si>
    <t>CAN-HC-03397</t>
  </si>
  <si>
    <t>CAN-HC-03398</t>
  </si>
  <si>
    <t>CAN-HC-03399</t>
  </si>
  <si>
    <t>CAN-HC-03400</t>
  </si>
  <si>
    <t>CAN-HC-03401</t>
  </si>
  <si>
    <t>CAN-HC-03402</t>
  </si>
  <si>
    <t>CAN-HC-03403</t>
  </si>
  <si>
    <t>CAN-HC-03404</t>
  </si>
  <si>
    <t>CAN-HC-03405</t>
  </si>
  <si>
    <t>CAN-HC-03406</t>
  </si>
  <si>
    <t>CAN-HC-03407</t>
  </si>
  <si>
    <t>CAN-HC-03408</t>
  </si>
  <si>
    <t>CAN-HC-03409</t>
  </si>
  <si>
    <t>CAN-HC-03410</t>
  </si>
  <si>
    <t>CAN-HC-03411</t>
  </si>
  <si>
    <t>CAN-HC-03412</t>
  </si>
  <si>
    <t>CAN-HC-03413</t>
  </si>
  <si>
    <t>CAN-HC-03414</t>
  </si>
  <si>
    <t>CAN-HC-03415</t>
  </si>
  <si>
    <t>CAN-HC-03416</t>
  </si>
  <si>
    <t>CAN-HC-03417</t>
  </si>
  <si>
    <t>CAN-HC-03418</t>
  </si>
  <si>
    <t>CAN-HC-03419</t>
  </si>
  <si>
    <t>CAN-HC-03420</t>
  </si>
  <si>
    <t>CAN-HC-03421</t>
  </si>
  <si>
    <t>CAN-HC-03422</t>
  </si>
  <si>
    <t>CAN-HC-03423</t>
  </si>
  <si>
    <t>CAN-HC-03424</t>
  </si>
  <si>
    <t>CAN-HC-03425</t>
  </si>
  <si>
    <t>CAN-HC-03426</t>
  </si>
  <si>
    <t>CAN-HC-03427</t>
  </si>
  <si>
    <t>CAN-HC-03428</t>
  </si>
  <si>
    <t>CAN-HC-03429</t>
  </si>
  <si>
    <t>CAN-HC-03430</t>
  </si>
  <si>
    <t>CAN-HC-03431</t>
  </si>
  <si>
    <t>CAN-HC-03432</t>
  </si>
  <si>
    <t>CAN-HC-03433</t>
  </si>
  <si>
    <t>CAN-HC-03434</t>
  </si>
  <si>
    <t>CAN-HC-03435</t>
  </si>
  <si>
    <t>CAN-HC-03436</t>
  </si>
  <si>
    <t>CAN-HC-03437</t>
  </si>
  <si>
    <t>CAN-HC-03438</t>
  </si>
  <si>
    <t>CAN-HC-03439</t>
  </si>
  <si>
    <t>CAN-HC-03440</t>
  </si>
  <si>
    <t>CAN-HC-03441</t>
  </si>
  <si>
    <t>CAN-HC-03442</t>
  </si>
  <si>
    <t>CAN-HC-03443</t>
  </si>
  <si>
    <t>CAN-HC-03444</t>
  </si>
  <si>
    <t>CAN-HC-03445</t>
  </si>
  <si>
    <t>CAN-HC-03446</t>
  </si>
  <si>
    <t>CAN-HC-03447</t>
  </si>
  <si>
    <t>CAN-HC-03448</t>
  </si>
  <si>
    <t>CAN-HC-03449</t>
  </si>
  <si>
    <t>CAN-HC-03450</t>
  </si>
  <si>
    <t>CAN-HC-03451</t>
  </si>
  <si>
    <t>CAN-HC-03452</t>
  </si>
  <si>
    <t>CAN-HC-03453</t>
  </si>
  <si>
    <t>CAN-HC-03454</t>
  </si>
  <si>
    <t>CAN-HC-03455</t>
  </si>
  <si>
    <t>CAN-HC-03456</t>
  </si>
  <si>
    <t>CAN-HC-03457</t>
  </si>
  <si>
    <t>CAN-HC-03458</t>
  </si>
  <si>
    <t>CAN-HC-03459</t>
  </si>
  <si>
    <t>CAN-HC-03460</t>
  </si>
  <si>
    <t>CAN-HC-03461</t>
  </si>
  <si>
    <t>CAN-HC-03462</t>
  </si>
  <si>
    <t>CAN-HC-03463</t>
  </si>
  <si>
    <t>CAN-HC-03464</t>
  </si>
  <si>
    <t>CAN-HC-03465</t>
  </si>
  <si>
    <t>CAN-HC-03466</t>
  </si>
  <si>
    <t>CAN-HC-03467</t>
  </si>
  <si>
    <t>CAN-HC-03468</t>
  </si>
  <si>
    <t>CAN-HC-03469</t>
  </si>
  <si>
    <t>CAN-HC-03470</t>
  </si>
  <si>
    <t>CAN-HC-03471</t>
  </si>
  <si>
    <t>CAN-HC-03472</t>
  </si>
  <si>
    <t>CAN-HC-03473</t>
  </si>
  <si>
    <t>CAN-HC-03474</t>
  </si>
  <si>
    <t>CAN-HC-03475</t>
  </si>
  <si>
    <t>CAN-HC-03476</t>
  </si>
  <si>
    <t>CAN-HC-03477</t>
  </si>
  <si>
    <t>CAN-HC-03478</t>
  </si>
  <si>
    <t>CAN-HC-03479</t>
  </si>
  <si>
    <t>CAN-HC-03480</t>
  </si>
  <si>
    <t>CAN-HC-03481</t>
  </si>
  <si>
    <t>CAN-HC-03482</t>
  </si>
  <si>
    <t>CAN-HC-03483</t>
  </si>
  <si>
    <t>CAN-HC-03484</t>
  </si>
  <si>
    <t>CAN-HC-03485</t>
  </si>
  <si>
    <t>CAN-HC-03486</t>
  </si>
  <si>
    <t>CAN-HC-03487</t>
  </si>
  <si>
    <t>CAN-HC-03488</t>
  </si>
  <si>
    <t>CAN-HC-03489</t>
  </si>
  <si>
    <t>CAN-HC-03490</t>
  </si>
  <si>
    <t>CAN-HC-03491</t>
  </si>
  <si>
    <t>CAN-HC-03492</t>
  </si>
  <si>
    <t>CAN-HC-03493</t>
  </si>
  <si>
    <t>CAN-HC-03494</t>
  </si>
  <si>
    <t>CAN-HC-03495</t>
  </si>
  <si>
    <t>CAN-HC-03496</t>
  </si>
  <si>
    <t>CAN-HC-03497</t>
  </si>
  <si>
    <t>CAN-HC-03498</t>
  </si>
  <si>
    <t>CAN-HC-03499</t>
  </si>
  <si>
    <t>CAN-HC-03500</t>
  </si>
  <si>
    <t>CAN-HC-03501</t>
  </si>
  <si>
    <t>CAN-HC-03502</t>
  </si>
  <si>
    <t>CAN-HC-03503</t>
  </si>
  <si>
    <t>CAN-HC-03504</t>
  </si>
  <si>
    <t>CAN-HC-03505</t>
  </si>
  <si>
    <t>CAN-HC-03506</t>
  </si>
  <si>
    <t>CAN-HC-03507</t>
  </si>
  <si>
    <t>CAN-HC-03508</t>
  </si>
  <si>
    <t>CAN-HC-03509</t>
  </si>
  <si>
    <t>CAN-HC-03510</t>
  </si>
  <si>
    <t>CAN-HC-03511</t>
  </si>
  <si>
    <t>CAN-HC-03512</t>
  </si>
  <si>
    <t>CAN-HC-03513</t>
  </si>
  <si>
    <t>CAN-HC-03514</t>
  </si>
  <si>
    <t>CAN-HC-03515</t>
  </si>
  <si>
    <t>CAN-HC-03516</t>
  </si>
  <si>
    <t>CAN-HC-03517</t>
  </si>
  <si>
    <t>CAN-HC-03518</t>
  </si>
  <si>
    <t>CAN-HC-03519</t>
  </si>
  <si>
    <t>CAN-HC-03520</t>
  </si>
  <si>
    <t>CAN-HC-03521</t>
  </si>
  <si>
    <t>CAN-HC-03522</t>
  </si>
  <si>
    <t>CAN-HC-03523</t>
  </si>
  <si>
    <t>CAN-HC-03524</t>
  </si>
  <si>
    <t>CAN-HC-03525</t>
  </si>
  <si>
    <t>CAN-HC-03526</t>
  </si>
  <si>
    <t>CAN-HC-03527</t>
  </si>
  <si>
    <t>CAN-HC-03528</t>
  </si>
  <si>
    <t>CAN-HC-03529</t>
  </si>
  <si>
    <t>CAN-HC-03530</t>
  </si>
  <si>
    <t>CAN-HC-03531</t>
  </si>
  <si>
    <t>CAN-HC-03532</t>
  </si>
  <si>
    <t>CAN-HC-03533</t>
  </si>
  <si>
    <t>CAN-HC-03534</t>
  </si>
  <si>
    <t>CAN-HC-03535</t>
  </si>
  <si>
    <t>CAN-HC-03536</t>
  </si>
  <si>
    <t>CAN-HC-03537</t>
  </si>
  <si>
    <t>CAN-HC-03538</t>
  </si>
  <si>
    <t>CAN-HC-03539</t>
  </si>
  <si>
    <t>CAN-HC-03540</t>
  </si>
  <si>
    <t>CAN-HC-03541</t>
  </si>
  <si>
    <t>CAN-HC-03542</t>
  </si>
  <si>
    <t>CAN-HC-03543</t>
  </si>
  <si>
    <t>CAN-HC-03544</t>
  </si>
  <si>
    <t>CAN-HC-03545</t>
  </si>
  <si>
    <t>CAN-HC-03546</t>
  </si>
  <si>
    <t>CAN-HC-03547</t>
  </si>
  <si>
    <t>CAN-HC-03548</t>
  </si>
  <si>
    <t>CAN-HC-03549</t>
  </si>
  <si>
    <t>CAN-HC-03550</t>
  </si>
  <si>
    <t>CAN-HC-03551</t>
  </si>
  <si>
    <t>CAN-HC-03552</t>
  </si>
  <si>
    <t>CAN-HC-03553</t>
  </si>
  <si>
    <t>CAN-HC-03554</t>
  </si>
  <si>
    <t>CAN-HC-03555</t>
  </si>
  <si>
    <t>CAN-HC-03556</t>
  </si>
  <si>
    <t>CAN-HC-03557</t>
  </si>
  <si>
    <t>CAN-HC-03558</t>
  </si>
  <si>
    <t>CAN-HC-03559</t>
  </si>
  <si>
    <t>CAN-HC-03560</t>
  </si>
  <si>
    <t>CAN-HC-03561</t>
  </si>
  <si>
    <t>CAN-HC-03562</t>
  </si>
  <si>
    <t>CAN-HC-03563</t>
  </si>
  <si>
    <t>CAN-HC-03564</t>
  </si>
  <si>
    <t>CAN-HC-03565</t>
  </si>
  <si>
    <t>CAN-HC-03566</t>
  </si>
  <si>
    <t>CAN-HC-03567</t>
  </si>
  <si>
    <t>CAN-HC-03568</t>
  </si>
  <si>
    <t>CAN-HC-03569</t>
  </si>
  <si>
    <t>CAN-HC-03570</t>
  </si>
  <si>
    <t>CAN-HC-03571</t>
  </si>
  <si>
    <t>CAN-HC-03572</t>
  </si>
  <si>
    <t>CAN-HC-03573</t>
  </si>
  <si>
    <t>CAN-HC-03574</t>
  </si>
  <si>
    <t>CAN-HC-03575</t>
  </si>
  <si>
    <t>CAN-HC-03576</t>
  </si>
  <si>
    <t>CAN-HC-03577</t>
  </si>
  <si>
    <t>CAN-HC-03578</t>
  </si>
  <si>
    <t>CAN-HC-03579</t>
  </si>
  <si>
    <t>CAN-HC-03580</t>
  </si>
  <si>
    <t>CAN-HC-03581</t>
  </si>
  <si>
    <t>CAN-HC-03582</t>
  </si>
  <si>
    <t>CAN-HC-03583</t>
  </si>
  <si>
    <t>CAN-HC-03584</t>
  </si>
  <si>
    <t>CAN-HC-03585</t>
  </si>
  <si>
    <t>CAN-HC-03586</t>
  </si>
  <si>
    <t>CAN-HC-03587</t>
  </si>
  <si>
    <t>CAN-HC-03588</t>
  </si>
  <si>
    <t>CAN-HC-03589</t>
  </si>
  <si>
    <t>CAN-HC-03590</t>
  </si>
  <si>
    <t>CAN-HC-03591</t>
  </si>
  <si>
    <t>CAN-HC-03592</t>
  </si>
  <si>
    <t>CAN-HC-03593</t>
  </si>
  <si>
    <t>CAN-HC-03594</t>
  </si>
  <si>
    <t>CAN-HC-03595</t>
  </si>
  <si>
    <t>CAN-HC-03596</t>
  </si>
  <si>
    <t>CAN-HC-03597</t>
  </si>
  <si>
    <t>CAN-HC-03598</t>
  </si>
  <si>
    <t>CAN-HC-03599</t>
  </si>
  <si>
    <t>CAN-HC-03600</t>
  </si>
  <si>
    <t>CAN-HC-03601</t>
  </si>
  <si>
    <t>CAN-HC-03602</t>
  </si>
  <si>
    <t>CAN-HC-03603</t>
  </si>
  <si>
    <t>CAN-HC-03604</t>
  </si>
  <si>
    <t>CAN-HC-03605</t>
  </si>
  <si>
    <t>CAN-HC-03606</t>
  </si>
  <si>
    <t>CAN-HC-03607</t>
  </si>
  <si>
    <t>CAN-HC-03608</t>
  </si>
  <si>
    <t>CAN-HC-03609</t>
  </si>
  <si>
    <t>CAN-HC-03610</t>
  </si>
  <si>
    <t>CAN-HC-03611</t>
  </si>
  <si>
    <t>CAN-HC-03612</t>
  </si>
  <si>
    <t>CAN-HC-03613</t>
  </si>
  <si>
    <t>CAN-HC-03614</t>
  </si>
  <si>
    <t>CAN-HC-03615</t>
  </si>
  <si>
    <t>CAN-HC-03616</t>
  </si>
  <si>
    <t>CAN-HC-03617</t>
  </si>
  <si>
    <t>CAN-HC-03618</t>
  </si>
  <si>
    <t>CAN-HC-03619</t>
  </si>
  <si>
    <t>CAN-HC-03620</t>
  </si>
  <si>
    <t>CAN-HC-03621</t>
  </si>
  <si>
    <t>CAN-HC-03622</t>
  </si>
  <si>
    <t>CAN-HC-03623</t>
  </si>
  <si>
    <t>CAN-HC-03624</t>
  </si>
  <si>
    <t>CAN-HC-03625</t>
  </si>
  <si>
    <t>CAN-HC-03626</t>
  </si>
  <si>
    <t>CAN-HC-03627</t>
  </si>
  <si>
    <t>CAN-HC-03628</t>
  </si>
  <si>
    <t>CAN-HC-03629</t>
  </si>
  <si>
    <t>CAN-HC-03630</t>
  </si>
  <si>
    <t>CAN-HC-03631</t>
  </si>
  <si>
    <t>CAN-HC-03632</t>
  </si>
  <si>
    <t>CAN-HC-03633</t>
  </si>
  <si>
    <t>CAN-HC-03634</t>
  </si>
  <si>
    <t>CAN-HC-03635</t>
  </si>
  <si>
    <t>CAN-HC-03636</t>
  </si>
  <si>
    <t>CAN-HC-03637</t>
  </si>
  <si>
    <t>CAN-HC-03638</t>
  </si>
  <si>
    <t>CAN-HC-03639</t>
  </si>
  <si>
    <t>CAN-HC-03640</t>
  </si>
  <si>
    <t>CAN-HC-03641</t>
  </si>
  <si>
    <t>CAN-HC-03642</t>
  </si>
  <si>
    <t>CAN-HC-03643</t>
  </si>
  <si>
    <t>CAN-HC-03644</t>
  </si>
  <si>
    <t>CAN-HC-03645</t>
  </si>
  <si>
    <t>CAN-HC-03646</t>
  </si>
  <si>
    <t>CAN-HC-03647</t>
  </si>
  <si>
    <t>CAN-HC-03648</t>
  </si>
  <si>
    <t>CAN-HC-03649</t>
  </si>
  <si>
    <t>CAN-HC-03650</t>
  </si>
  <si>
    <t>CAN-HC-03651</t>
  </si>
  <si>
    <t>CAN-HC-03652</t>
  </si>
  <si>
    <t>CAN-HC-03653</t>
  </si>
  <si>
    <t>CAN-HC-03654</t>
  </si>
  <si>
    <t>CAN-HC-03655</t>
  </si>
  <si>
    <t>CAN-HC-03656</t>
  </si>
  <si>
    <t>CAN-HC-03657</t>
  </si>
  <si>
    <t>CAN-HC-03658</t>
  </si>
  <si>
    <t>CAN-HC-03659</t>
  </si>
  <si>
    <t>CAN-HC-03660</t>
  </si>
  <si>
    <t>CAN-HC-03661</t>
  </si>
  <si>
    <t>CAN-HC-03662</t>
  </si>
  <si>
    <t>CAN-HC-03663</t>
  </si>
  <si>
    <t>CAN-HC-03664</t>
  </si>
  <si>
    <t>CAN-HC-03665</t>
  </si>
  <si>
    <t>CAN-HC-03666</t>
  </si>
  <si>
    <t>CAN-HC-03667</t>
  </si>
  <si>
    <t>CAN-HC-03668</t>
  </si>
  <si>
    <t>CAN-HC-03669</t>
  </si>
  <si>
    <t>CAN-HC-03670</t>
  </si>
  <si>
    <t>CAN-HC-03671</t>
  </si>
  <si>
    <t>CAN-HC-03672</t>
  </si>
  <si>
    <t>CAN-HC-03673</t>
  </si>
  <si>
    <t>CAN-HC-03674</t>
  </si>
  <si>
    <t>CAN-HC-03675</t>
  </si>
  <si>
    <t>CAN-HC-03676</t>
  </si>
  <si>
    <t>CAN-HC-03677</t>
  </si>
  <si>
    <t>CAN-HC-03678</t>
  </si>
  <si>
    <t>CAN-HC-03679</t>
  </si>
  <si>
    <t>CAN-HC-03680</t>
  </si>
  <si>
    <t>CAN-HC-03681</t>
  </si>
  <si>
    <t>CAN-HC-03682</t>
  </si>
  <si>
    <t>CAN-HC-03683</t>
  </si>
  <si>
    <t>CAN-HC-03684</t>
  </si>
  <si>
    <t>CAN-HC-03685</t>
  </si>
  <si>
    <t>CAN-HC-03686</t>
  </si>
  <si>
    <t>CAN-HC-03687</t>
  </si>
  <si>
    <t>CAN-HC-03688</t>
  </si>
  <si>
    <t>CAN-HC-03689</t>
  </si>
  <si>
    <t>CAN-HC-03690</t>
  </si>
  <si>
    <t>CAN-HC-03691</t>
  </si>
  <si>
    <t>CAN-HC-03692</t>
  </si>
  <si>
    <t>CAN-HC-03693</t>
  </si>
  <si>
    <t>CAN-HC-03694</t>
  </si>
  <si>
    <t>CAN-HC-03695</t>
  </si>
  <si>
    <t>CAN-HC-03696</t>
  </si>
  <si>
    <t>CAN-HC-03697</t>
  </si>
  <si>
    <t>CAN-HC-03698</t>
  </si>
  <si>
    <t>CAN-HC-03699</t>
  </si>
  <si>
    <t>CAN-HC-03700</t>
  </si>
  <si>
    <t>CAN-HC-03701</t>
  </si>
  <si>
    <t>CAN-HC-03702</t>
  </si>
  <si>
    <t>CAN-HC-03703</t>
  </si>
  <si>
    <t>CAN-HC-03704</t>
  </si>
  <si>
    <t>CAN-HC-03705</t>
  </si>
  <si>
    <t>CAN-HC-03706</t>
  </si>
  <si>
    <t>CAN-HC-03707</t>
  </si>
  <si>
    <t>CAN-HC-03708</t>
  </si>
  <si>
    <t>CAN-HC-03709</t>
  </si>
  <si>
    <t>CAN-HC-03710</t>
  </si>
  <si>
    <t>CAN-HC-03711</t>
  </si>
  <si>
    <t>CAN-HC-03712</t>
  </si>
  <si>
    <t>CAN-HC-03713</t>
  </si>
  <si>
    <t>CAN-HC-03714</t>
  </si>
  <si>
    <t>CAN-HC-03715</t>
  </si>
  <si>
    <t>CAN-HC-03716</t>
  </si>
  <si>
    <t>CAN-HC-03717</t>
  </si>
  <si>
    <t>CAN-HC-03718</t>
  </si>
  <si>
    <t>CAN-HC-03719</t>
  </si>
  <si>
    <t>CAN-HC-03720</t>
  </si>
  <si>
    <t>CAN-HC-03721</t>
  </si>
  <si>
    <t>CAN-HC-03722</t>
  </si>
  <si>
    <t>CAN-HC-03723</t>
  </si>
  <si>
    <t>CAN-HC-03724</t>
  </si>
  <si>
    <t>CAN-HC-03725</t>
  </si>
  <si>
    <t>CAN-HC-03726</t>
  </si>
  <si>
    <t>CAN-HC-03727</t>
  </si>
  <si>
    <t>CAN-HC-03728</t>
  </si>
  <si>
    <t>CAN-HC-03729</t>
  </si>
  <si>
    <t>CAN-HC-03730</t>
  </si>
  <si>
    <t>CAN-HC-03731</t>
  </si>
  <si>
    <t>CAN-HC-03732</t>
  </si>
  <si>
    <t>CAN-HC-03733</t>
  </si>
  <si>
    <t>CAN-HC-03734</t>
  </si>
  <si>
    <t>CAN-HC-03735</t>
  </si>
  <si>
    <t>CAN-HC-03736</t>
  </si>
  <si>
    <t>CAN-HC-03737</t>
  </si>
  <si>
    <t>CAN-HC-03738</t>
  </si>
  <si>
    <t>CAN-HC-03739</t>
  </si>
  <si>
    <t>CAN-HC-03740</t>
  </si>
  <si>
    <t>CAN-HC-03741</t>
  </si>
  <si>
    <t>CAN-HC-03742</t>
  </si>
  <si>
    <t>CAN-HC-03743</t>
  </si>
  <si>
    <t>CAN-HC-03744</t>
  </si>
  <si>
    <t>CAN-HC-03745</t>
  </si>
  <si>
    <t>CAN-HC-03746</t>
  </si>
  <si>
    <t>CAN-HC-03747</t>
  </si>
  <si>
    <t>CAN-HC-03748</t>
  </si>
  <si>
    <t>CAN-HC-03749</t>
  </si>
  <si>
    <t>CAN-HC-03750</t>
  </si>
  <si>
    <t>CAN-HC-03751</t>
  </si>
  <si>
    <t>CAN-HC-03752</t>
  </si>
  <si>
    <t>CAN-HC-03753</t>
  </si>
  <si>
    <t>CAN-HC-03754</t>
  </si>
  <si>
    <t>CAN-HC-03755</t>
  </si>
  <si>
    <t>CAN-HC-03756</t>
  </si>
  <si>
    <t>CAN-HC-03757</t>
  </si>
  <si>
    <t>CAN-HC-03758</t>
  </si>
  <si>
    <t>CAN-HC-03759</t>
  </si>
  <si>
    <t>CAN-HC-03760</t>
  </si>
  <si>
    <t>CAN-HC-03761</t>
  </si>
  <si>
    <t>CAN-HC-03762</t>
  </si>
  <si>
    <t>CAN-HC-03763</t>
  </si>
  <si>
    <t>CAN-HC-03764</t>
  </si>
  <si>
    <t>CAN-HC-03765</t>
  </si>
  <si>
    <t>CAN-HC-03766</t>
  </si>
  <si>
    <t>CAN-HC-03767</t>
  </si>
  <si>
    <t>CAN-HC-03768</t>
  </si>
  <si>
    <t>CAN-HC-03769</t>
  </si>
  <si>
    <t>CAN-HC-03770</t>
  </si>
  <si>
    <t>CAN-HC-03771</t>
  </si>
  <si>
    <t>CAN-HC-03772</t>
  </si>
  <si>
    <t>CAN-HC-03773</t>
  </si>
  <si>
    <t>CAN-HC-03774</t>
  </si>
  <si>
    <t>CAN-HC-03775</t>
  </si>
  <si>
    <t>CAN-HC-03776</t>
  </si>
  <si>
    <t>CAN-HC-03777</t>
  </si>
  <si>
    <t>CAN-HC-03778</t>
  </si>
  <si>
    <t>CAN-HC-03779</t>
  </si>
  <si>
    <t>CAN-HC-03780</t>
  </si>
  <si>
    <t>CAN-HC-03781</t>
  </si>
  <si>
    <t>CAN-HC-03782</t>
  </si>
  <si>
    <t>CAN-HC-03783</t>
  </si>
  <si>
    <t>CAN-HC-03784</t>
  </si>
  <si>
    <t>CAN-HC-03785</t>
  </si>
  <si>
    <t>CAN-HC-03786</t>
  </si>
  <si>
    <t>CAN-HC-03787</t>
  </si>
  <si>
    <t>CAN-HC-03788</t>
  </si>
  <si>
    <t>CAN-HC-03789</t>
  </si>
  <si>
    <t>CAN-HC-03790</t>
  </si>
  <si>
    <t>CAN-HC-03791</t>
  </si>
  <si>
    <t>CAN-HC-03792</t>
  </si>
  <si>
    <t>CAN-HC-03793</t>
  </si>
  <si>
    <t>CAN-HC-03794</t>
  </si>
  <si>
    <t>CAN-HC-03795</t>
  </si>
  <si>
    <t>CAN-HC-03796</t>
  </si>
  <si>
    <t>CAN-HC-03797</t>
  </si>
  <si>
    <t>CAN-HC-03798</t>
  </si>
  <si>
    <t>CAN-HC-03799</t>
  </si>
  <si>
    <t>CAN-HC-03800</t>
  </si>
  <si>
    <t>CAN-HC-03801</t>
  </si>
  <si>
    <t>CAN-HC-03802</t>
  </si>
  <si>
    <t>CAN-HC-03803</t>
  </si>
  <si>
    <t>CAN-HC-03804</t>
  </si>
  <si>
    <t>CAN-HC-03805</t>
  </si>
  <si>
    <t>CAN-HC-03806</t>
  </si>
  <si>
    <t>CAN-HC-03807</t>
  </si>
  <si>
    <t>CAN-HC-03808</t>
  </si>
  <si>
    <t>CAN-HC-03809</t>
  </si>
  <si>
    <t>CAN-HC-03810</t>
  </si>
  <si>
    <t>CAN-HC-03811</t>
  </si>
  <si>
    <t>CAN-HC-03812</t>
  </si>
  <si>
    <t>CAN-HC-03813</t>
  </si>
  <si>
    <t>CAN-HC-03814</t>
  </si>
  <si>
    <t>CAN-HC-03815</t>
  </si>
  <si>
    <t>CAN-HC-03816</t>
  </si>
  <si>
    <t>CAN-HC-03817</t>
  </si>
  <si>
    <t>CAN-HC-03818</t>
  </si>
  <si>
    <t>CAN-HC-03819</t>
  </si>
  <si>
    <t>CAN-HC-03820</t>
  </si>
  <si>
    <t>CAN-HC-03821</t>
  </si>
  <si>
    <t>CAN-HC-03822</t>
  </si>
  <si>
    <t>CAN-HC-03823</t>
  </si>
  <si>
    <t>CAN-HC-03824</t>
  </si>
  <si>
    <t>CAN-HC-03825</t>
  </si>
  <si>
    <t>CAN-HC-03826</t>
  </si>
  <si>
    <t>CAN-HC-03827</t>
  </si>
  <si>
    <t>CAN-HC-03828</t>
  </si>
  <si>
    <t>CAN-HC-03829</t>
  </si>
  <si>
    <t>CAN-HC-03830</t>
  </si>
  <si>
    <t>CAN-HC-03831</t>
  </si>
  <si>
    <t>CAN-HC-03832</t>
  </si>
  <si>
    <t>CAN-HC-03833</t>
  </si>
  <si>
    <t>CAN-HC-03834</t>
  </si>
  <si>
    <t>CAN-HC-03835</t>
  </si>
  <si>
    <t>CAN-HC-03836</t>
  </si>
  <si>
    <t>CAN-HC-03837</t>
  </si>
  <si>
    <t>CAN-HC-03838</t>
  </si>
  <si>
    <t>CAN-HC-03839</t>
  </si>
  <si>
    <t>CAN-HC-03840</t>
  </si>
  <si>
    <t>CAN-HC-03841</t>
  </si>
  <si>
    <t>CAN-HC-03842</t>
  </si>
  <si>
    <t>CAN-HC-03843</t>
  </si>
  <si>
    <t>CAN-HC-03844</t>
  </si>
  <si>
    <t>CAN-HC-03845</t>
  </si>
  <si>
    <t>CAN-HC-03846</t>
  </si>
  <si>
    <t>CAN-HC-03847</t>
  </si>
  <si>
    <t>CAN-HC-03848</t>
  </si>
  <si>
    <t>CAN-HC-03849</t>
  </si>
  <si>
    <t>CAN-HC-03850</t>
  </si>
  <si>
    <t>CAN-HC-03851</t>
  </si>
  <si>
    <t>CAN-HC-03852</t>
  </si>
  <si>
    <t>CAN-HC-03853</t>
  </si>
  <si>
    <t>CAN-HC-03854</t>
  </si>
  <si>
    <t>CAN-HC-03855</t>
  </si>
  <si>
    <t>CAN-HC-03856</t>
  </si>
  <si>
    <t>CAN-HC-03857</t>
  </si>
  <si>
    <t>CAN-HC-03858</t>
  </si>
  <si>
    <t>CAN-HC-03859</t>
  </si>
  <si>
    <t>CAN-HC-03860</t>
  </si>
  <si>
    <t>CAN-HC-03861</t>
  </si>
  <si>
    <t>CAN-HC-03862</t>
  </si>
  <si>
    <t>CAN-HC-03863</t>
  </si>
  <si>
    <t>CAN-HC-03864</t>
  </si>
  <si>
    <t>CAN-HC-03865</t>
  </si>
  <si>
    <t>CAN-HC-03866</t>
  </si>
  <si>
    <t>CAN-HC-03867</t>
  </si>
  <si>
    <t>CAN-HC-03868</t>
  </si>
  <si>
    <t>CAN-HC-03869</t>
  </si>
  <si>
    <t>CAN-HC-03870</t>
  </si>
  <si>
    <t>CAN-HC-03871</t>
  </si>
  <si>
    <t>CAN-HC-03872</t>
  </si>
  <si>
    <t>CAN-HC-03873</t>
  </si>
  <si>
    <t>CAN-HC-03874</t>
  </si>
  <si>
    <t>CAN-HC-03875</t>
  </si>
  <si>
    <t>CAN-HC-03876</t>
  </si>
  <si>
    <t>CAN-HC-03877</t>
  </si>
  <si>
    <t>CAN-HC-03878</t>
  </si>
  <si>
    <t>CAN-HC-03879</t>
  </si>
  <si>
    <t>CAN-HC-03880</t>
  </si>
  <si>
    <t>CAN-HC-03881</t>
  </si>
  <si>
    <t>CAN-HC-03882</t>
  </si>
  <si>
    <t>CAN-HC-03883</t>
  </si>
  <si>
    <t>CAN-HC-03884</t>
  </si>
  <si>
    <t>CAN-HC-03885</t>
  </si>
  <si>
    <t>CAN-HC-03886</t>
  </si>
  <si>
    <t>CAN-HC-03887</t>
  </si>
  <si>
    <t>CAN-HC-03888</t>
  </si>
  <si>
    <t>CAN-HC-03889</t>
  </si>
  <si>
    <t>CAN-HC-03890</t>
  </si>
  <si>
    <t>CAN-HC-03891</t>
  </si>
  <si>
    <t>CAN-HC-03892</t>
  </si>
  <si>
    <t>CAN-HC-03893</t>
  </si>
  <si>
    <t>CAN-HC-03894</t>
  </si>
  <si>
    <t>CAN-HC-03895</t>
  </si>
  <si>
    <t>CAN-HC-03896</t>
  </si>
  <si>
    <t>CAN-HC-03897</t>
  </si>
  <si>
    <t>CAN-HC-03898</t>
  </si>
  <si>
    <t>CAN-HC-03899</t>
  </si>
  <si>
    <t>CAN-HC-03900</t>
  </si>
  <si>
    <t>CAN-HC-03901</t>
  </si>
  <si>
    <t>CAN-HC-03902</t>
  </si>
  <si>
    <t>CAN-HC-03903</t>
  </si>
  <si>
    <t>CAN-HC-03904</t>
  </si>
  <si>
    <t>CAN-HC-03905</t>
  </si>
  <si>
    <t>CAN-HC-03906</t>
  </si>
  <si>
    <t>CAN-HC-03907</t>
  </si>
  <si>
    <t>CAN-HC-03908</t>
  </si>
  <si>
    <t>CAN-HC-03909</t>
  </si>
  <si>
    <t>CAN-HC-03910</t>
  </si>
  <si>
    <t>CAN-HC-03911</t>
  </si>
  <si>
    <t>CAN-HC-03912</t>
  </si>
  <si>
    <t>CAN-HC-03913</t>
  </si>
  <si>
    <t>CAN-HC-03914</t>
  </si>
  <si>
    <t>CAN-HC-03915</t>
  </si>
  <si>
    <t>CAN-HC-03916</t>
  </si>
  <si>
    <t>CAN-HC-03917</t>
  </si>
  <si>
    <t>CAN-HC-03918</t>
  </si>
  <si>
    <t>CAN-HC-03919</t>
  </si>
  <si>
    <t>CAN-HC-03920</t>
  </si>
  <si>
    <t>CAN-HC-03921</t>
  </si>
  <si>
    <t>CAN-HC-03922</t>
  </si>
  <si>
    <t>CAN-HC-03923</t>
  </si>
  <si>
    <t>CAN-HC-03924</t>
  </si>
  <si>
    <t>CAN-HC-03925</t>
  </si>
  <si>
    <t>CAN-HC-03926</t>
  </si>
  <si>
    <t>CAN-HC-03927</t>
  </si>
  <si>
    <t>CAN-HC-03928</t>
  </si>
  <si>
    <t>CAN-HC-03929</t>
  </si>
  <si>
    <t>CAN-HC-03930</t>
  </si>
  <si>
    <t>CAN-HC-03931</t>
  </si>
  <si>
    <t>CAN-HC-03932</t>
  </si>
  <si>
    <t>CAN-HC-03933</t>
  </si>
  <si>
    <t>CAN-HC-03934</t>
  </si>
  <si>
    <t>CAN-HC-03935</t>
  </si>
  <si>
    <t>CAN-HC-03936</t>
  </si>
  <si>
    <t>CAN-HC-03937</t>
  </si>
  <si>
    <t>CAN-HC-03938</t>
  </si>
  <si>
    <t>CAN-HC-03939</t>
  </si>
  <si>
    <t>CAN-HC-03940</t>
  </si>
  <si>
    <t>CAN-HC-03941</t>
  </si>
  <si>
    <t>CAN-HC-03942</t>
  </si>
  <si>
    <t>CAN-HC-03943</t>
  </si>
  <si>
    <t>CAN-HC-03944</t>
  </si>
  <si>
    <t>CAN-HC-03945</t>
  </si>
  <si>
    <t>CAN-HC-03946</t>
  </si>
  <si>
    <t>CAN-HC-03947</t>
  </si>
  <si>
    <t>CAN-HC-03948</t>
  </si>
  <si>
    <t>CAN-HC-03949</t>
  </si>
  <si>
    <t>CAN-HC-03950</t>
  </si>
  <si>
    <t>CAN-HC-03951</t>
  </si>
  <si>
    <t>CAN-HC-03952</t>
  </si>
  <si>
    <t>CAN-HC-03953</t>
  </si>
  <si>
    <t>CAN-HC-03954</t>
  </si>
  <si>
    <t>CAN-HC-03955</t>
  </si>
  <si>
    <t>CAN-HC-03956</t>
  </si>
  <si>
    <t>CAN-HC-03957</t>
  </si>
  <si>
    <t>CAN-HC-03958</t>
  </si>
  <si>
    <t>CAN-HC-03959</t>
  </si>
  <si>
    <t>CAN-HC-03960</t>
  </si>
  <si>
    <t>CAN-HC-03961</t>
  </si>
  <si>
    <t>CAN-HC-03962</t>
  </si>
  <si>
    <t>CAN-HC-03963</t>
  </si>
  <si>
    <t>CAN-HC-03964</t>
  </si>
  <si>
    <t>CAN-HC-03965</t>
  </si>
  <si>
    <t>CAN-HC-03966</t>
  </si>
  <si>
    <t>CAN-HC-03967</t>
  </si>
  <si>
    <t>CAN-HC-03968</t>
  </si>
  <si>
    <t>CAN-HC-03969</t>
  </si>
  <si>
    <t>CAN-HC-03970</t>
  </si>
  <si>
    <t>CAN-HC-03971</t>
  </si>
  <si>
    <t>CAN-HC-03972</t>
  </si>
  <si>
    <t>CAN-HC-03973</t>
  </si>
  <si>
    <t>CAN-HC-03974</t>
  </si>
  <si>
    <t>CAN-HC-03975</t>
  </si>
  <si>
    <t>CAN-HC-03976</t>
  </si>
  <si>
    <t>CAN-HC-03977</t>
  </si>
  <si>
    <t>CAN-HC-03978</t>
  </si>
  <si>
    <t>CAN-HC-03979</t>
  </si>
  <si>
    <t>CAN-HC-03980</t>
  </si>
  <si>
    <t>CAN-HC-03981</t>
  </si>
  <si>
    <t>CAN-HC-03982</t>
  </si>
  <si>
    <t>CAN-HC-03983</t>
  </si>
  <si>
    <t>CAN-HC-03984</t>
  </si>
  <si>
    <t>CAN-HC-03985</t>
  </si>
  <si>
    <t>CAN-HC-03986</t>
  </si>
  <si>
    <t>CAN-HC-03987</t>
  </si>
  <si>
    <t>CAN-HC-03988</t>
  </si>
  <si>
    <t>CAN-HC-03989</t>
  </si>
  <si>
    <t>CAN-HC-03990</t>
  </si>
  <si>
    <t>CAN-HC-03991</t>
  </si>
  <si>
    <t>CAN-HC-03992</t>
  </si>
  <si>
    <t>CAN-HC-03993</t>
  </si>
  <si>
    <t>CAN-HC-03994</t>
  </si>
  <si>
    <t>CAN-HC-03995</t>
  </si>
  <si>
    <t>CAN-HC-03996</t>
  </si>
  <si>
    <t>CAN-HC-03997</t>
  </si>
  <si>
    <t>CAN-HC-03998</t>
  </si>
  <si>
    <t>CAN-HC-03999</t>
  </si>
  <si>
    <t>CAN-HC-04000</t>
  </si>
  <si>
    <t>CAN-HC-04001</t>
  </si>
  <si>
    <t>CAN-HC-04002</t>
  </si>
  <si>
    <t>CAN-HC-04003</t>
  </si>
  <si>
    <t>CAN-HC-04004</t>
  </si>
  <si>
    <t>CAN-HC-04005</t>
  </si>
  <si>
    <t>CAN-HC-04006</t>
  </si>
  <si>
    <t>CAN-HC-04007</t>
  </si>
  <si>
    <t>CAN-HC-04008</t>
  </si>
  <si>
    <t>CAN-HC-04009</t>
  </si>
  <si>
    <t>CAN-HC-04010</t>
  </si>
  <si>
    <t>CAN-HC-04011</t>
  </si>
  <si>
    <t>CAN-HC-04012</t>
  </si>
  <si>
    <t>CAN-HC-04013</t>
  </si>
  <si>
    <t>CAN-HC-04014</t>
  </si>
  <si>
    <t>CAN-HC-04015</t>
  </si>
  <si>
    <t>CAN-HC-04016</t>
  </si>
  <si>
    <t>CAN-HC-04017</t>
  </si>
  <si>
    <t>CAN-HC-04018</t>
  </si>
  <si>
    <t>CAN-HC-04019</t>
  </si>
  <si>
    <t>CAN-HC-04020</t>
  </si>
  <si>
    <t>CAN-HC-04021</t>
  </si>
  <si>
    <t>CAN-HC-04022</t>
  </si>
  <si>
    <t>CAN-HC-04023</t>
  </si>
  <si>
    <t>CAN-HC-04024</t>
  </si>
  <si>
    <t>CAN-HC-04025</t>
  </si>
  <si>
    <t>CAN-HC-04026</t>
  </si>
  <si>
    <t>CAN-HC-04027</t>
  </si>
  <si>
    <t>CAN-HC-04028</t>
  </si>
  <si>
    <t>CAN-HC-04029</t>
  </si>
  <si>
    <t>CAN-HC-04030</t>
  </si>
  <si>
    <t>CAN-HC-04031</t>
  </si>
  <si>
    <t>CAN-HC-04032</t>
  </si>
  <si>
    <t>CAN-HC-04033</t>
  </si>
  <si>
    <t>CAN-HC-04034</t>
  </si>
  <si>
    <t>CAN-HC-04035</t>
  </si>
  <si>
    <t>CAN-HC-04036</t>
  </si>
  <si>
    <t>CAN-HC-04037</t>
  </si>
  <si>
    <t>CAN-HC-04038</t>
  </si>
  <si>
    <t>CAN-HC-04039</t>
  </si>
  <si>
    <t>CAN-HC-04040</t>
  </si>
  <si>
    <t>CAN-HC-04041</t>
  </si>
  <si>
    <t>CAN-HC-04042</t>
  </si>
  <si>
    <t>CAN-HC-04043</t>
  </si>
  <si>
    <t>CAN-HC-04044</t>
  </si>
  <si>
    <t>CAN-HC-04045</t>
  </si>
  <si>
    <t>CAN-HC-04046</t>
  </si>
  <si>
    <t>CAN-HC-04047</t>
  </si>
  <si>
    <t>CAN-HC-04048</t>
  </si>
  <si>
    <t>CAN-HC-04049</t>
  </si>
  <si>
    <t>CAN-HC-04050</t>
  </si>
  <si>
    <t>CAN-HC-04051</t>
  </si>
  <si>
    <t>CAN-HC-04052</t>
  </si>
  <si>
    <t>CAN-HC-04053</t>
  </si>
  <si>
    <t>CAN-HC-04054</t>
  </si>
  <si>
    <t>CAN-HC-04055</t>
  </si>
  <si>
    <t>CAN-HC-04056</t>
  </si>
  <si>
    <t>CAN-HC-04057</t>
  </si>
  <si>
    <t>CAN-HC-04058</t>
  </si>
  <si>
    <t>CAN-HC-04059</t>
  </si>
  <si>
    <t>CAN-HC-04060</t>
  </si>
  <si>
    <t>CAN-HC-04061</t>
  </si>
  <si>
    <t>CAN-HC-04062</t>
  </si>
  <si>
    <t>CAN-HC-04063</t>
  </si>
  <si>
    <t>CAN-HC-04064</t>
  </si>
  <si>
    <t>CAN-HC-04065</t>
  </si>
  <si>
    <t>CAN-HC-04066</t>
  </si>
  <si>
    <t>CAN-HC-04067</t>
  </si>
  <si>
    <t>CAN-HC-04068</t>
  </si>
  <si>
    <t>CAN-HC-04069</t>
  </si>
  <si>
    <t>CAN-HC-04070</t>
  </si>
  <si>
    <t>CAN-HC-04071</t>
  </si>
  <si>
    <t>CAN-HC-04072</t>
  </si>
  <si>
    <t>CAN-HC-04073</t>
  </si>
  <si>
    <t>CAN-HC-04074</t>
  </si>
  <si>
    <t>CAN-HC-04075</t>
  </si>
  <si>
    <t>CAN-HC-04076</t>
  </si>
  <si>
    <t>CAN-HC-04077</t>
  </si>
  <si>
    <t>CAN-HC-04078</t>
  </si>
  <si>
    <t>CAN-HC-04079</t>
  </si>
  <si>
    <t>CAN-HC-04080</t>
  </si>
  <si>
    <t>CAN-HC-04081</t>
  </si>
  <si>
    <t>CAN-HC-04082</t>
  </si>
  <si>
    <t>CAN-HC-04083</t>
  </si>
  <si>
    <t>CAN-HC-04084</t>
  </si>
  <si>
    <t>CAN-HC-04085</t>
  </si>
  <si>
    <t>CAN-HC-04086</t>
  </si>
  <si>
    <t>CAN-HC-04087</t>
  </si>
  <si>
    <t>CAN-HC-04088</t>
  </si>
  <si>
    <t>CAN-HC-04089</t>
  </si>
  <si>
    <t>CAN-HC-04090</t>
  </si>
  <si>
    <t>CAN-HC-04091</t>
  </si>
  <si>
    <t>CAN-HC-04092</t>
  </si>
  <si>
    <t>CAN-HC-04093</t>
  </si>
  <si>
    <t>CAN-HC-04094</t>
  </si>
  <si>
    <t>CAN-HC-04095</t>
  </si>
  <si>
    <t>CAN-HC-04096</t>
  </si>
  <si>
    <t>CAN-HC-04097</t>
  </si>
  <si>
    <t>CAN-HC-04098</t>
  </si>
  <si>
    <t>CAN-HC-04099</t>
  </si>
  <si>
    <t>CAN-HC-04100</t>
  </si>
  <si>
    <t>CAN-HC-04101</t>
  </si>
  <si>
    <t>CAN-HC-04102</t>
  </si>
  <si>
    <t>CAN-HC-04103</t>
  </si>
  <si>
    <t>CAN-HC-04104</t>
  </si>
  <si>
    <t>CAN-HC-04105</t>
  </si>
  <si>
    <t>CAN-HC-04106</t>
  </si>
  <si>
    <t>CAN-HC-04107</t>
  </si>
  <si>
    <t>CAN-HC-04108</t>
  </si>
  <si>
    <t>CAN-HC-04109</t>
  </si>
  <si>
    <t>CAN-HC-04110</t>
  </si>
  <si>
    <t>CAN-HC-04111</t>
  </si>
  <si>
    <t>CAN-HC-04112</t>
  </si>
  <si>
    <t>CAN-HC-04113</t>
  </si>
  <si>
    <t>CAN-HC-04114</t>
  </si>
  <si>
    <t>CAN-HC-04115</t>
  </si>
  <si>
    <t>CAN-HC-04116</t>
  </si>
  <si>
    <t>CAN-HC-04117</t>
  </si>
  <si>
    <t>CAN-HC-04118</t>
  </si>
  <si>
    <t>CAN-HC-04119</t>
  </si>
  <si>
    <t>CAN-HC-04120</t>
  </si>
  <si>
    <t>CAN-HC-04121</t>
  </si>
  <si>
    <t>CAN-HC-04122</t>
  </si>
  <si>
    <t>CAN-HC-04123</t>
  </si>
  <si>
    <t>CAN-HC-04124</t>
  </si>
  <si>
    <t>CAN-HC-04125</t>
  </si>
  <si>
    <t>CAN-HC-04126</t>
  </si>
  <si>
    <t>CAN-HC-04127</t>
  </si>
  <si>
    <t>CAN-HC-04128</t>
  </si>
  <si>
    <t>CAN-HC-04129</t>
  </si>
  <si>
    <t>CAN-HC-04130</t>
  </si>
  <si>
    <t>CAN-HC-04131</t>
  </si>
  <si>
    <t>CAN-HC-04132</t>
  </si>
  <si>
    <t>CAN-HC-04133</t>
  </si>
  <si>
    <t>CAN-HC-04134</t>
  </si>
  <si>
    <t>CAN-HC-04135</t>
  </si>
  <si>
    <t>CAN-HC-04136</t>
  </si>
  <si>
    <t>CAN-HC-04137</t>
  </si>
  <si>
    <t>CAN-HC-04138</t>
  </si>
  <si>
    <t>CAN-HC-04139</t>
  </si>
  <si>
    <t>CAN-HC-04140</t>
  </si>
  <si>
    <t>CAN-HC-04141</t>
  </si>
  <si>
    <t>CAN-HC-04142</t>
  </si>
  <si>
    <t>CAN-HC-04143</t>
  </si>
  <si>
    <t>CAN-HC-04144</t>
  </si>
  <si>
    <t>CAN-HC-04145</t>
  </si>
  <si>
    <t>CAN-HC-04146</t>
  </si>
  <si>
    <t>CAN-HC-04147</t>
  </si>
  <si>
    <t>CAN-HC-04148</t>
  </si>
  <si>
    <t>CAN-HC-04149</t>
  </si>
  <si>
    <t>CAN-HC-04150</t>
  </si>
  <si>
    <t>CAN-HC-04151</t>
  </si>
  <si>
    <t>CAN-HC-04152</t>
  </si>
  <si>
    <t>CAN-HC-04153</t>
  </si>
  <si>
    <t>CAN-HC-04154</t>
  </si>
  <si>
    <t>CAN-HC-04155</t>
  </si>
  <si>
    <t>CAN-HC-04156</t>
  </si>
  <si>
    <t>CAN-HC-04157</t>
  </si>
  <si>
    <t>CAN-HC-04158</t>
  </si>
  <si>
    <t>CAN-HC-04159</t>
  </si>
  <si>
    <t>CAN-HC-04160</t>
  </si>
  <si>
    <t>CAN-HC-04161</t>
  </si>
  <si>
    <t>CAN-HC-04162</t>
  </si>
  <si>
    <t>CAN-HC-04163</t>
  </si>
  <si>
    <t>CAN-HC-04164</t>
  </si>
  <si>
    <t>CAN-HC-04165</t>
  </si>
  <si>
    <t>CAN-HC-04166</t>
  </si>
  <si>
    <t>CAN-HC-04167</t>
  </si>
  <si>
    <t>CAN-HC-04168</t>
  </si>
  <si>
    <t>CAN-HC-04169</t>
  </si>
  <si>
    <t>CAN-HC-04170</t>
  </si>
  <si>
    <t>CAN-HC-04171</t>
  </si>
  <si>
    <t>CAN-HC-04172</t>
  </si>
  <si>
    <t>CAN-HC-04173</t>
  </si>
  <si>
    <t>CAN-HC-04174</t>
  </si>
  <si>
    <t>CAN-HC-04175</t>
  </si>
  <si>
    <t>CAN-HC-04176</t>
  </si>
  <si>
    <t>CAN-HC-04177</t>
  </si>
  <si>
    <t>CAN-HC-04178</t>
  </si>
  <si>
    <t>CAN-HC-04179</t>
  </si>
  <si>
    <t>CAN-HC-04180</t>
  </si>
  <si>
    <t>CAN-HC-04181</t>
  </si>
  <si>
    <t>CAN-HC-04182</t>
  </si>
  <si>
    <t>CAN-HC-04183</t>
  </si>
  <si>
    <t>CAN-HC-04184</t>
  </si>
  <si>
    <t>CAN-HC-04185</t>
  </si>
  <si>
    <t>CAN-HC-04186</t>
  </si>
  <si>
    <t>CAN-HC-04187</t>
  </si>
  <si>
    <t>CAN-HC-04188</t>
  </si>
  <si>
    <t>CAN-HC-04189</t>
  </si>
  <si>
    <t>CAN-HC-04190</t>
  </si>
  <si>
    <t>CAN-HC-04191</t>
  </si>
  <si>
    <t>CAN-HC-04192</t>
  </si>
  <si>
    <t>CAN-HC-04193</t>
  </si>
  <si>
    <t>CAN-HC-04194</t>
  </si>
  <si>
    <t>CAN-HC-04195</t>
  </si>
  <si>
    <t>CAN-HC-04196</t>
  </si>
  <si>
    <t>CAN-HC-04197</t>
  </si>
  <si>
    <t>CAN-HC-04198</t>
  </si>
  <si>
    <t>CAN-HC-04199</t>
  </si>
  <si>
    <t>CAN-HC-04200</t>
  </si>
  <si>
    <t>CAN-HC-04201</t>
  </si>
  <si>
    <t>CAN-HC-04202</t>
  </si>
  <si>
    <t>CAN-HC-04203</t>
  </si>
  <si>
    <t>CAN-HC-04204</t>
  </si>
  <si>
    <t>CAN-HC-04205</t>
  </si>
  <si>
    <t>CAN-HC-04206</t>
  </si>
  <si>
    <t>CAN-HC-04207</t>
  </si>
  <si>
    <t>CAN-HC-04208</t>
  </si>
  <si>
    <t>CAN-HC-04209</t>
  </si>
  <si>
    <t>CAN-HC-04210</t>
  </si>
  <si>
    <t>CAN-HC-04211</t>
  </si>
  <si>
    <t>CAN-HC-04212</t>
  </si>
  <si>
    <t>CAN-HC-04213</t>
  </si>
  <si>
    <t>CAN-HC-04214</t>
  </si>
  <si>
    <t>CAN-HC-04215</t>
  </si>
  <si>
    <t>CAN-HC-04216</t>
  </si>
  <si>
    <t>CAN-HC-04217</t>
  </si>
  <si>
    <t>CAN-HC-04218</t>
  </si>
  <si>
    <t>CAN-HC-04219</t>
  </si>
  <si>
    <t>CAN-HC-04220</t>
  </si>
  <si>
    <t>CAN-HC-04221</t>
  </si>
  <si>
    <t>CAN-HC-04222</t>
  </si>
  <si>
    <t>CAN-HC-04223</t>
  </si>
  <si>
    <t>CAN-HC-04224</t>
  </si>
  <si>
    <t>CAN-HC-04225</t>
  </si>
  <si>
    <t>CAN-HC-04226</t>
  </si>
  <si>
    <t>CAN-HC-04227</t>
  </si>
  <si>
    <t>CAN-HC-04228</t>
  </si>
  <si>
    <t>CAN-HC-04229</t>
  </si>
  <si>
    <t>CAN-HC-04230</t>
  </si>
  <si>
    <t>CAN-HC-04231</t>
  </si>
  <si>
    <t>CAN-HC-04232</t>
  </si>
  <si>
    <t>CAN-HC-04233</t>
  </si>
  <si>
    <t>CAN-HC-04234</t>
  </si>
  <si>
    <t>CAN-HC-04235</t>
  </si>
  <si>
    <t>CAN-HC-04236</t>
  </si>
  <si>
    <t>CAN-HC-04237</t>
  </si>
  <si>
    <t>CAN-HC-04238</t>
  </si>
  <si>
    <t>CAN-HC-04239</t>
  </si>
  <si>
    <t>CAN-HC-04240</t>
  </si>
  <si>
    <t>CAN-HC-04241</t>
  </si>
  <si>
    <t>CAN-HC-04242</t>
  </si>
  <si>
    <t>CAN-HC-04243</t>
  </si>
  <si>
    <t>CAN-HC-04244</t>
  </si>
  <si>
    <t>CAN-HC-04245</t>
  </si>
  <si>
    <t>CAN-HC-04246</t>
  </si>
  <si>
    <t>CAN-HC-04247</t>
  </si>
  <si>
    <t>CAN-HC-04248</t>
  </si>
  <si>
    <t>CAN-HC-04249</t>
  </si>
  <si>
    <t>CAN-HC-04250</t>
  </si>
  <si>
    <t>CAN-HC-04251</t>
  </si>
  <si>
    <t>CAN-HC-04252</t>
  </si>
  <si>
    <t>CAN-HC-04253</t>
  </si>
  <si>
    <t>CAN-HC-04254</t>
  </si>
  <si>
    <t>CAN-HC-04255</t>
  </si>
  <si>
    <t>CAN-HC-04256</t>
  </si>
  <si>
    <t>CAN-HC-04257</t>
  </si>
  <si>
    <t>CAN-HC-04258</t>
  </si>
  <si>
    <t>CAN-HC-04259</t>
  </si>
  <si>
    <t>CAN-HC-04260</t>
  </si>
  <si>
    <t>CAN-HC-04261</t>
  </si>
  <si>
    <t>CAN-HC-04262</t>
  </si>
  <si>
    <t>CAN-HC-04263</t>
  </si>
  <si>
    <t>CAN-HC-04264</t>
  </si>
  <si>
    <t>CAN-HC-04265</t>
  </si>
  <si>
    <t>CAN-HC-04266</t>
  </si>
  <si>
    <t>CAN-HC-04267</t>
  </si>
  <si>
    <t>CAN-HC-04268</t>
  </si>
  <si>
    <t>CAN-HC-04269</t>
  </si>
  <si>
    <t>CAN-HC-04270</t>
  </si>
  <si>
    <t>CAN-HC-04271</t>
  </si>
  <si>
    <t>CAN-HC-04272</t>
  </si>
  <si>
    <t>CAN-HC-04273</t>
  </si>
  <si>
    <t>CAN-HC-04274</t>
  </si>
  <si>
    <t>CAN-HC-04275</t>
  </si>
  <si>
    <t>CAN-HC-04276</t>
  </si>
  <si>
    <t>CAN-HC-04277</t>
  </si>
  <si>
    <t>CAN-HC-04278</t>
  </si>
  <si>
    <t>CAN-HC-04279</t>
  </si>
  <si>
    <t>CAN-HC-04280</t>
  </si>
  <si>
    <t>CAN-HC-04281</t>
  </si>
  <si>
    <t>CAN-HC-04282</t>
  </si>
  <si>
    <t>CAN-HC-04283</t>
  </si>
  <si>
    <t>CAN-HC-04284</t>
  </si>
  <si>
    <t>CAN-HC-04285</t>
  </si>
  <si>
    <t>CAN-HC-04286</t>
  </si>
  <si>
    <t>CAN-HC-04287</t>
  </si>
  <si>
    <t>CAN-HC-04288</t>
  </si>
  <si>
    <t>CAN-HC-04289</t>
  </si>
  <si>
    <t>CAN-HC-04290</t>
  </si>
  <si>
    <t>CAN-HC-04291</t>
  </si>
  <si>
    <t>CAN-HC-04292</t>
  </si>
  <si>
    <t>CAN-HC-04293</t>
  </si>
  <si>
    <t>CAN-HC-04294</t>
  </si>
  <si>
    <t>CAN-HC-04295</t>
  </si>
  <si>
    <t>CAN-HC-04296</t>
  </si>
  <si>
    <t>CAN-HC-04297</t>
  </si>
  <si>
    <t>CAN-HC-04298</t>
  </si>
  <si>
    <t>CAN-HC-04299</t>
  </si>
  <si>
    <t>CAN-HC-04300</t>
  </si>
  <si>
    <t>CAN-HC-04301</t>
  </si>
  <si>
    <t>CAN-HC-04302</t>
  </si>
  <si>
    <t>CAN-HC-04303</t>
  </si>
  <si>
    <t>CAN-HC-04304</t>
  </si>
  <si>
    <t>CAN-HC-04305</t>
  </si>
  <si>
    <t>CAN-HC-04306</t>
  </si>
  <si>
    <t>CAN-HC-04307</t>
  </si>
  <si>
    <t>CAN-HC-04308</t>
  </si>
  <si>
    <t>CAN-HC-04309</t>
  </si>
  <si>
    <t>CAN-HC-04310</t>
  </si>
  <si>
    <t>CAN-HC-04311</t>
  </si>
  <si>
    <t>CAN-HC-04312</t>
  </si>
  <si>
    <t>CAN-HC-04313</t>
  </si>
  <si>
    <t>CAN-HC-04314</t>
  </si>
  <si>
    <t>CAN-HC-04315</t>
  </si>
  <si>
    <t>CAN-HC-04316</t>
  </si>
  <si>
    <t>CAN-HC-04317</t>
  </si>
  <si>
    <t>CAN-HC-04318</t>
  </si>
  <si>
    <t>CAN-HC-04319</t>
  </si>
  <si>
    <t>CAN-HC-04320</t>
  </si>
  <si>
    <t>CAN-HC-04321</t>
  </si>
  <si>
    <t>CAN-HC-04322</t>
  </si>
  <si>
    <t>CAN-HC-04323</t>
  </si>
  <si>
    <t>CAN-HC-04324</t>
  </si>
  <si>
    <t>CAN-HC-04325</t>
  </si>
  <si>
    <t>CAN-HC-04326</t>
  </si>
  <si>
    <t>CAN-HC-04327</t>
  </si>
  <si>
    <t>CAN-HC-04328</t>
  </si>
  <si>
    <t>CAN-HC-04329</t>
  </si>
  <si>
    <t>CAN-HC-04330</t>
  </si>
  <si>
    <t>CAN-HC-04331</t>
  </si>
  <si>
    <t>CAN-HC-04332</t>
  </si>
  <si>
    <t>CAN-HC-04333</t>
  </si>
  <si>
    <t>CAN-HC-04334</t>
  </si>
  <si>
    <t>CAN-HC-04335</t>
  </si>
  <si>
    <t>CAN-HC-04336</t>
  </si>
  <si>
    <t>CAN-HC-04337</t>
  </si>
  <si>
    <t>CAN-HC-04338</t>
  </si>
  <si>
    <t>CAN-HC-04339</t>
  </si>
  <si>
    <t>CAN-HC-04340</t>
  </si>
  <si>
    <t>CAN-HC-04341</t>
  </si>
  <si>
    <t>CAN-HC-04342</t>
  </si>
  <si>
    <t>CAN-HC-04343</t>
  </si>
  <si>
    <t>CAN-HC-04344</t>
  </si>
  <si>
    <t>CAN-HC-04345</t>
  </si>
  <si>
    <t>CAN-HC-04346</t>
  </si>
  <si>
    <t>CAN-HC-04347</t>
  </si>
  <si>
    <t>CAN-HC-04348</t>
  </si>
  <si>
    <t>CAN-HC-04349</t>
  </si>
  <si>
    <t>CAN-HC-04350</t>
  </si>
  <si>
    <t>CAN-HC-04351</t>
  </si>
  <si>
    <t>CAN-HC-04352</t>
  </si>
  <si>
    <t>CAN-HC-04353</t>
  </si>
  <si>
    <t>CAN-HC-04354</t>
  </si>
  <si>
    <t>CAN-HC-04355</t>
  </si>
  <si>
    <t>CAN-HC-04356</t>
  </si>
  <si>
    <t>CAN-HC-04357</t>
  </si>
  <si>
    <t>CAN-HC-04358</t>
  </si>
  <si>
    <t>CAN-HC-04359</t>
  </si>
  <si>
    <t>CAN-HC-04360</t>
  </si>
  <si>
    <t>CAN-HC-04361</t>
  </si>
  <si>
    <t>CAN-HC-04362</t>
  </si>
  <si>
    <t>CAN-HC-04363</t>
  </si>
  <si>
    <t>CAN-HC-04364</t>
  </si>
  <si>
    <t>CAN-HC-04365</t>
  </si>
  <si>
    <t>CAN-HC-04366</t>
  </si>
  <si>
    <t>CAN-HC-04367</t>
  </si>
  <si>
    <t>CAN-HC-04368</t>
  </si>
  <si>
    <t>CAN-HC-04369</t>
  </si>
  <si>
    <t>CAN-HC-04370</t>
  </si>
  <si>
    <t>CAN-HC-04371</t>
  </si>
  <si>
    <t>CAN-HC-04372</t>
  </si>
  <si>
    <t>CAN-HC-04373</t>
  </si>
  <si>
    <t>CAN-HC-04374</t>
  </si>
  <si>
    <t>CAN-HC-04375</t>
  </si>
  <si>
    <t>CAN-HC-04376</t>
  </si>
  <si>
    <t>CAN-HC-04377</t>
  </si>
  <si>
    <t>CAN-HC-04378</t>
  </si>
  <si>
    <t>CAN-HC-04379</t>
  </si>
  <si>
    <t>CAN-HC-04380</t>
  </si>
  <si>
    <t>CAN-HC-04381</t>
  </si>
  <si>
    <t>CAN-HC-04382</t>
  </si>
  <si>
    <t>CAN-HC-04383</t>
  </si>
  <si>
    <t>CAN-HC-04384</t>
  </si>
  <si>
    <t>CAN-HC-04385</t>
  </si>
  <si>
    <t>CAN-HC-04386</t>
  </si>
  <si>
    <t>CAN-HC-04387</t>
  </si>
  <si>
    <t>CAN-HC-04388</t>
  </si>
  <si>
    <t>CAN-HC-04389</t>
  </si>
  <si>
    <t>CAN-HC-04390</t>
  </si>
  <si>
    <t>CAN-HC-04391</t>
  </si>
  <si>
    <t>CAN-HC-04392</t>
  </si>
  <si>
    <t>CAN-HC-04393</t>
  </si>
  <si>
    <t>CAN-HC-04394</t>
  </si>
  <si>
    <t>CAN-HC-04395</t>
  </si>
  <si>
    <t>CAN-HC-04396</t>
  </si>
  <si>
    <t>CAN-HC-04397</t>
  </si>
  <si>
    <t>CAN-HC-04398</t>
  </si>
  <si>
    <t>CAN-HC-04399</t>
  </si>
  <si>
    <t>CAN-HC-04400</t>
  </si>
  <si>
    <t>CAN-HC-04401</t>
  </si>
  <si>
    <t>CAN-HC-04402</t>
  </si>
  <si>
    <t>CAN-HC-04403</t>
  </si>
  <si>
    <t>CAN-HC-04404</t>
  </si>
  <si>
    <t>CAN-HC-04405</t>
  </si>
  <si>
    <t>CAN-HC-04406</t>
  </si>
  <si>
    <t>CAN-HC-04407</t>
  </si>
  <si>
    <t>CAN-HC-04408</t>
  </si>
  <si>
    <t>CAN-HC-04409</t>
  </si>
  <si>
    <t>CAN-HC-04410</t>
  </si>
  <si>
    <t>CAN-HC-04411</t>
  </si>
  <si>
    <t>CAN-HC-04412</t>
  </si>
  <si>
    <t>CAN-HC-04413</t>
  </si>
  <si>
    <t>CAN-HC-04414</t>
  </si>
  <si>
    <t>CAN-HC-04415</t>
  </si>
  <si>
    <t>CAN-HC-04416</t>
  </si>
  <si>
    <t>CAN-HC-04417</t>
  </si>
  <si>
    <t>CAN-HC-04418</t>
  </si>
  <si>
    <t>CAN-HC-04419</t>
  </si>
  <si>
    <t>CAN-HC-04420</t>
  </si>
  <si>
    <t>CAN-HC-04421</t>
  </si>
  <si>
    <t>CAN-HC-04422</t>
  </si>
  <si>
    <t>CAN-HC-04423</t>
  </si>
  <si>
    <t>CAN-HC-04424</t>
  </si>
  <si>
    <t>CAN-HC-04425</t>
  </si>
  <si>
    <t>CAN-HC-04426</t>
  </si>
  <si>
    <t>CAN-HC-04427</t>
  </si>
  <si>
    <t>CAN-HC-04428</t>
  </si>
  <si>
    <t>CAN-HC-04429</t>
  </si>
  <si>
    <t>CAN-HC-04430</t>
  </si>
  <si>
    <t>CAN-HC-04431</t>
  </si>
  <si>
    <t>CAN-HC-04432</t>
  </si>
  <si>
    <t>CAN-HC-04433</t>
  </si>
  <si>
    <t>CAN-HC-04434</t>
  </si>
  <si>
    <t>CAN-HC-04435</t>
  </si>
  <si>
    <t>CAN-HC-04436</t>
  </si>
  <si>
    <t>CAN-HC-04437</t>
  </si>
  <si>
    <t>CAN-HC-04438</t>
  </si>
  <si>
    <t>CAN-HC-04439</t>
  </si>
  <si>
    <t>CAN-HC-04440</t>
  </si>
  <si>
    <t>CAN-HC-04441</t>
  </si>
  <si>
    <t>CAN-HC-04442</t>
  </si>
  <si>
    <t>CAN-HC-04443</t>
  </si>
  <si>
    <t>CAN-HC-04444</t>
  </si>
  <si>
    <t>CAN-HC-04445</t>
  </si>
  <si>
    <t>CAN-HC-04446</t>
  </si>
  <si>
    <t>CAN-HC-04447</t>
  </si>
  <si>
    <t>CAN-HC-04448</t>
  </si>
  <si>
    <t>CAN-HC-04449</t>
  </si>
  <si>
    <t>CAN-HC-04450</t>
  </si>
  <si>
    <t>CAN-HC-04451</t>
  </si>
  <si>
    <t>CAN-HC-04452</t>
  </si>
  <si>
    <t>CAN-HC-04453</t>
  </si>
  <si>
    <t>CAN-HC-04454</t>
  </si>
  <si>
    <t>CAN-HC-04455</t>
  </si>
  <si>
    <t>CAN-HC-04456</t>
  </si>
  <si>
    <t>CAN-HC-04457</t>
  </si>
  <si>
    <t>CAN-HC-04458</t>
  </si>
  <si>
    <t>CAN-HC-04459</t>
  </si>
  <si>
    <t>CAN-HC-04460</t>
  </si>
  <si>
    <t>CAN-HC-04461</t>
  </si>
  <si>
    <t>CAN-HC-04462</t>
  </si>
  <si>
    <t>CAN-HC-04463</t>
  </si>
  <si>
    <t>CAN-HC-04464</t>
  </si>
  <si>
    <t>CAN-HC-04465</t>
  </si>
  <si>
    <t>CAN-HC-04466</t>
  </si>
  <si>
    <t>CAN-HC-04467</t>
  </si>
  <si>
    <t>CAN-HC-04468</t>
  </si>
  <si>
    <t>CAN-HC-04469</t>
  </si>
  <si>
    <t>CAN-HC-04470</t>
  </si>
  <si>
    <t>CAN-HC-04471</t>
  </si>
  <si>
    <t>CAN-HC-04472</t>
  </si>
  <si>
    <t>CAN-HC-04473</t>
  </si>
  <si>
    <t>CAN-HC-04474</t>
  </si>
  <si>
    <t>CAN-HC-04475</t>
  </si>
  <si>
    <t>CAN-HC-04476</t>
  </si>
  <si>
    <t>CAN-HC-04477</t>
  </si>
  <si>
    <t>CAN-HC-04478</t>
  </si>
  <si>
    <t>CAN-HC-04479</t>
  </si>
  <si>
    <t>CAN-HC-04480</t>
  </si>
  <si>
    <t>CAN-HC-04481</t>
  </si>
  <si>
    <t>CAN-HC-04482</t>
  </si>
  <si>
    <t>CAN-HC-04483</t>
  </si>
  <si>
    <t>CAN-HC-04484</t>
  </si>
  <si>
    <t>CAN-HC-04485</t>
  </si>
  <si>
    <t>CAN-HC-04486</t>
  </si>
  <si>
    <t>CAN-HC-04487</t>
  </si>
  <si>
    <t>CAN-HC-04488</t>
  </si>
  <si>
    <t>CAN-HC-04489</t>
  </si>
  <si>
    <t>CAN-HC-04490</t>
  </si>
  <si>
    <t>CAN-HC-04491</t>
  </si>
  <si>
    <t>CAN-HC-04492</t>
  </si>
  <si>
    <t>CAN-HC-04493</t>
  </si>
  <si>
    <t>CAN-HC-04494</t>
  </si>
  <si>
    <t>CAN-HC-04495</t>
  </si>
  <si>
    <t>CAN-HC-04496</t>
  </si>
  <si>
    <t>CAN-HC-04497</t>
  </si>
  <si>
    <t>CAN-HC-04498</t>
  </si>
  <si>
    <t>CAN-HC-04499</t>
  </si>
  <si>
    <t>CAN-HC-04500</t>
  </si>
  <si>
    <t>CAN-HC-04501</t>
  </si>
  <si>
    <t>CAN-HC-04502</t>
  </si>
  <si>
    <t>CAN-HC-04503</t>
  </si>
  <si>
    <t>CAN-HC-04504</t>
  </si>
  <si>
    <t>CAN-HC-04505</t>
  </si>
  <si>
    <t>CAN-HC-04506</t>
  </si>
  <si>
    <t>CAN-HC-04507</t>
  </si>
  <si>
    <t>CAN-HC-04508</t>
  </si>
  <si>
    <t>CAN-HC-04509</t>
  </si>
  <si>
    <t>CAN-HC-04510</t>
  </si>
  <si>
    <t>CAN-HC-04511</t>
  </si>
  <si>
    <t>CAN-HC-04512</t>
  </si>
  <si>
    <t>CAN-HC-04513</t>
  </si>
  <si>
    <t>CAN-HC-04514</t>
  </si>
  <si>
    <t>CAN-HC-04515</t>
  </si>
  <si>
    <t>CAN-HC-04516</t>
  </si>
  <si>
    <t>CAN-HC-04517</t>
  </si>
  <si>
    <t>CAN-HC-04518</t>
  </si>
  <si>
    <t>CAN-HC-04519</t>
  </si>
  <si>
    <t>CAN-HC-04520</t>
  </si>
  <si>
    <t>CAN-HC-04521</t>
  </si>
  <si>
    <t>CAN-HC-04522</t>
  </si>
  <si>
    <t>CAN-HC-04523</t>
  </si>
  <si>
    <t>CAN-HC-04524</t>
  </si>
  <si>
    <t>CAN-HC-04525</t>
  </si>
  <si>
    <t>CAN-HC-04526</t>
  </si>
  <si>
    <t>CAN-HC-04527</t>
  </si>
  <si>
    <t>CAN-HC-04528</t>
  </si>
  <si>
    <t>CAN-HC-04529</t>
  </si>
  <si>
    <t>CAN-HC-04530</t>
  </si>
  <si>
    <t>CAN-HC-04531</t>
  </si>
  <si>
    <t>CAN-HC-04532</t>
  </si>
  <si>
    <t>CAN-HC-04533</t>
  </si>
  <si>
    <t>CAN-HC-04534</t>
  </si>
  <si>
    <t>CAN-HC-04535</t>
  </si>
  <si>
    <t>CAN-HC-04536</t>
  </si>
  <si>
    <t>CAN-HC-04537</t>
  </si>
  <si>
    <t>CAN-HC-04538</t>
  </si>
  <si>
    <t>CAN-HC-04539</t>
  </si>
  <si>
    <t>CAN-HC-04540</t>
  </si>
  <si>
    <t>CAN-HC-04541</t>
  </si>
  <si>
    <t>CAN-HC-04542</t>
  </si>
  <si>
    <t>CAN-HC-04543</t>
  </si>
  <si>
    <t>CAN-HC-04544</t>
  </si>
  <si>
    <t>CAN-HC-04545</t>
  </si>
  <si>
    <t>CAN-HC-04546</t>
  </si>
  <si>
    <t>CAN-HC-04547</t>
  </si>
  <si>
    <t>CAN-HC-04548</t>
  </si>
  <si>
    <t>CAN-HC-04549</t>
  </si>
  <si>
    <t>CAN-HC-04550</t>
  </si>
  <si>
    <t>CAN-HC-04551</t>
  </si>
  <si>
    <t>CAN-HC-04552</t>
  </si>
  <si>
    <t>CAN-HC-04553</t>
  </si>
  <si>
    <t>CAN-HC-04554</t>
  </si>
  <si>
    <t>CAN-HC-04555</t>
  </si>
  <si>
    <t>CAN-HC-04556</t>
  </si>
  <si>
    <t>CAN-HC-04557</t>
  </si>
  <si>
    <t>CAN-HC-04558</t>
  </si>
  <si>
    <t>CAN-HC-04559</t>
  </si>
  <si>
    <t>CAN-HC-04560</t>
  </si>
  <si>
    <t>CAN-HC-04561</t>
  </si>
  <si>
    <t>CAN-HC-04562</t>
  </si>
  <si>
    <t>CAN-HC-04563</t>
  </si>
  <si>
    <t>CAN-HC-04564</t>
  </si>
  <si>
    <t>CAN-HC-04565</t>
  </si>
  <si>
    <t>CAN-HC-04566</t>
  </si>
  <si>
    <t>CAN-HC-04567</t>
  </si>
  <si>
    <t>CAN-HC-04568</t>
  </si>
  <si>
    <t>CAN-HC-04569</t>
  </si>
  <si>
    <t>CAN-HC-04570</t>
  </si>
  <si>
    <t>CAN-HC-04571</t>
  </si>
  <si>
    <t>CAN-HC-04572</t>
  </si>
  <si>
    <t>CAN-HC-04573</t>
  </si>
  <si>
    <t>CAN-HC-04574</t>
  </si>
  <si>
    <t>CAN-HC-04575</t>
  </si>
  <si>
    <t>CAN-HC-04576</t>
  </si>
  <si>
    <t>CAN-HC-04577</t>
  </si>
  <si>
    <t>CAN-HC-04578</t>
  </si>
  <si>
    <t>CAN-HC-04579</t>
  </si>
  <si>
    <t>CAN-HC-04580</t>
  </si>
  <si>
    <t>CAN-HC-04581</t>
  </si>
  <si>
    <t>CAN-HC-04582</t>
  </si>
  <si>
    <t>CAN-HC-04583</t>
  </si>
  <si>
    <t>CAN-HC-04584</t>
  </si>
  <si>
    <t>CAN-HC-04585</t>
  </si>
  <si>
    <t>CAN-HC-04586</t>
  </si>
  <si>
    <t>CAN-HC-04587</t>
  </si>
  <si>
    <t>CAN-HC-04588</t>
  </si>
  <si>
    <t>CAN-HC-04589</t>
  </si>
  <si>
    <t>CAN-HC-04590</t>
  </si>
  <si>
    <t>CAN-HC-04591</t>
  </si>
  <si>
    <t>CAN-HC-04592</t>
  </si>
  <si>
    <t>CAN-HC-04593</t>
  </si>
  <si>
    <t>CAN-HC-04594</t>
  </si>
  <si>
    <t>CAN-HC-04595</t>
  </si>
  <si>
    <t>CAN-HC-04596</t>
  </si>
  <si>
    <t>CAN-HC-04597</t>
  </si>
  <si>
    <t>CAN-HC-04598</t>
  </si>
  <si>
    <t>CAN-HC-04599</t>
  </si>
  <si>
    <t>CAN-HC-04600</t>
  </si>
  <si>
    <t>CAN-HC-04601</t>
  </si>
  <si>
    <t>CAN-HC-04602</t>
  </si>
  <si>
    <t>CAN-HC-04603</t>
  </si>
  <si>
    <t>CAN-HC-04604</t>
  </si>
  <si>
    <t>CAN-HC-04605</t>
  </si>
  <si>
    <t>CAN-HC-04606</t>
  </si>
  <si>
    <t>CAN-HC-04607</t>
  </si>
  <si>
    <t>CAN-HC-04608</t>
  </si>
  <si>
    <t>CAN-HC-04609</t>
  </si>
  <si>
    <t>CAN-HC-04610</t>
  </si>
  <si>
    <t>CAN-HC-04611</t>
  </si>
  <si>
    <t>CAN-HC-04612</t>
  </si>
  <si>
    <t>CAN-HC-04613</t>
  </si>
  <si>
    <t>CAN-HC-04614</t>
  </si>
  <si>
    <t>CAN-HC-04615</t>
  </si>
  <si>
    <t>CAN-HC-04616</t>
  </si>
  <si>
    <t>CAN-HC-04617</t>
  </si>
  <si>
    <t>CAN-HC-04618</t>
  </si>
  <si>
    <t>CAN-HC-04619</t>
  </si>
  <si>
    <t>CAN-HC-04620</t>
  </si>
  <si>
    <t>CAN-HC-04621</t>
  </si>
  <si>
    <t>CAN-HC-04622</t>
  </si>
  <si>
    <t>CAN-HC-04623</t>
  </si>
  <si>
    <t>CAN-HC-04624</t>
  </si>
  <si>
    <t>CAN-HC-04625</t>
  </si>
  <si>
    <t>CAN-HC-04626</t>
  </si>
  <si>
    <t>CAN-HC-04627</t>
  </si>
  <si>
    <t>CAN-HC-04628</t>
  </si>
  <si>
    <t>CAN-HC-04629</t>
  </si>
  <si>
    <t>CAN-HC-04630</t>
  </si>
  <si>
    <t>CAN-HC-04631</t>
  </si>
  <si>
    <t>CAN-HC-04632</t>
  </si>
  <si>
    <t>CAN-HC-04633</t>
  </si>
  <si>
    <t>CAN-HC-04634</t>
  </si>
  <si>
    <t>CAN-HC-04635</t>
  </si>
  <si>
    <t>CAN-HC-04636</t>
  </si>
  <si>
    <t>CAN-HC-04637</t>
  </si>
  <si>
    <t>CAN-HC-04638</t>
  </si>
  <si>
    <t>CAN-HC-04639</t>
  </si>
  <si>
    <t>CAN-HC-04640</t>
  </si>
  <si>
    <t>CAN-HC-04641</t>
  </si>
  <si>
    <t>CAN-HC-04642</t>
  </si>
  <si>
    <t>CAN-HC-04643</t>
  </si>
  <si>
    <t>CAN-HC-04644</t>
  </si>
  <si>
    <t>CAN-HC-04645</t>
  </si>
  <si>
    <t>CAN-HC-04646</t>
  </si>
  <si>
    <t>CAN-HC-04647</t>
  </si>
  <si>
    <t>CAN-HC-04648</t>
  </si>
  <si>
    <t>CAN-HC-04649</t>
  </si>
  <si>
    <t>CAN-HC-04650</t>
  </si>
  <si>
    <t>CAN-HC-04651</t>
  </si>
  <si>
    <t>CAN-HC-04652</t>
  </si>
  <si>
    <t>CAN-HC-04653</t>
  </si>
  <si>
    <t>CAN-HC-04654</t>
  </si>
  <si>
    <t>CAN-HC-04655</t>
  </si>
  <si>
    <t>CAN-HC-04656</t>
  </si>
  <si>
    <t>CAN-HC-04657</t>
  </si>
  <si>
    <t>CAN-HC-04658</t>
  </si>
  <si>
    <t>CAN-HC-04659</t>
  </si>
  <si>
    <t>CAN-HC-04660</t>
  </si>
  <si>
    <t>CAN-HC-04661</t>
  </si>
  <si>
    <t>CAN-HC-04662</t>
  </si>
  <si>
    <t>CAN-HC-04663</t>
  </si>
  <si>
    <t>CAN-HC-04664</t>
  </si>
  <si>
    <t>CAN-HC-04665</t>
  </si>
  <si>
    <t>CAN-HC-04666</t>
  </si>
  <si>
    <t>CAN-HC-04667</t>
  </si>
  <si>
    <t>CAN-HC-04668</t>
  </si>
  <si>
    <t>CAN-HC-04669</t>
  </si>
  <si>
    <t>CAN-HC-04670</t>
  </si>
  <si>
    <t>CAN-HC-04671</t>
  </si>
  <si>
    <t>CAN-HC-04672</t>
  </si>
  <si>
    <t>CAN-HC-04673</t>
  </si>
  <si>
    <t>CAN-HC-04674</t>
  </si>
  <si>
    <t>CAN-HC-04675</t>
  </si>
  <si>
    <t>CAN-HC-04676</t>
  </si>
  <si>
    <t>CAN-HC-04677</t>
  </si>
  <si>
    <t>CAN-HC-04678</t>
  </si>
  <si>
    <t>CAN-HC-04679</t>
  </si>
  <si>
    <t>CAN-HC-04680</t>
  </si>
  <si>
    <t>CAN-HC-04681</t>
  </si>
  <si>
    <t>CAN-HC-04682</t>
  </si>
  <si>
    <t>CAN-HC-04683</t>
  </si>
  <si>
    <t>CAN-HC-04684</t>
  </si>
  <si>
    <t>CAN-HC-04685</t>
  </si>
  <si>
    <t>CAN-HC-04686</t>
  </si>
  <si>
    <t>CAN-HC-04687</t>
  </si>
  <si>
    <t>CAN-HC-04688</t>
  </si>
  <si>
    <t>CAN-HC-04689</t>
  </si>
  <si>
    <t>CAN-HC-04690</t>
  </si>
  <si>
    <t>CAN-HC-04691</t>
  </si>
  <si>
    <t>CAN-HC-04692</t>
  </si>
  <si>
    <t>CAN-HC-04693</t>
  </si>
  <si>
    <t>CAN-HC-04694</t>
  </si>
  <si>
    <t>CAN-HC-04695</t>
  </si>
  <si>
    <t>CAN-HC-04696</t>
  </si>
  <si>
    <t>CAN-HC-04697</t>
  </si>
  <si>
    <t>CAN-HC-04698</t>
  </si>
  <si>
    <t>CAN-HC-04699</t>
  </si>
  <si>
    <t>CAN-HC-04700</t>
  </si>
  <si>
    <t>CAN-HC-04701</t>
  </si>
  <si>
    <t>CAN-HC-04702</t>
  </si>
  <si>
    <t>CAN-HC-04703</t>
  </si>
  <si>
    <t>CAN-HC-04704</t>
  </si>
  <si>
    <t>CAN-HC-04705</t>
  </si>
  <si>
    <t>CAN-HC-04706</t>
  </si>
  <si>
    <t>CAN-HC-04707</t>
  </si>
  <si>
    <t>CAN-HC-04708</t>
  </si>
  <si>
    <t>CAN-HC-04709</t>
  </si>
  <si>
    <t>CAN-HC-04710</t>
  </si>
  <si>
    <t>CAN-HC-04711</t>
  </si>
  <si>
    <t>CAN-HC-04712</t>
  </si>
  <si>
    <t>CAN-HC-04713</t>
  </si>
  <si>
    <t>CAN-HC-04714</t>
  </si>
  <si>
    <t>CAN-HC-04715</t>
  </si>
  <si>
    <t>CAN-HC-04716</t>
  </si>
  <si>
    <t>CAN-HC-04717</t>
  </si>
  <si>
    <t>CAN-HC-04718</t>
  </si>
  <si>
    <t>CAN-HC-04719</t>
  </si>
  <si>
    <t>CAN-HC-04720</t>
  </si>
  <si>
    <t>CAN-HC-04721</t>
  </si>
  <si>
    <t>CAN-HC-04722</t>
  </si>
  <si>
    <t>CAN-HC-04723</t>
  </si>
  <si>
    <t>CAN-HC-04724</t>
  </si>
  <si>
    <t>CAN-HC-04725</t>
  </si>
  <si>
    <t>CAN-HC-04726</t>
  </si>
  <si>
    <t>CAN-HC-04727</t>
  </si>
  <si>
    <t>CAN-HC-04728</t>
  </si>
  <si>
    <t>CAN-HC-04729</t>
  </si>
  <si>
    <t>CAN-HC-04730</t>
  </si>
  <si>
    <t>CAN-HC-04731</t>
  </si>
  <si>
    <t>CAN-HC-04732</t>
  </si>
  <si>
    <t>CAN-HC-04733</t>
  </si>
  <si>
    <t>CAN-HC-04734</t>
  </si>
  <si>
    <t>CAN-HC-04735</t>
  </si>
  <si>
    <t>CAN-HC-04736</t>
  </si>
  <si>
    <t>CAN-HC-04737</t>
  </si>
  <si>
    <t>CAN-HC-04738</t>
  </si>
  <si>
    <t>CAN-HC-04739</t>
  </si>
  <si>
    <t>CAN-HC-04740</t>
  </si>
  <si>
    <t>CAN-HC-04741</t>
  </si>
  <si>
    <t>CAN-HC-04742</t>
  </si>
  <si>
    <t>CAN-HC-04743</t>
  </si>
  <si>
    <t>CAN-HC-04744</t>
  </si>
  <si>
    <t>CAN-HC-04745</t>
  </si>
  <si>
    <t>CAN-HC-04746</t>
  </si>
  <si>
    <t>CAN-HC-04747</t>
  </si>
  <si>
    <t>CAN-HC-04748</t>
  </si>
  <si>
    <t>CAN-HC-04749</t>
  </si>
  <si>
    <t>CAN-HC-04750</t>
  </si>
  <si>
    <t>CAN-HC-04751</t>
  </si>
  <si>
    <t>CAN-HC-04752</t>
  </si>
  <si>
    <t>CAN-HC-04753</t>
  </si>
  <si>
    <t>CAN-HC-04754</t>
  </si>
  <si>
    <t>CAN-HC-04755</t>
  </si>
  <si>
    <t>CAN-HC-04756</t>
  </si>
  <si>
    <t>CAN-HC-04757</t>
  </si>
  <si>
    <t>CAN-HC-04758</t>
  </si>
  <si>
    <t>CAN-HC-04759</t>
  </si>
  <si>
    <t>CAN-HC-04760</t>
  </si>
  <si>
    <t>CAN-HC-04761</t>
  </si>
  <si>
    <t>CAN-HC-04762</t>
  </si>
  <si>
    <t>CAN-HC-04763</t>
  </si>
  <si>
    <t>CAN-HC-04764</t>
  </si>
  <si>
    <t>CAN-HC-04765</t>
  </si>
  <si>
    <t>CAN-HC-04766</t>
  </si>
  <si>
    <t>CAN-HC-04767</t>
  </si>
  <si>
    <t>CAN-HC-04768</t>
  </si>
  <si>
    <t>CAN-HC-04769</t>
  </si>
  <si>
    <t>CAN-HC-04770</t>
  </si>
  <si>
    <t>CAN-HC-04771</t>
  </si>
  <si>
    <t>CAN-HC-04772</t>
  </si>
  <si>
    <t>CAN-HC-04773</t>
  </si>
  <si>
    <t>CAN-HC-04774</t>
  </si>
  <si>
    <t>CAN-HC-04775</t>
  </si>
  <si>
    <t>CAN-HC-04776</t>
  </si>
  <si>
    <t>CAN-HC-04777</t>
  </si>
  <si>
    <t>CAN-HC-04778</t>
  </si>
  <si>
    <t>CAN-HC-04779</t>
  </si>
  <si>
    <t>CAN-HC-04780</t>
  </si>
  <si>
    <t>CAN-HC-04781</t>
  </si>
  <si>
    <t>CAN-HC-04782</t>
  </si>
  <si>
    <t>CAN-HC-04783</t>
  </si>
  <si>
    <t>CAN-HC-04784</t>
  </si>
  <si>
    <t>CAN-HC-04785</t>
  </si>
  <si>
    <t>CAN-HC-04786</t>
  </si>
  <si>
    <t>CAN-HC-04787</t>
  </si>
  <si>
    <t>CAN-HC-04788</t>
  </si>
  <si>
    <t>CAN-HC-04789</t>
  </si>
  <si>
    <t>CAN-HC-04790</t>
  </si>
  <si>
    <t>CAN-HC-04791</t>
  </si>
  <si>
    <t>CAN-HC-04792</t>
  </si>
  <si>
    <t>CAN-HC-04793</t>
  </si>
  <si>
    <t>CAN-HC-04794</t>
  </si>
  <si>
    <t>CAN-HC-04795</t>
  </si>
  <si>
    <t>CAN-HC-04796</t>
  </si>
  <si>
    <t>CAN-HC-04797</t>
  </si>
  <si>
    <t>CAN-HC-04798</t>
  </si>
  <si>
    <t>CAN-HC-04799</t>
  </si>
  <si>
    <t>CAN-HC-04800</t>
  </si>
  <si>
    <t>CAN-HC-04801</t>
  </si>
  <si>
    <t>CAN-HC-04802</t>
  </si>
  <si>
    <t>CAN-HC-04803</t>
  </si>
  <si>
    <t>CAN-HC-04804</t>
  </si>
  <si>
    <t>CAN-HC-04805</t>
  </si>
  <si>
    <t>CAN-HC-04806</t>
  </si>
  <si>
    <t>CAN-HC-04807</t>
  </si>
  <si>
    <t>CAN-HC-04808</t>
  </si>
  <si>
    <t>CAN-HC-04809</t>
  </si>
  <si>
    <t>CAN-HC-04810</t>
  </si>
  <si>
    <t>CAN-HC-04811</t>
  </si>
  <si>
    <t>CAN-HC-04812</t>
  </si>
  <si>
    <t>CAN-HC-04813</t>
  </si>
  <si>
    <t>CAN-HC-04814</t>
  </si>
  <si>
    <t>CAN-HC-04815</t>
  </si>
  <si>
    <t>CAN-HC-04816</t>
  </si>
  <si>
    <t>CAN-HC-04817</t>
  </si>
  <si>
    <t>CAN-HC-04818</t>
  </si>
  <si>
    <t>CAN-HC-04819</t>
  </si>
  <si>
    <t>CAN-HC-04820</t>
  </si>
  <si>
    <t>CAN-HC-04821</t>
  </si>
  <si>
    <t>CAN-HC-04822</t>
  </si>
  <si>
    <t>CAN-HC-04823</t>
  </si>
  <si>
    <t>CAN-HC-04824</t>
  </si>
  <si>
    <t>CAN-HC-04825</t>
  </si>
  <si>
    <t>CAN-HC-04826</t>
  </si>
  <si>
    <t>CAN-HC-04827</t>
  </si>
  <si>
    <t>CAN-HC-04828</t>
  </si>
  <si>
    <t>CAN-HC-04829</t>
  </si>
  <si>
    <t>CAN-HC-04830</t>
  </si>
  <si>
    <t>CAN-HC-04831</t>
  </si>
  <si>
    <t>CAN-HC-04832</t>
  </si>
  <si>
    <t>CAN-HC-04833</t>
  </si>
  <si>
    <t>CAN-HC-04834</t>
  </si>
  <si>
    <t>CAN-HC-04835</t>
  </si>
  <si>
    <t>CAN-HC-04836</t>
  </si>
  <si>
    <t>CAN-HC-04837</t>
  </si>
  <si>
    <t>CAN-HC-04838</t>
  </si>
  <si>
    <t>CAN-HC-04839</t>
  </si>
  <si>
    <t>CAN-HC-04840</t>
  </si>
  <si>
    <t>CAN-HC-04841</t>
  </si>
  <si>
    <t>CAN-HC-04842</t>
  </si>
  <si>
    <t>CAN-HC-04843</t>
  </si>
  <si>
    <t>CAN-HC-04844</t>
  </si>
  <si>
    <t>CAN-HC-04845</t>
  </si>
  <si>
    <t>CAN-HC-04846</t>
  </si>
  <si>
    <t>CAN-HC-04847</t>
  </si>
  <si>
    <t>CAN-HC-04848</t>
  </si>
  <si>
    <t>CAN-HC-04849</t>
  </si>
  <si>
    <t>CAN-HC-04850</t>
  </si>
  <si>
    <t>CAN-HC-04851</t>
  </si>
  <si>
    <t>CAN-HC-04852</t>
  </si>
  <si>
    <t>CAN-HC-04853</t>
  </si>
  <si>
    <t>CAN-HC-04854</t>
  </si>
  <si>
    <t>CAN-HC-04855</t>
  </si>
  <si>
    <t>CAN-HC-04856</t>
  </si>
  <si>
    <t>CAN-HC-04857</t>
  </si>
  <si>
    <t>CAN-HC-04858</t>
  </si>
  <si>
    <t>CAN-HC-04859</t>
  </si>
  <si>
    <t>CAN-HC-04860</t>
  </si>
  <si>
    <t>CAN-HC-04861</t>
  </si>
  <si>
    <t>CAN-HC-04862</t>
  </si>
  <si>
    <t>CAN-HC-04863</t>
  </si>
  <si>
    <t>CAN-HC-04864</t>
  </si>
  <si>
    <t>CAN-HC-04865</t>
  </si>
  <si>
    <t>CAN-HC-04866</t>
  </si>
  <si>
    <t>CAN-HC-04867</t>
  </si>
  <si>
    <t>CAN-HC-04868</t>
  </si>
  <si>
    <t>CAN-HC-04869</t>
  </si>
  <si>
    <t>CAN-HC-04870</t>
  </si>
  <si>
    <t>CAN-HC-04871</t>
  </si>
  <si>
    <t>CAN-HC-04872</t>
  </si>
  <si>
    <t>CAN-HC-04873</t>
  </si>
  <si>
    <t>CAN-HC-04874</t>
  </si>
  <si>
    <t>CAN-HC-04875</t>
  </si>
  <si>
    <t>CAN-HC-04876</t>
  </si>
  <si>
    <t>CAN-HC-04877</t>
  </si>
  <si>
    <t>CAN-HC-04878</t>
  </si>
  <si>
    <t>CAN-HC-04879</t>
  </si>
  <si>
    <t>CAN-HC-04880</t>
  </si>
  <si>
    <t>CAN-HC-04881</t>
  </si>
  <si>
    <t>CAN-HC-04882</t>
  </si>
  <si>
    <t>CAN-HC-04883</t>
  </si>
  <si>
    <t>CAN-HC-04884</t>
  </si>
  <si>
    <t>CAN-HC-04885</t>
  </si>
  <si>
    <t>CAN-HC-04886</t>
  </si>
  <si>
    <t>CAN-HC-04887</t>
  </si>
  <si>
    <t>CAN-HC-04888</t>
  </si>
  <si>
    <t>CAN-HC-04889</t>
  </si>
  <si>
    <t>CAN-HC-04890</t>
  </si>
  <si>
    <t>CAN-HC-04891</t>
  </si>
  <si>
    <t>CAN-HC-04892</t>
  </si>
  <si>
    <t>CAN-HC-04893</t>
  </si>
  <si>
    <t>CAN-HC-04894</t>
  </si>
  <si>
    <t>CAN-HC-04895</t>
  </si>
  <si>
    <t>CAN-HC-04896</t>
  </si>
  <si>
    <t>CAN-HC-04897</t>
  </si>
  <si>
    <t>CAN-HC-04898</t>
  </si>
  <si>
    <t>CAN-HC-04899</t>
  </si>
  <si>
    <t>CAN-HC-04900</t>
  </si>
  <si>
    <t>CAN-HC-04901</t>
  </si>
  <si>
    <t>CAN-HC-04902</t>
  </si>
  <si>
    <t>CAN-HC-04903</t>
  </si>
  <si>
    <t>CAN-HC-04904</t>
  </si>
  <si>
    <t>CAN-HC-04905</t>
  </si>
  <si>
    <t>CAN-HC-04906</t>
  </si>
  <si>
    <t>CAN-HC-04907</t>
  </si>
  <si>
    <t>CAN-HC-04908</t>
  </si>
  <si>
    <t>CAN-HC-04909</t>
  </si>
  <si>
    <t>CAN-HC-04910</t>
  </si>
  <si>
    <t>CAN-HC-04911</t>
  </si>
  <si>
    <t>CAN-HC-04912</t>
  </si>
  <si>
    <t>CAN-HC-04913</t>
  </si>
  <si>
    <t>CAN-HC-04914</t>
  </si>
  <si>
    <t>CAN-HC-04915</t>
  </si>
  <si>
    <t>CAN-HC-04916</t>
  </si>
  <si>
    <t>CAN-HC-04917</t>
  </si>
  <si>
    <t>CAN-HC-04918</t>
  </si>
  <si>
    <t>CAN-HC-04919</t>
  </si>
  <si>
    <t>CAN-HC-04920</t>
  </si>
  <si>
    <t>CAN-HC-04921</t>
  </si>
  <si>
    <t>CAN-HC-04922</t>
  </si>
  <si>
    <t>CAN-HC-04923</t>
  </si>
  <si>
    <t>CAN-HC-04924</t>
  </si>
  <si>
    <t>CAN-HC-04925</t>
  </si>
  <si>
    <t>CAN-HC-04926</t>
  </si>
  <si>
    <t>CAN-HC-04927</t>
  </si>
  <si>
    <t>CAN-HC-04928</t>
  </si>
  <si>
    <t>CAN-HC-04929</t>
  </si>
  <si>
    <t>CAN-HC-04930</t>
  </si>
  <si>
    <t>CAN-HC-04931</t>
  </si>
  <si>
    <t>CAN-HC-04932</t>
  </si>
  <si>
    <t>CAN-HC-04933</t>
  </si>
  <si>
    <t>CAN-HC-04934</t>
  </si>
  <si>
    <t>CAN-HC-04935</t>
  </si>
  <si>
    <t>CAN-HC-04936</t>
  </si>
  <si>
    <t>CAN-HC-04937</t>
  </si>
  <si>
    <t>CAN-HC-04938</t>
  </si>
  <si>
    <t>CAN-HC-04939</t>
  </si>
  <si>
    <t>CAN-HC-04940</t>
  </si>
  <si>
    <t>CAN-HC-04941</t>
  </si>
  <si>
    <t>CAN-HC-04942</t>
  </si>
  <si>
    <t>CAN-HC-04943</t>
  </si>
  <si>
    <t>CAN-HC-04944</t>
  </si>
  <si>
    <t>CAN-HC-04945</t>
  </si>
  <si>
    <t>CAN-HC-04946</t>
  </si>
  <si>
    <t>CAN-HC-04947</t>
  </si>
  <si>
    <t>CAN-HC-04948</t>
  </si>
  <si>
    <t>CAN-HC-04949</t>
  </si>
  <si>
    <t>CAN-HC-04950</t>
  </si>
  <si>
    <t>CAN-HC-04951</t>
  </si>
  <si>
    <t>CAN-HC-04952</t>
  </si>
  <si>
    <t>CAN-HC-04953</t>
  </si>
  <si>
    <t>CAN-HC-04954</t>
  </si>
  <si>
    <t>CAN-HC-04955</t>
  </si>
  <si>
    <t>CAN-HC-04956</t>
  </si>
  <si>
    <t>CAN-HC-04957</t>
  </si>
  <si>
    <t>CAN-HC-04958</t>
  </si>
  <si>
    <t>CAN-HC-04959</t>
  </si>
  <si>
    <t>CAN-HC-04960</t>
  </si>
  <si>
    <t>CAN-HC-04961</t>
  </si>
  <si>
    <t>CAN-HC-04962</t>
  </si>
  <si>
    <t>CAN-HC-04963</t>
  </si>
  <si>
    <t>CAN-HC-04964</t>
  </si>
  <si>
    <t>CAN-HC-04965</t>
  </si>
  <si>
    <t>CAN-HC-04966</t>
  </si>
  <si>
    <t>CAN-HC-04967</t>
  </si>
  <si>
    <t>CAN-HC-04968</t>
  </si>
  <si>
    <t>CAN-HC-04969</t>
  </si>
  <si>
    <t>CAN-HC-04970</t>
  </si>
  <si>
    <t>CAN-HC-04971</t>
  </si>
  <si>
    <t>CAN-HC-04972</t>
  </si>
  <si>
    <t>CAN-HC-04973</t>
  </si>
  <si>
    <t>CAN-HC-04974</t>
  </si>
  <si>
    <t>CAN-HC-04975</t>
  </si>
  <si>
    <t>CAN-HC-04976</t>
  </si>
  <si>
    <t>CAN-HC-04977</t>
  </si>
  <si>
    <t>CAN-HC-04978</t>
  </si>
  <si>
    <t>CAN-HC-04979</t>
  </si>
  <si>
    <t>CAN-HC-04980</t>
  </si>
  <si>
    <t>CAN-HC-04981</t>
  </si>
  <si>
    <t>CAN-HC-04982</t>
  </si>
  <si>
    <t>CAN-HC-04983</t>
  </si>
  <si>
    <t>CAN-HC-04984</t>
  </si>
  <si>
    <t>CAN-HC-04985</t>
  </si>
  <si>
    <t>CAN-HC-04986</t>
  </si>
  <si>
    <t>CAN-HC-04987</t>
  </si>
  <si>
    <t>CAN-HC-04988</t>
  </si>
  <si>
    <t>CAN-HC-04989</t>
  </si>
  <si>
    <t>CAN-HC-04990</t>
  </si>
  <si>
    <t>CAN-HC-04991</t>
  </si>
  <si>
    <t>CAN-HC-04992</t>
  </si>
  <si>
    <t>CAN-HC-04993</t>
  </si>
  <si>
    <t>CAN-HC-04994</t>
  </si>
  <si>
    <t>CAN-HC-04995</t>
  </si>
  <si>
    <t>CAN-HC-04996</t>
  </si>
  <si>
    <t>CAN-HC-04997</t>
  </si>
  <si>
    <t>CAN-HC-04998</t>
  </si>
  <si>
    <t>CAN-HC-04999</t>
  </si>
  <si>
    <t>CAN-HC-05000</t>
  </si>
  <si>
    <t>Average_wait_by_province</t>
  </si>
  <si>
    <t>Sorted_by_average_wait_time</t>
  </si>
  <si>
    <t>Province Sorted</t>
  </si>
  <si>
    <t>Claim_Status_Sorted</t>
  </si>
  <si>
    <t>Claim Type</t>
  </si>
  <si>
    <t>Provider_Type_Sorted</t>
  </si>
  <si>
    <t>Provider</t>
  </si>
  <si>
    <t>Insurance_Type</t>
  </si>
  <si>
    <t>Median_Claims</t>
  </si>
  <si>
    <t>Claim_status_filter</t>
  </si>
  <si>
    <t>Provider_Type_Filtered</t>
  </si>
  <si>
    <t>Canadian HealthCare Claims Calculator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</si>
</sst>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0.0"/>
    <numFmt numFmtId="165" formatCode="_(&quot;$&quot;* #,##0_);_(&quot;$&quot;* \(#,##0\);_(&quot;$&quot;* &quot;-&quot;??_);_(@_)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20"/>
      <color theme="3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2" borderId="2" applyNumberFormat="0" applyAlignment="0" applyProtection="0"/>
  </cellStyleXfs>
  <cellXfs count="15">
    <xf numFmtId="0" fontId="0" fillId="0" borderId="0" xfId="0"/>
    <xf numFmtId="44" fontId="0" fillId="0" borderId="0" xfId="1" applyFont="1"/>
    <xf numFmtId="0" fontId="2" fillId="0" borderId="0" xfId="0" applyFont="1"/>
    <xf numFmtId="164" fontId="0" fillId="0" borderId="0" xfId="0" applyNumberFormat="1"/>
    <xf numFmtId="2" fontId="0" fillId="0" borderId="0" xfId="0" applyNumberFormat="1"/>
    <xf numFmtId="165" fontId="0" fillId="0" borderId="0" xfId="1" applyNumberFormat="1" applyFont="1"/>
    <xf numFmtId="0" fontId="4" fillId="2" borderId="2" xfId="3" applyProtection="1">
      <protection locked="0"/>
    </xf>
    <xf numFmtId="0" fontId="4" fillId="2" borderId="2" xfId="3" applyAlignment="1" applyProtection="1">
      <alignment horizontal="center"/>
      <protection locked="0"/>
    </xf>
    <xf numFmtId="0" fontId="2" fillId="0" borderId="0" xfId="0" applyFont="1" applyProtection="1"/>
    <xf numFmtId="165" fontId="0" fillId="0" borderId="0" xfId="1" applyNumberFormat="1" applyFont="1" applyProtection="1"/>
    <xf numFmtId="0" fontId="0" fillId="0" borderId="0" xfId="0" applyProtection="1"/>
    <xf numFmtId="164" fontId="0" fillId="0" borderId="0" xfId="0" applyNumberFormat="1" applyAlignment="1" applyProtection="1">
      <alignment horizontal="center"/>
    </xf>
    <xf numFmtId="0" fontId="7" fillId="0" borderId="1" xfId="2" applyFont="1" applyAlignment="1" applyProtection="1">
      <alignment horizontal="center"/>
    </xf>
    <xf numFmtId="0" fontId="6" fillId="0" borderId="0" xfId="0" applyFont="1" applyProtection="1"/>
    <xf numFmtId="0" fontId="5" fillId="0" borderId="0" xfId="0" applyFont="1" applyProtection="1"/>
  </cellXfs>
  <cellStyles count="4">
    <cellStyle name="Currency" xfId="1" builtinId="4"/>
    <cellStyle name="Heading 1" xfId="2" builtinId="16"/>
    <cellStyle name="Input" xfId="3" builtinId="20"/>
    <cellStyle name="Normal" xfId="0" builtinId="0"/>
  </cellStyles>
  <dxfs count="7">
    <dxf>
      <numFmt numFmtId="34" formatCode="_(&quot;$&quot;* #,##0.00_);_(&quot;$&quot;* \(#,##0.00\);_(&quot;$&quot;* &quot;-&quot;??_);_(@_)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Claim_type!$D$2:$D$5</c:f>
              <c:strCache>
                <c:ptCount val="4"/>
                <c:pt idx="0">
                  <c:v>Prescription</c:v>
                </c:pt>
                <c:pt idx="1">
                  <c:v>Physiotherapy</c:v>
                </c:pt>
                <c:pt idx="2">
                  <c:v>Mental Health Therapy</c:v>
                </c:pt>
                <c:pt idx="3">
                  <c:v>Vision</c:v>
                </c:pt>
              </c:strCache>
            </c:strRef>
          </c:cat>
          <c:val>
            <c:numRef>
              <c:f>Claim_type!$F$2:$F$5</c:f>
              <c:numCache>
                <c:formatCode>General</c:formatCode>
                <c:ptCount val="4"/>
                <c:pt idx="0">
                  <c:v>112.11500000000001</c:v>
                </c:pt>
                <c:pt idx="1">
                  <c:v>139.61000000000001</c:v>
                </c:pt>
                <c:pt idx="2">
                  <c:v>#N/A</c:v>
                </c:pt>
                <c:pt idx="3">
                  <c:v>277.52999999999997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1D-48B2-8D4D-49B081F52B0A}"/>
            </c:ext>
          </c:extLst>
        </c:ser>
        <c:ser>
          <c:idx val="1"/>
          <c:order val="1"/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Claim_type!$D$2:$D$5</c:f>
              <c:strCache>
                <c:ptCount val="4"/>
                <c:pt idx="0">
                  <c:v>Prescription</c:v>
                </c:pt>
                <c:pt idx="1">
                  <c:v>Physiotherapy</c:v>
                </c:pt>
                <c:pt idx="2">
                  <c:v>Mental Health Therapy</c:v>
                </c:pt>
                <c:pt idx="3">
                  <c:v>Vision</c:v>
                </c:pt>
              </c:strCache>
            </c:strRef>
          </c:cat>
          <c:val>
            <c:numRef>
              <c:f>Claim_type!$G$2:$G$5</c:f>
              <c:numCache>
                <c:formatCode>General</c:formatCode>
                <c:ptCount val="4"/>
                <c:pt idx="0">
                  <c:v>#N/A</c:v>
                </c:pt>
                <c:pt idx="1">
                  <c:v>#N/A</c:v>
                </c:pt>
                <c:pt idx="2">
                  <c:v>141.66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1D-48B2-8D4D-49B081F52B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57678831"/>
        <c:axId val="1624224847"/>
      </c:barChart>
      <c:catAx>
        <c:axId val="175767883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4224847"/>
        <c:crosses val="autoZero"/>
        <c:auto val="1"/>
        <c:lblAlgn val="ctr"/>
        <c:lblOffset val="100"/>
        <c:noMultiLvlLbl val="0"/>
      </c:catAx>
      <c:valAx>
        <c:axId val="1624224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7678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Inusrance_Provider!$D$2:$D$6</c:f>
              <c:strCache>
                <c:ptCount val="5"/>
                <c:pt idx="0">
                  <c:v>Out of Pocket / None</c:v>
                </c:pt>
                <c:pt idx="1">
                  <c:v>Canada Life</c:v>
                </c:pt>
                <c:pt idx="2">
                  <c:v>Blue Cross</c:v>
                </c:pt>
                <c:pt idx="3">
                  <c:v>Sun Life</c:v>
                </c:pt>
                <c:pt idx="4">
                  <c:v>Manulife</c:v>
                </c:pt>
              </c:strCache>
            </c:strRef>
          </c:cat>
          <c:val>
            <c:numRef>
              <c:f>Inusrance_Provider!$F$2:$F$6</c:f>
              <c:numCache>
                <c:formatCode>General</c:formatCode>
                <c:ptCount val="5"/>
                <c:pt idx="0">
                  <c:v>0</c:v>
                </c:pt>
                <c:pt idx="1">
                  <c:v>#N/A</c:v>
                </c:pt>
                <c:pt idx="2">
                  <c:v>154.22</c:v>
                </c:pt>
                <c:pt idx="3">
                  <c:v>154.34</c:v>
                </c:pt>
                <c:pt idx="4">
                  <c:v>154.72999999999999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A0-4810-BA7C-5AA64A2B1567}"/>
            </c:ext>
          </c:extLst>
        </c:ser>
        <c:ser>
          <c:idx val="1"/>
          <c:order val="1"/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Inusrance_Provider!$D$2:$D$6</c:f>
              <c:strCache>
                <c:ptCount val="5"/>
                <c:pt idx="0">
                  <c:v>Out of Pocket / None</c:v>
                </c:pt>
                <c:pt idx="1">
                  <c:v>Canada Life</c:v>
                </c:pt>
                <c:pt idx="2">
                  <c:v>Blue Cross</c:v>
                </c:pt>
                <c:pt idx="3">
                  <c:v>Sun Life</c:v>
                </c:pt>
                <c:pt idx="4">
                  <c:v>Manulife</c:v>
                </c:pt>
              </c:strCache>
            </c:strRef>
          </c:cat>
          <c:val>
            <c:numRef>
              <c:f>Inusrance_Provider!$G$2:$G$6</c:f>
              <c:numCache>
                <c:formatCode>General</c:formatCode>
                <c:ptCount val="5"/>
                <c:pt idx="0">
                  <c:v>#N/A</c:v>
                </c:pt>
                <c:pt idx="1">
                  <c:v>141.66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A0-4810-BA7C-5AA64A2B15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04735551"/>
        <c:axId val="72058480"/>
      </c:barChart>
      <c:catAx>
        <c:axId val="14047355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058480"/>
        <c:crosses val="autoZero"/>
        <c:auto val="1"/>
        <c:lblAlgn val="ctr"/>
        <c:lblOffset val="100"/>
        <c:noMultiLvlLbl val="0"/>
      </c:catAx>
      <c:valAx>
        <c:axId val="72058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47355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_xlchart.v5.2</cx:f>
      </cx:strDim>
      <cx:numDim type="colorVal">
        <cx:f>_xlchart.v5.3</cx:f>
      </cx:numDim>
    </cx:data>
  </cx:chartData>
  <cx:chart>
    <cx:plotArea>
      <cx:plotAreaRegion>
        <cx:plotSurface>
          <cx:spPr>
            <a:ln>
              <a:noFill/>
            </a:ln>
          </cx:spPr>
        </cx:plotSurface>
        <cx:series layoutId="regionMap" uniqueId="{00000000-C0A4-4C09-9D50-2091C2BE5735}">
          <cx:dataId val="0"/>
          <cx:layoutPr>
            <cx:geography cultureLanguage="en-US" cultureRegion="CA" attribution="Powered by Bing">
              <cx:geoCache provider="{E9337A44-BEBE-4D9F-B70C-5C5E7DAFC167}">
                <cx:binary>1Hxpc9xGsu1fUejzg1x7ARPXN2LQzSYpaqNoyTPzBUHJMlDYCksBKODXv1Pslq/YsqVxvLkRzwxH
tNhYKqtyO3ky6f/66P/2sf50PzzxTd2Of/vof3xaONf97Ycfxo/Fp+Z+fNaYj4Md7a/u2Ufb/GB/
/dV8/PTDL8P9Ytr8B0ao+OFjcT+4T/7pf/8X3pZ/si/sx3tnbHs7fRrWt5/GqXbjN6797qUn9780
pt2b0Q3mo6M/Pn0zmPbjpycXvyz3wy9Prsf6vv3l6ZNPrTNu/WntPv349NETT5/8cP7er2R4UkNM
N/2CZ4V6JmjCJRdxcvx5+qS2bX66HCn+jDCB/xJ5vBx/XvvVfYPn/6x0D7Ld//LL8GkcsdWHzz96
y6N94aaLp08+2ql14WxzHPOPT3f37f0v90+fmNHujld2Nuxq9/eHY/jhsVr++7/OvsDBnH3zhebO
T/F7l75SXDoYZ8biyc7WU/PBQMz/lNKkeCYVk481RZl8RqmSUjD1eamjjv6MIL+vn6/fcKabdPfX
0s3f6w+fBvefVAkOXyWcaE1+85Mv/YhS6IxSnUgiHmvn3xDl95Xy24Nnuvh7+tfSxZ1FEP0l+7Bm
9/On4T7/lC33xmXONJ8+n9Qfxbn/Re99ed8aZz/8J01EPIOBSKnPPTfRzwSnhGiekIcfePYxVBz9
998R5fdN5H+ePLORl381G7kfq3uHxLzct58P54+M4nHQ/1byQxwV8FqmuTgePD0LqUQ+ixMSi4dg
+6VK7v5NeX5fLY+fPlPN3c1fy32RFz98+vgfVAoQBxExS8QpkiaPlaLJM61jQWmsfkMsX6rm+/L8
vlI+P3emjtu/WGZ73br7wdj/oD7IM6KFklqcnIQ/1kcMH2GxBoSURydin9c+Rq9/Q6DfV8hvD55p
5PWrv5aDvPq0PEmHqR0X87H6fDb/78ELyF0mlKtE8eO5n+lFqWdUx1xpdfKjs6zyb4v1+9o5e/xM
R6/+YvnllZ3vn9x9tO4/CdOFRCTjVCl2VBA51xB/pojSNEn0Z7M4usy/Kc0fKObLrZyr5e7/b9f5
g/Luy7rp0S1/sthV7JkEyIoV+Z9Q9SVITxQUElMSy5PGzkLZ53Lzj+X5fZV8fu6R7P/b1esfY+Pf
INH+3t1fPBAJXxS33776sEFQHWePPiptH23zs2Vf//LjU45U/hs7Ed7wCOZ+PqXj6X6+/9P96H58
Gkn2THEeQztcQoGcgYdYPj1cogKwrUURUfz4NObPqCBxLHiSCPxLQYOjncIlQZ8hFnIgcKXCBfkb
bfPG1mtu2982fvr9STs1b6xp3fjjU4UluuNtQTARAAjXKLeF5ImimmOd7uP9W1BDuJv+n2YdTNeK
OP+ZqrxdkrTbxlmRC8J0rNtd1fZ53qbRtGT9h8jLzYudKVjd+kPVdZN5Pxu1WJYu0sS927uGZm2z
nxzLWnuR934p1+s5cnkypAPfZCPS2E1xMuyqOOM5u1JNNY7mEri113Xa1c3Cu12ea0t8WudT3+cX
ZbHUkCsnkkGuPFpYkVyOecmVTZO+ydj8vPFZV9mLWDOib/nS5LHeVSud9S+Drah9J2gWpGsjEl6o
BkuwtC/yuanTVbkat0vZ5I5dRWOV6buIV3oc97rPHKE3G9/aSV9WWWSFPMQ0kV3zMm+7svtlQNSc
lsPmFuv1vhRTpvWuz+IZ7+97E83zi9jXLQ6hci7Db6K0JVbrpWix7b6jBCIMfe9FdFl7Q6N+pyYS
5DfTZLDtomSy//CFNf6OzmGsZyrXVIEIi4WgUnB9pvKhclLV5TK83/jgc33Npci25Tkpl1nJfV9Y
5YoLlm/VulzbyW7ddhe5anHlFW0yqaqrb4sDg38sjtSSIlJxGUsl4+RMHCMLxxLvs3cjSRRMw5ck
98WeqmWNmotO+XBU81I0XXEbsbpT8wtvJjB/u2/LQZGszgSBWyoqlFAcpxM880tX2OLFlFM36nfa
VlY2r+ZhbOfychgqo8RtAoVkKs0n2GO9pazaejukUT9TmJZZY7Gsh2ybwse8rMlS7Jupk46+1uW8
8uh14+s5/mC5m/LqpbcZr17GTUXV7bd3AYrs8SaAkqgmcGeCIKFj8ngTkiaid7Jb33nWl4VM1bxx
HKOYFpuslwUfez4/T6J2tN6m316aBhzweHFgACA1BtOijHAGhujLE2wGKqZi4/k71ahpzX6a5qbS
/cGNqocOM16HxbWZgw8IOzQl25FonJP+ZbvJseWvOraB5k4LkwdPnWdabEs6jZYGu8ijYnD7oaC6
TF7bqWFMXqqpDeFkmQuLd6qhXzVLGd00L1I7b3Pyz6ypSt+97dqkhBeLYqjbJk3kFInkwGvYdZKO
XZmp/rAyK4PjjmMNMVe/arw54d2EuLPOwwSJmjEOXhkZE2JSFnkF5ZME5jTshtlXbtwZHReD3nX9
FHybM73iWnx8y9yr8GriSoN9eTGGwOK7osGXcdvmYXu+DXsuTQK/93bssbiwYOWKj5mpp2W9GbnP
li61qiX9BwTRFifcjhsi9cVGxoJ1+6xmiu5pZ0ixtumQNCWvUkdj3ZnrNV+o0rdlZyqopO10Pme3
XTW1Krq3xwBZ67yH8nzvat/9c6auxqv52uK8fyZV7Er6oi6ZraqrMmO29EO6RfAGBNhtdrh16eog
dSyyDvtKynyO7sTsQlRrjnL2kVmiu7YbYat7K3VelDu2sqGhh7VeyEhTM6laJmlLsmkkF9248P6D
Kl0ENZ1elYe+gnotjxHVu9z6t01DxuWiz6txzi+lqb1jP022D8o1UtGy/tnNSxxXaaUXWmbPq6IN
dra4KVHTDSPriBjTZizHkX7bN+RXQVcr9CcEUhBSLZzjzDUKlZFx22L33k7CbNUu27akb3enmBf1
g8eRqbnaYDRLW1J82LZfIN3pFm7M2Pd7XjYuuk1YHJI1t2yAFt2ih+VuHjLSjPupHipYVVKw4GXd
oKi6lE2Zj33qKz5IcVdSL01uUpKMnZV3zkrmtrfEl2P+dvGl9OpFr7eV0C2VrOv1dMOPCZTxUVYv
LdE5Fjj+QjkJ9m2P1k7nlQ70VRmXIWZLMUfrkkrTzLCDYZX9GL3pqK1Jp9J2nK0rfj5lO+rZih1H
eVdOya6PErL0u6hbW+gD6bHEXgdt8sztclHmhBzaspiYfpFP8TB+JDJa4LjUSYYcy+k2ddE+ql0/
queyEnmWXDQN3Vp/2UjacnWoaBacWnbRxsrvRsHHQTAmKkFSJYh/HEUrEWea7hrBEZNkdafVJiw5
NNm8VmbHWhgn25VShyPKhGhKs3M+qfsyjWlZUHnDV74gKm+2J0b8yewWo3hGUgPVRFjCvgZ6m+mY
NKsZ3knHFmx+m234qMc+G5OXrptl9xbBN7aI146MfvmY1Inu1kvP4qWIPq7EkbJ5mVA/cXXJFjv3
8a7N6hnZpfGtK33aD1kp9MsoLpW4HvLSjgYc4W9A+s0Rl34JV89SdIzekEoI2IAkTsAHnHuRl0s0
daxnd3Qd+jzamdlvuSnTCti2Lw9tVsqeX7NocUt3OaxoB7Kfvi3BGVqBBPBjdKdg2CQ48zlIGAYq
l61f7gDEKy1/Xoj3cj1ECW1g8pXm1bymhRocdE1jEbSrdcNXf/Fn5UiYlCi7YyEDoXVmZVXPRKP6
vrs7xkYmxxCQ4flI+weXEQ+1LDVLgkPA6wFHXNEE3PttMc7gBqoYgo4rA60GaQQ7N/aymtxQKD5C
IWNkmyFFqo74lHp0OVn8q3JlM1Y3pfBa5y+/vfRXmsDCQDoa9KoOp3CGG7fVDpWttu6uiIzq2jcI
FhrpZM6SCB+n4MPbaVjtNS/meX2fZVTW9jsnAOh85vAU9JWEV2kG84ROz1Sx1LEdqybp7mwxefg2
PzpYUbbQ3lXtHML5ZVzZAe52AjFNs7bL/KKwWbmQtGrlxssDrYoQsquIABuaySDlFU6GhCA6+bCn
44s5gGQxXi/1mo35bim8HOK06LvI+Z9MFNmpfO2yxtnogugKXYPrWBSiUjesnQPQWDKh+g8yigNw
GPRqo2FfM5Gb4W2exMGKOzJM5focFVI9m7SLMhARh7IgDKKYYznmkqEJQEgtS8hUx/BfzrC+D+Ow
BZAzJktfji9m6bnJLitKQtKgzORcpQmCqEwObB43+67124AcQ9tNIMcfM6Alw+p0l8q+crhWtXUD
YYWVKLVuti2UiQdCsyijP0dS1tWrNrOO+pdZLRnSkStz7PEguUNN82Lomm0wqVuzjJhDFmfZnKSL
qLq534u49eWcxvWkVrfbShV173AuFpl2M0HZB9STFUTYpCwggj1ilmVomIxSszldrDsEfINrG3OI
eJeLFSFfdfNGIIqZNgHB6lhuKANVPBR4mfRrgVvYsVSN4F248/QAhVvDUFrkXBSTwGzhgDO+5ni1
jpUBRmwKCkg1OzHwek/KWfjmCok+IMB2AVwAFu18gg92tKixVQFoOa9q5NO6Q4YnF1RmCKEXAAQh
V1MfRVhO+IINw2EzOKviwJt2zWWVto2o6vkfXrNqzW+myWLoYsfqUmf9hZks8Ahxidyqwzi3bvm1
z/QDeqduxRlFpbXlksZllRG+y9vZoZiK8hY2rrgp43Gnj66xObUhPrmt4p0jaVY0cxy9aLZ8MKpK
83Htybw3URkXvzaoB9icMlDKyXgrard5/XxIkoDbylZsOr9q4ra2o0uT2SB2vI8E2eb+eVQiLdG0
bkkJkD34kZPpkI1Nvt0om1eme9Vkq0/WO3jMZrd+32QiS4pLUisT4CsT/Wb2UYZStrmmR38i2jmc
Z5N3jZz35cwt9gmYxpnar4ZXWEjnQygUTtXNSd9UFQEetUc4JaQObzll5WiKQuRO9BrhSI4Q+k9G
z5gBolB0agFVZHJeqvV1TxfR2uLtMX+AMQC049iRv5WLn5G9hFpCJSKiqkAdafUM3/62DF8lj1iH
tIHuF4Z2FI/PcmlvtC3nIZpvCZtqf1sQq6qXa4ti4n3UctQ6hzYpaqS1by8rQg38BecVU6wmYnDZ
SYw5Bnm+97jbSGT1kt+BY9229cNYFG0h9jPK/d69a2I5qTzVYK+qKK3tRJFcyrxIoMG6zHFehxnd
cVRWjs1lOe6arRkXcS3yKNfkElbMy3sUliEWbGZxnX2dzGKAHjnpaILAPRgJJMXzrIrbXbzpqGa3
im2xuSMrDZ4qq2gF65K1kxgP2TCxAKoXlN5FesKP+Vx4gMqTWOM6Jkj7oqQhItRRlAzDXbxGjFU7
30+9rfe0HUuypkObjIK2aQZEX+qLcos3KlDPtmTIvpOfH47x0TFDp5RpCTic0ATNg8dsQKmaRZrE
DW8LkyVxfkmbxCQlmCXW+ehiEX4pxpe0L8aE7Cgtem0vEPKqVd4kVea27V1SRMOUXy3dBqe6aPpa
x92B5gvqg6uRSY6TKraS4hyQPDJX7iJa9/PbfJUDFNiXpCiXS9aJoaKHvNDdhCoTFTWtLw0yRMf3
Nc94Qb5T6gn0ox6ZFzj3RIGGiZHFOLqNZ3iAqn5ZclVPb5N2U3S4L70YAKfNME5wK24pFk1pvEww
kNasLOjRio0Oe4OwFv/kfC7wHciyQAhQMsIfOpS2uMF2ftHlnqxZ7ypQDVPgdsrji0VUlOXw3E3U
i+UiiQYYW6oqgjB2oxOqGnNRuBww8VplyQpzaeaxx2G7NgpJn/KoMuJTryPl5Q3dDCTJu84Xw340
YLKW575b1qq+IFE1iDilC5J9tusKRn3XpH1Gksnc+o6DH70CkZLM0UED5FCW9mMy0ThPJdL6VLWp
X9eg5c5l28PenaHkgBDZqPY7xdh5vYA6WwGdAiiSmKFlcoYRy9GbJFun5JYLM8/dP0CcVP52K3iO
kBagIZJkUc4Sp+GZCB717VBzHuFAOBOYAEr+UK18hdJtj5S2Vk18C2ert/fyGFJXXmuYACvqGSui
TkLo/dPrcslCQ04nQpJzTlV2izKL2MQtERHWFd0Y6PKF2ZCGRs8RVnQtKb779rr0jAGMWegmJGHH
SWhynJdHdWFaPyzbdjtTmD726PqGm92pKkAeKJh9bhutdXSxgvTo5Ju+Rmls0qEs1mYEkyBKPVzb
wvd0TdkIuPkPMDnxskzfqaBo8MMv4xNjlKBnQFDSEQh7Hp8ST5rJCF7c+iyeUIzHVREMQQxqjP8F
qFXmyZ6VTTa8K+cR1NiuzVdffkSZPaGkOFV8WbckW7crjKvLds95F/XLfuh0OOhvn+0ZgxQzhnJT
Eo7TjRUDYf44nI49KWPfNvKNXFePQKJMEazIC77it+4hP5ulT8q9ZBNr1ksymBwJvGI8Q/n3bWG+
MmzGVBwrFOPhR5/3EAIacxYtjdtWTQa+RCYRMCyXo8ZaY7wBR4ztYrb3316Xfn0KQgsUnVpLuNZX
7EqS+3wbBoFIo/vIXbfDHFjutvV9Vu2Yk4Gl3ayd5jhA/MJWtydom488JAyXjBlQ1xKvoX6R1GwQ
+0R8Nl2v1glsjA98M5vXfDKvaF5sbttr31jgM2GXSppfv70p+ZUl8hhEcNAtDbDs3F0TsRabnMv5
9kR8J51N1OuJ9mtcXBi9qa67msEZb+2+rVRf5VemZaPrdorUAZbk49JjN25gFIh7RnlYW9gxWMG3
Wyd0Fu1Afise7YgbwRCkXPiEVYdeeVJHqW4KWU3X2glV8UvhItQY7+Yw6BddHDEZW2Tgwo0oQoNm
AHf28AHOYfxnscVKggLWY5n7C72SruaXKjJCrmnWKjK3F3VVsDh5PvWzi+4262rhPpzUsa1zIP62
aQ2KG8fWclSJgtocm8trWg+H+Uj/g8hsYM0nyr72BVLgfkIvzsYoUTvklBc1t0G+PlFyXS5RTsfN
5tKuikUbXecN6SxFseFRdOz0TE0xfCf6fZVt0I7laKopwFr2tW0qWeSb0JW7nVsePHSzILg/1EWW
BODWmXCGmtaZux5NJb8bfL9ePjgFTYgMjAQokccBAljLlOimdLcnxliwliC/VFOssL556CQKWXFI
UecllP6d7bOvBJCI+goTVrEAoPjKNwsnypJu/fwmV3koXssa+A1UNM+nctrJJdt8soc4G0rgHswO
FMg2ARu5iJLeonY7lcARWwI9OyEg48usi0K3pD22Xk5V02oT2FI2yoHo1LX5PJVpJB9WPVlWI+rQ
ShryyTXyatVz28xpQtxUqr2jq466FFQAooZJa9MWTfSdCPlVoFKgXDkHLxXa9PQcevhaVWxEj/zN
KUSh6hNQ+Qm4c7AC/YdqLRDDlGo5rGVVRetvl2b4bp11DkiF0jHsIcxQsViw88ZmRn0t87X2PzWt
i3KZIpZhjaWaaoTqJIY9fjue0fMCS+iAALQUoRmJWeEz5L9EUuU2m/KfCpEZzneUoAnKU7qCJARk
tEUy3y9CN1nqRpf16PUj1tV+VxFQQUNadOiLfc85v6r6MOuAIwh4EC2Yr1PW6Gu3WtsUP+VJHiLJ
yiuOdF+hVQn4ewRoC3px/raLJpxJ40kASNtDnkFaE9VLWaxLyLyggnCMapMgMUYTBe0dA2WT82Z7
r8uRld3lpqGLt/2Socu/G+smdLWPALQHdoYXjmoFGj21Dw0fg5mrpoFJ1DQB8kiLcV4x5dAo9EPT
TpNMv+iT1pF1l0e6k/tR8uDavTYTyst2Mg2K5XnpH+ikIQl4loqGQrx4ikJN748c6bfVfY4F4PTo
3WPugQIR4O8Czsr4yVFDErRj7k4FfDNoNx+sIXN2AAOwlmUqO7j39wDR46wpQzdNoGuHybMYwfYr
DMK61cSZtv7NGpHEd5/aDE2u+j16UE11/+0tgtZ+BBYxR6UY00pjCg4YN9Duj4Or8BuLLVLqm8Ja
TKukFQhmTtJCdt3Q7mUhZm+vGuYCLVhJAvvJ846WcpfJKXx0dWZxY4b2MTTGyeCjuyOvM1O+hvse
+qQyw8yM3ElKUMNDy0Kpfyk2cXxXIsqg2gPrG+rHyYkkK24EwGjJn7uFe8L205yEVyE1bhAjRhci
uqMj+l/DjpbTNL9fqCk3fzGXW1e6XROBQcxScxQ0KqawMe1ZeDjLia5fFTVKd3bdLAMI8H23bWi1
pRVoIU9S7/mYYM1jf7VF/2jIDnLIk6R+1x4PYkFV5NefGw8iRuwYdRPhr9Egn836vClHpaaDS7wU
/Y3yI3rDtzlYZWygFX0/CkzqVAXOzIxNmAQpEhRMbUr7eTP+aiVlSGQz8LtqrqQfO1GgoafQxNwJ
QJfaXHDpZ0hdsKyfqhc5mqlQ2BY4VHJdAAZs2ZtaKEPLg51FnW07B9gK5rqoF3CvtxmazupfWR0H
UQxvJdpkFdgopKSTDqqtAoGYAmL1bfb25McJqRS457ZaxqK76DnfOH81ERd3fpc0LAcBxCu6YRgj
GvIg3wYyFONONKmXJgOgdUHlkQ9bBju6lH06EnDJfF+MVQTNI9QHIGGlRQ/9aEIRkBIUw1qaTNFF
5laxNnuLHuRQXHRW9DhEQbsRFoo/9eNNdFVla44vT30iPxBKsucGQ6DaX2FeAo2zfT5Fesxfkplh
MCEdshzU+mW1mnnSrzrSe1/8VGSsGYf3TFUSq3dgw3EanZ7ksl6jWQvLvDZdH+y9jkW4NvM1ETtn
OkdfnEAKBisAmV56V/byKioTn1/kTIzKvC77ooKMk5EdHv2OPz+koP8p/uDPGiELXs0FRa5CF+Sx
P2N1GRNf2zczkIAY9hsGlCKeDo3M+zbtW+sBHblTaGLsjsMYp6mN+DiftRYTlQ0oYcvCXAlTXd7r
9xGmU+L8H0sG07Ephp6jBNXgkZjGcAha8T1Z6ybbDQkIObtHhRO1Oq1FgdmOa9+NBKc7o+8X2khj
HxLCaf4tIQXIUS8zpCGDgIx4vx0n9iRegfuKeYyVSGlmPO0vCjFEUZN2aIjnl/kSVWiWopGToPRB
3cDRioiztcZjTTQH1hx/ABraB6cGfl+2NZrtqR3A64FSN22X6Qs0qZfO3dSU8ib5/ODK6j6Kd5mD
xTa7vp/12u9jtwl84I81XdykG9VL+/MJxuW8m5vu4LlsZp/aCFaPQZojxCtYFQrWYyfoNHjD4iwM
18htyIbXW1dhWC2Ns6rDgEpbJn0BKfmxy2HHwtjmZgiRuACaWgN4PGHIccuzyLhd1EyBU0PsbGz+
WinXDLDOLpkdejQn/HgaCinlKLb+TSk2Sfurah1Dk4r1a2jEocjhQ7aXMxgtcwmKYMXjp9mW7Ahe
+9ZzKPHUwDtNGLEOcAl5n6BF0u14kWE4L3WkV+U/RwpGsr1go9xqe91WADB6d+obJDC5lWM0M8Lc
wvNvewK4sPPMBqYGAZFrNDDBXJ6DNVE4Bezl8tdtbtFFvEBmilt7QFbCCVyMYCNwRGgqhqCz1egh
vTp5c2KLronTdUQwa65Z3FeyTDsyTdMLl8moPWRKlngWJ+fBNPO5aFNeDMX2fsQ0BqAXCFkwX1Nt
wtzhsg5hhdA99LdaYAAI8zBJE75LRBY6ETQrQ9emw/B7I3ZjBBS5XswTGEcMWE1DeImaOhSpaTUW
tP8gmAMYa0RT4VU94giYiTbWoTIrUfeC1cdQYZjew2QUB1TqlzKQF9FCQAShin4YPkOhBRlLAm9/
DU9Bnz1tUSevL5hOMBB7E0fRgFhez/XDiJvP+TrtxtxnZkorPwNiHybWBZ6PyBEjXWQpUOzfcjRj
q7tuwXDs9REG+qYKrXsTBlQsWm6Y1dkO05A3trk49Q8qhxEzs1unaETX2EMN3c0Rt3aChO1LH4Ux
iLgZlLHP5wWhz+6HuUFdYaMqLhafkg18xnSTb00At2OJP5cedqpSCCuCdCu+UzUBjEDD+oENO3GV
Qz9XwJYjrXOlr0vVBzDrPCPIUtr3bbEHhV0nV22S0WR9XtLhgXo6Cqx7GkMsN8RhDHfErCTWJKQa
w8GxMdMibdq6HgBhC7tmYieLaopYakue59NrSVrM6l7GCylrdmB9IUAeL5UI3LfRPodc6/HwpjaZ
kbkrU/l82mnMIJrowEy9Bqbd6hW0nZtwjV2V+bQk+a2Zly4frllpVXFdYDIZOb7bpgkLwCg9jpRE
osTTCP49oMGaROidzx2atMTuDMmjYXg/qC4wcKeEFvO57aubVWctBKMW8ZVdnQ4TgyliGy5itJQ2
d4B3x/D1YYsCGjg9zsg0DjbluCjMrkHD1b7O9IDWflKz0OrgWnWQy8dN6Bc6HzjmnXdKd29X03il
9sciRrdZmAFBvISJnX6x9TbiWZS7QetOeOMx7vYwwnNqpFQ0inNyRVm8OZ9OK+264jDHoE/vOpBp
FeCUZEPoTSkWJhhsZPuW38ictoXbVccu2ckZiWn1rNOuz2nU7e1Kgr/kR4V5JYKRHSvRpENfqLoa
pjrwlul4tLVp3sT1spZjE98wsak5X/e2yh8S0ylh1PMSOgjUYXr0MNcEAekAotfIfjcWJc/u0MCg
C3neg2Fe1UXUYVzB7k87lsvQtS71k8f04ytr2xCSUAxWju2smqb2Q/0QRha4JeIB0kDn/RvkZK2n
OkW43rL4pu6QwPylLnK021JDmqJ63rFI9N2+xpj5nLxyqEdgk26WQV9lrHr04JcjQRStfRifSiRs
EWV5jJYjRokWqOk9cRutVLE79WrmmQTS+dT9Y9sqEVhBJQaamSKgoM3UJn2I1Cv6StDxaQa5GqYQ
e6IK/U7MVGOPEOJ0epuLRmw573oyXW/dGL/BJIbMd/PSBnFoKQKzuzxAjiYDNwqeRi8TBdbQbc/I
haU1Zjwxn5vNPAcgwP8AokpHweKyu9M5VEYuKsowOXpRTVOup+efmWuwg5A7i6PgkVU2dMGhj82J
PitCYOJtTdeDaZRP7kU1MEQnViVCpU6tfT6n5ThqnCr1xazmcndysyVasojL1CzDBrop9eVgaP2m
w20oSVN69OU5Ngr9V2OrYMEcbL/U18bHYYMYnyUYeh0YUDz5PHqpN/TQWZXKuhjwbTcnJph+SZCJ
Dtqg3M2TFEigmK57OWEqN658YEirtW8QCnLsFiHkWNkPZk666kYBkvXtmyz5v5yd147duLaun0iA
crjVDJXLubqXbwRXt5dylqjw9PujSG+0y4B7n3NlONXUlMjBMf6kXRas3uoSrmhlduLvdGemSRvD
N0tRn1phF1X4smEpne4yWjmekL6eWp1p9kEUronhds5H/bzmCo0NQrS5cBmRmAgNWbAzGElpmyiQ
q0/Xpc7AhZ60WKxKnV6WSaUgE10mF+jSDHQ8H9uo7w3vmveIV7+niwmIlOSSvMqEA5CxHtBVNqRS
L7AoFGJEG82apjwfN5nSz+/CIm3F8ljX8z4Ut93KyGNeROADBp28EWvCcuNntdx0nchtVkMqafHX
itGwf92ivQ0TtKLHNtFfcArhm1g1Zn1ILatGloUR2UP/qksMADYbwIkKCYDp4zKpFvnJSIZc7r6u
2PW8+HxlJUkoFWjbd6HcRXZumFy+8BGYNu+F2xQcgqKt5bazFNlSVY78nG5t5Pw2qwNyaFr5FBA7
yf5FM9f5kEg+It0zKQvVw2NfdnLG9xohSYoU+wC/a30aB7Z5UcvTfw5HeQxoKrFUFXA/sMPhwJM2
xW7u7nysuiDYUGj3swNQf7WNcKI4ePMi9YmaAC3sNGN9lqsL9mUr8Ue9rvJTin6SW7Sqso5jP/Ar
wU6tXU/+bx92f3/J12RMvLuRqmmu9zYqH3Qr+nvrRaRvht7ZnttKxntUFFm4Bg0rS399XYSjgG3o
xBONmF+c0wUcnzbGQrQcnDIbIdmdLSru33VRzV8zezsH9+aBmbUP69QZQfXoDXW5zCj9+2T5DhpL
sTxXSTLR09pjH/hfXf6QXlbBKb1IHGe8lJhjkiBuJk8CHak7y0nY4/AAlAiBwGTRnauQ/5bM8tHY
KaDr11HSO32814PHLyIMFj6EVT0wt7pt0kzR05L3hYQyGsfhJw5eJX+J3BwRGxiom6zfHIGI9auU
lvLFnHCVG3XwQi4RporLnZyZWeuMXKbq7dgv7LL7Us25hGycIZSQzbivcuUqBIEGYuQ3GjNIFSLU
DZ08+Oc8lzDV5CYSPfz9PPF2moBShQUAbzZtx2Zzv8HJsmoYmmZqnecl55hp46oK1mI6OyW35hUX
ilw5o73sbY7aThRO8aDW3e+v4mcmAuYb8bUdMj2hxQ44YiRk+Q9X2yDx7jKN9ue0aqUuVrGjZkXz
BxXPyUSHrdj/IDP/nfb/Gfvn40li4MtDhaN2sH9BJoUw1rZ2w/XZblzJz829G3CnNQUASEXflea1
yWVEja/6/eCoDf8HytSWUMY/oQ5gBjTLKJZdh0XuvMVnEZgENGZewTDKgq6fqonRe+nPORiHaZzm
enSK5SK6tgUBiJaJB5XlnZzLoW+k9EjP4OgHk6B4D+tM+xtn/D862ygppbCxOESraXDIQWeDYfvb
3IZpLT6WZSMHNK0bzYEV/fqSAkdt/0Y7/HLXkXlEsOQ++Bdb0X/DfwVmZviuMdpPoVNTI3S9LDNK
ALPmwY8Xq5BtZ6OqdK2YccRfclf8fgX+DIqzBCDp4RpM38S8TnfwZh8U6FH70UvEU+atUme/Clpr
jpVjCNyX/Ki/zSJNOL//4F82oGf6vuUw2gGLW2BcPy99ewqxqEXu/OSpLisYgNPKB03hzm6PnkE3
gCKfo8z9nqph7feX8fb7S20FR3qAnQ50/he1wrxYYkzrpXrCfaRQy8znMQBh57REbBBMBeemPlb9
7z/Z+tnSCvUqBR1I+6FiYQWCt4BGL/IUTW9iPGb1KHGDKkgYdi9h0XfDFE895+4rWk9Ji6wKdJjD
Xh7CbFp5lLtJkCafra4o0LP//treLlGMF9wLjy1N4oFDgs7PD8cfd2QAQWI+aljFU+LKaY4Y0tQS
XZqUIqXZoNr3Zefg/V+K1LES/lkXbKhixCq2ZUHWotV7WyR96ch07eGxFKW7o81V9wTJpTA/bunU
u/N5tqbA/FaVvmxnLGdorG/9jPMhPUU9Rhhg6DSI/OLWE1Xm2P+i0Hm7lH3Ldr3Q9m1oS4/stjc0
IseMQLAfBU8/THFqoXYGrROQVFgwJ4W5x3CASRVJk7XXHpf5+0fm/Sxpgr61HW5UGLCVUUT9Immi
FRASzd2eiqGtOJtFP7bh8BSJqEpe0nU1/CyejA0b34ddOQG1uTn30Y5XcQkD6D5Pgbd15U2392b7
3y6Z0vJbZli4mZzYHy2B1CKcadHxQm+GZMTbNETjvVh2Sh0G2oTJcZFsccd1997X1HB8eWYghaYa
LW3TVUzo5hsw3v4VHQQCsR96DV3Te0xJ/Mh5wam5xEYovKWkt2nxMJ/7sLezBRoWQ/bOeghDulBd
LPwK3OlTirMpz04Y+4JBXMCYnTFsYigDac0U5SatZ6bojS7lG2TzXN+UTiulDmk4ypVc2VmWmZfA
o5ftzqbnjNN0P/QZarULKEhmvvz+6Vm/rCGsQuw5BLkgWRaz5887LgipcAtM4ZNGiTv19Wn9GIjv
OYzMJMQHulQRLN4AKYRhTUmx9cHVK0tqWczyGDP3Uir3d3eS0kHlgdNfu4aWar+Yq52ay7nvQz/5
NxLyLQeJ7R95B9UDBxIiobf7wcFyDgBsDo8Mg53X/IU3P3OaK0YgpiPtwdRuub0xpAkBKyfjqCp5
mQikgulf7u/bTousOK4Eu7GP2pBb/aaImIkJfMSaelzqMNyzPxxvmLryDl2Fa3wK6bNpNAOE0fWf
NkWMBbuKImL4nNJ1MaLnNXDrZbk0dArBHOuLX6pWDjzIfcPwKzO0M97tFFRWEc7KxJiuv/8OP8sj
6M9QqvjYukigsQJapTd9g9jQLwVQbY/BbkwDwoAxqZ30bKzgXln8/9UdBCZiVM+BTSZmz0Jc//Oq
hDPpmcm9+lETirqD71V/To5AzrDQ+wid7X/RZrx9XpQxj0cWWh6KM+eX/rwUvRRuLN1jnhUBxbJm
+Pa//vj8KkAo+j6IRsm8JZbAJH77+5v9y+cjCQ8d72hHXdfx3nzzptqyaQut7EFbIxaKmpypf3Jt
1ZaH8OGut3EG/5tK6ZcL4DEjeMIZgpPL5Ij5+db7wMc+kQbjPUq6owK6x5CtD7/UmCSyxvqrexys
Qz4Gf/z+Bsgv+M9TNyQ8kb5E6oJkNNjbTVyui4sVNd0eCgrk/jkM5zG8ZqOfAPJw0YMxXn0bs/C/
bFT7bVdEJ8hZEKFEojNkzb353qXnCGev2+EBZ1HWz8+B27XbS1QPxX6nyfSGsAznj8kaJKvNvpHj
Lnp5ObrkiV1I/LsvZgbXMUCot5+wygD5XQe7lmiXZuuZBOQpBTdZs4YwYpk03MLheBziwpWGL1hV
qYj4/W1921khj2VhIzJFe0f3/3bISbykW1vbKh6mSDjHqWvnZRATCzCU/WVuSuEVP7xf3gZN8jpj
ohOmnLERNP7LQ35bUkLuNY85lFfFEPh2FFmqKUqdaSsegkPOk6eI0QB9ZWenYMDff/lfP47KBXuH
ERJRLC3dz2u6yD0PDnP37oklCQDKCluivW4laGAnt//3Add7E5bBPQZoRHnDTg49E0PNm48cx2Tt
I3rEey0ALg6/4prW3f4yj4vk2qSPXlQP2TbhpDsNjT+63bM9T3tXXTFJJ+bw4HboJMSjRiu1ocpL
Ua2DrUQDgOpaJaBMWlnUJkuE3a7F2fXe2+epSmKfnyoPhg1dBs64ZJMUVreMcuagU5Frt/JrSY5l
CdwNJixkHaCChx6/UhIvbxaSzgryWhLpU5YO/PNQKabaZpEUZIFiEGi2TSowslz1oU3Zt3CZopY2
rlrYdKOBlcvWlAUld0Q2iHw3T1XSQ/GdsFGhCsoV8SYaQxr09qCRF4qzRcKSA944PkQPBW3aeMCS
opvlV5IpET8sUmPhS4BeI2mJt8sN1ybhToM1JJWEDtVEUckR8HVLa3+8hoPhplO8DMaw+TdjjSMn
uiv6HcO5AmdMc1n43gUcye5cvRSL/Xt1s/SwostxoTzGGjjTZEG7Os3+otEWcE053dkH5qOwYcA1
iRMfGlSz8cytuElwB27WSUnm9CRImqK8mUEvpFVZc6Gtu8iMj/wAmf+ps9Njgdu4ufuhCllJeBxA
OF06M2DM7r90yGERDzsJIN8mdynwlXlplU8xVi0PY1Gd8S3BRvNjuTaWzQ00ZlsaItEHDM21Y1tF
/n1td0v0kM/BOH8uyIjACgi/4O3RWbVW2IEaGjEzqccaPpR4gNQ5FYPrAhT2OP2/IXzKg9ME4eL3
F2F2EiFPc3ypL/M2ZTDWsB5GipgeYaaIfcsD2Ly0VYklJ+aPQDCnsjC9myFtJK/aAClEVYyeZPX+
3BWrUfnG5LxLSx9f8FmD8BrqshVxrmHoZEaW+FpXrpCtGRCE+zyY/VJmp36fy/3LMmxcl9Mb1vK9
RsVJXEZW7Jn3svJz9he49Xn+CzDDcl8gxcX8jnicurOvhtEZ20vg7qsxvcO9J/NmvN2VtHGJZX5E
zljs1lidR8UDa4aAdAGpv8RSdLBNYS4nzQC8msXKrOxbtIVd0cLmBPCO+1WLAaiG1IKbvY78QXwI
wnIy4J4Uwk7llVjLoKqAbuCizXfzP+rQtYoPalnP/sqWLY+NK0ww9vS8i9Ae24uYTLkMlVghMeA7
bjvDNkR5EkrZo0b1ElMoC1NpOgvbLjwTLSa5Fvu56xMPjgBXneQvtKPLL8olHS5mX3szEG6VpRlG
0SERz0HppAtCL63nbNaMw1Z/U7XEws3HBmZWcNlYM1dnJ/tFoalqq5dhFBp/CG8QziVSpUtzf47n
NbL8He7K6dCxmoffUt8mnRkwFJW0iZQcVXy2Yk2AesElNHBfhSaVWEtXXdTDoPjE2aTmyzrRXcCd
6dSDNO2nT11tB9mldTxRA+ErkkMxVH64SqhzXvaKBwhaI+/QvuKzQJ3AnYnSs2LRdttsoRtcZZqq
+1nqlSIIDP69lAn2rzroZ1pgdr3zgM6JAr8dyzQAakdtkVmSZOmtzMuevLz1d/JmVKHMmySkiNZr
67EZyzYzy+LURAbRG3FkuKhUerXZFvXzDrZjcLYt/EJGGE83Tootab0Yy7RlsgqUhkk9mh9r+6h6
I3eBIh+gjeeWqUqJUYPLs8JBypE4ZOUpUEyZ5LwUfa9FBUoi4zaDnH7SVTLDYvaPw01BR5prd44Z
UJcHBTLOhSW3oEtUBM/VV9KQAeyXddn0Y1JV6anrcp5p1BtBgWGyYYifT40xSE+MheCD+62KOF5o
ly6dpAM5QmZqlv/hvTzY9/9dbIcBaNn2kX0vmlL+e0cBF8TGyRvQqI4yrUzWln5AprlK0MPeq2zP
PxbjVqAV0secG0z0NEu4y3NNYz9lOx1wucLVt92RS0O4KQTQk0ObAVlVqoiiSdWVzqpQ8l1nyUAb
FzSJntmicpgk10mfDqH3Z5fMEquvbBRstAnqd5YC8Ff16ap3Q08kBwcN4Je0SqyjkoLKl0vmhhqJ
J1UKigLlzmHirK2nwgg387H3D6qtm7rw64C7KvsjhVxu4hmYxPheFX6ondZVJeSprknJDs6CA1FD
2oub0k7KOAfkG8UskwGELVix2n4VwdAZ2MAw4gHUJWnUlM7V8NEAtidXSdhHlwgwwKZukecJmLFb
hSesOEnanH0AwHm8zKZJGM9lUsJ1tWwjlUOgOwF93BOYRAW4y3t7RglITtzeRKe0b3GXQ5nWjrFf
q6GVz5cnxIXrgqwbR73QAQMkZl9uUgSl+dlm4OD+oCfEyqs3yR0rWVJkEGqAHavDB2WjZDl63Fk1
VVrjhUVHyo2iJZUlE8+hXDEwZuw7r7E9Gi0y/GSddYppZsEgjcnWTxP889Sec2XaGVQkXWIzzbVx
YUF8Eo/hpHV21toTRGCyq3T1T6Q/5CdyoktstM4mKffT2rCuF0wdoVLxmBwFXNUIR83OV+dRZEcI
tQw0wRAwqjqp5mlQ7SHqEFktNPObKp6d6Ca0L4r51ctzzw+NY7/IiAXVkCqgalSdLbpjn/Q8kVm1
jaoORRJ3kiIP7nVX1HwvhBdGKFOB1GqeU2ShaE/UniukwLmPoTYctJ3DiHYsuAunpm/za24mvvta
q4fd+mjNX6aCVASSDDI0hh8c35SEuyPSdBSfk1Q0XosnQRr+CWGUcjBGACk4UIoeozhAek9R0iA0
dYWQkHtqEzLi0k2fNAe/jV4l0M4l+L+y0zy6kvHRZpdCadAs2guefz9WXt++N5fcwfde51AJKN5K
FLUwu0e11nsM2fw+zOcwzPfKv9NghZEuU2mdUoIpMj/uC3EgWZySZXOaBMVoOW0mRC4svRI1OpXH
epWfQxBEHGxpVU3UqUM4oLvXcjXkWrQ4klk5+iZrCyInNH7Yk5SbZevzqCREGFKbKbwwhKxtd3bz
Kh2L//x+nnyLURB+SLwnTEroEUHqvsUods9f2zxtqvu66hBnI8RW/fwu+eJNMVnaZvL/9ME4hRjh
gWeA/T3Iq7dQXFU6Ux+2e3ZfVFkfvm5MCgEi/44EFpIoemOtm0vDUUGZ//0HvyVDgPgZaEMX3gzW
w/1FBWsYIWGYdZPdNsvWhe4dwOrkp/cRGTNIuJE4zEF4s9vuYKGj2edsrJqTm28OaTY+Z+pgP5ZH
aZlMkkfKdygC56V7//uLfMvkQt+GISC2E6BcIc3/rQV4Q+0SBJ1wbrRYUMkRVx0XNxQS8jXDtauM
K7EzXRYUcbKGQfhpnUTXdTdtRchbHtv1AJQ/tLnRpidEc2iN45pl4JATqXL6+qyuKnKH8spoqnj2
hmolYohO1ckuNXEu4Lhqt3gHK/D7r2kd8Oc/MDK4c8vHOW+Z5JNiZ3wLn5hIe1ibwr5OXrYbIa1T
2rhk5kWR1RNjNxFp0JM0ldP7n/YlWpP0Qthu1r6zVY6c79BxMz8Gg2W8WjNFhWCqg1DRsXhajw2+
iQQ3rgN04NnZJAfEmE5ZtrfD0wCXvZmnOsgyt8A3a0rfR7NUc0AmCGk3THYLcb1EFDK5bBTC/kip
Qz4liXNXdAKDYYSDweZwl2fEq84Faquu6Y0TGrvdEjcdkTpjDqczet1TSxtY1jeAvqP9jYBRtAuX
zaud4KXcEw+TbeAa81heErGjCH7o7YS++mafyTh4Ro211QwwKHW6Km68Mm+Lm2qLmuTJklM3ulsv
MpbhjECni7bnbRhDp8MOnUvUwDPCPUVGKwg83e7MEe/benaWJDfKi+61vHEMV+OPbSM+qD2NzkAy
a9xiNDY+u4tpesQWttGwVdeS/Bs7uMlDr6LWLxtmAIzW+7RV6SUX4wgtcGgMasWoJDidgr+I28mK
m5QRpAe0KxvMeeehnxaW3a6CODWbtqBxLnB6Gxt7+CzWMejT0+RsTPInKiOqz7ua2KJ5+IxuaMca
ZfYRYRYfmAyLvCctqQ3MkbjfuSu/zdm6mK90v3Z4N3eDZaWnck2qGX4LyQPMmU7vVENTHmYzD2Qo
k3krH0XYyfgk5VXQkaa6FzB4pLQJam4TeysNzlPZyW5aYASaR7rYxZvr2KbDE3+rjZQWDXxfFvgL
NgN/I/VsOC9OK4ixK0KjePmXLUYMxM84NBgwIDClnRhqF8nAW2IMy16DjqDz7kSb5Y6IUbKmbfHZ
QlZJLiaVMLkNyMfxYDeJHq+ioSO3w06C26UiCvW8WmsOHjbhbjx3xCM9LsvUgc3NVvq5qmZicSK3
TpcnO6jH8ZStrn9vcg9mNjPnZVreI3YFxytPVTSN5nke+LvsprZLo31XlMTq3BsdqVc3M7aI/Jy1
ufiWjOVWXB0vX3DB2dbwkRiEvL303WRWp2EPvQ1vgG8vdz4azuraOknUnfskDaZTPq0IUs/WVK7W
QxQ13bMRbIGITdw+QTzX2XJemAb3uMnC7gw600b3qYejhkydJngkNKCJLgtq4pAvWwafqma2nubB
FQvOFMf+avlRfl+t3ujHoETF81BH83mYcutlrdc0Lqfhm59l/Yth2eVz5RqrFe+Tiwgkhi1MakHc
V0Yw6SNwFVz4efXcPY9OhTPUo/mIB8f4OxKpc0O+YX3eMENc0DWnp8Abw1u+q3UxjYwa1IJ/fPYJ
VYlHBCAEdUX747QnbhpHVbB9MSt3v8Lqu+1JWNX4TuR99z5xuuEpxXdzLbfJ+ziFhnOTRGZ7aYtO
JhkCHjxA5jU3JpPD2QK7ldEywRPJQ+ltR6DpZ7PzvP9sdph9ScZp+LDBzj+mxI/dVeMwlTEqRPfc
5q1Fv7TsF38tXFRPe7Hemc40P7Rood619mhd9mUoLmXh2sSWiS6NEXZtf3fhUn7qZ3d5X7vmdE9I
Wfa8BGZdok0q+ktVD/sDjqroE6lb1b2VJt77EHW0GxekucaoxcMHE/Hrl8qbhy8RsXY3KG6MEzhJ
cusNc8dpAuh2Ai4yXEDT0L11hd986qalaU9Sg391NmF8S+28fYzaDsSDofETymwbmf3g3CxBaz/Z
Tmqcl13s38shaV9TPyebZ0uMcyvKAVAqsV4tEtRug3Yrb53c297ttjE9+enY3ViZEHfZUmBjSvYN
PXkeFqd8aN33JBWH64Wc44ZPsZKLwez60HXuFhdhOATXsCqT/6I0fon8dn61ON5u0ClGcUnQAyYv
j3qYl+ZnlwJ8MdYyfOelQXDr7HlLPNnIFwAW9j6HNPNY5xd8tuc2bJtvc114eYwzun1kaTImRN3C
PrEbzF2EktFflNZjSsDMtzV3jfveHnB/Me7ceZSTD22bYyElT+uFjJk9bndRfMuaMq9Oi92gnveW
BqQksTA1EwWHSlg4+FCXqnmloNZObPNLEXPwlGBLWPLizTb6PzcjmK8entW7cu5maka2lx+IKJw+
LBw2sPFjczMTcxWHwNCffMSWdpzUrVWWJyMXGRMy+PkqrlVaj/+xgql5zmjWLsYC63xORGDmcQo0
d8H/+bIU5AGuc/tHttvTHYn2f4nRefHB/cn+LterMQflaY/s/srg0xl31tSX0SNYXX3LF6ucE+1R
90xHkUVXqM1EoAWwOZIzA3wH61pHeW3QwMaQVeY3FBTraYk8XhHgdsZ/jHSyGQeH3G1irqr6298b
77bIDPeh3bf+K7Y1475kpGFzuetT6jrL/ZyPBYoP36vPJFv0/1k4Ox6szfO/EFPXf6iT3nTPTVZO
V39b/BfbGuvhnCTGcB9MXkBaPw3xdyOrsw1NZDeR72ETJHbJvDF/6ldnJtQmGbtzV3pBE0cBruPw
T0j78GSPw0Y4IHf4fha1fTbbBWn67o8fW0LcLrNdZPkVFMP8mMIEiLgJ64Qv1FJLEPN+xI5vfLDI
gPveOhvlJ8qdR7woRR5z4837hTy0S+jM9WfsmaBs6x5+S5w2/VIiaRjjVkpUYu5C98mKCu9arBap
7HkyVDdpG+ZfXX8ebwNjy17dEf2Am0wBiSgL06G/21W8Jk3C1sRyeyXgr7/Pbd5lScgWKJhbJuci
7/K/wy7rTzS+4YcBJI14ODe9rcJ9ZaAfJ4w1dvpQ76J76PPtmQv/qxj9+q9+txrIT1IC29KhdvfO
dEGem/O/4OjuS3eKnjEtuZct94ar0y9pHXtL3p0Lz/Ae3W7146Azv5Kt4z6s5YoHsHKmmyWypOSd
vXvOh676c3ftjOxvrx3R3kzRbeeK4bNPBhFJamWZPxupYZ84hNuPzbCKWz8y9juTanazbFty6/LZ
xTkQrvExC4Ug3A/cs7quRZk3N2UaZsV3pa4HJZSK4j0PSYood0tmhuR7L4E4ZRnrdhq1/JSTME4X
aUdpjl9Lj4sqWUKhHjp2RKvaxkXqkz5qJXtJQWGeU7BnOJUZwCG+PAJSLxPpf1V0Wqt02fOXAOMs
fWzBOyD4J57KtKK5kkOp4vN28mLmJja7GeNUDIgAP7fmU9r/kXhRvYofQMveIO2g7ceVdhc1XuP+
pbFXqAuiQE9jTarteZuF2J9Q16TD7ZBAb5BOlXZbF7Pr/Oa5qOdJzHEaeVNxmQnzyy7GODjD2TAa
AA0jabbwu0nkanJPZL1VY2IqafEM3m+wXHvo9+aDu/RJ8efkpe3UEV8ytvlHwjwTywKYLSvbfID0
XT3/hviDtM/jmUhZwo4XAvS3y4TCMSTypi/bmOCHFJ9WshQcXDHhG9IONa4wbprhLKIKi95s0emc
FWIUHUlo/b53W4TiJa+n7wQOlzMCSQwJ3t8/QujsLiyfFvjl9H4zfbZYGLTdTVImkOzgbuXuf6Mh
C/LLXCyzcYOupWze61T+eocab3kcKdygYkkiBHAhM0jGbQwyYY3/ZWaVMhtzW+S4sHq1hGLwXeA9
flatcW4aEkbT9AKqfuygMS61fvygI+S0oytK3Mr3L4nD4Tc800uBli/azKSIE2e297o47aExbukN
CV8dn6mIRWMnQvBO4YOSBCG/6uBKtFYYGZLUr7LOpUQM7bi0lipKIlN/pukYbbxqF1tmkmfmIglh
pTxXc4S2Qyijq1BGsD5vJMTGFCSha3PBrUJUkPLAaA5JXU3phDzbRgmXNXqomR1hSeYMw2jSVLL4
hKt1lwXCE8YdXJ+Tk34TcGvaG6bvbbDfJaIdeGlw5AdD8cBcjBUtFjDAZne/p7yCQ5xsjKAdLhZy
6Nnk6p0VDVHtIwrDTPmlwhZaHJuj6UrqIglQoABaJ5ZBHPhgCxQZJJ6XWEJvtGuk7UPpxuyzBbhX
U6AKr/PNkJuuLYSTXWdQ8qnNdDBdwpwIx+8EuKctlGUSNl7A6vElvHgoZ6USIQvvGNaJGo1b3hhC
LMG+7ASv3FjtMG8E7SuktXftdUX0ERjCJhbvQI+FcvoK295RQxttCXwbNw49EX49ZYDRILKjeJim
7SQH9UPDqx7TD1gWshoAtU7aHUpKZJF8oAkNS+U9FqXbgf9p1DE4VOraSstkIWFDf82stbipF/zW
9D5JOWx0g8RCcimujd8LW14DFQjPPRoQYHhL5XLspfrhdVMJhvMOYdLiKFqytJaBM737hShAmRs5
oZ8xs1NeMDngNvPWcCa48TDcaR5am/78XghmlNWNMrOLK3LV1peVXLDxVds42yjHMayVFSOoVM5V
LGO/jQSeHHqEKN+i7Uzy47Z+LSgL5meTBN+O6hxlRX3FWirEV6a2/FsjU4YX+PLIKj+aWTUTObw6
Azj9OPSF+5LtaVE95j7h7teBecz/oGrJ5MPsQ6gduPqU1ngODA/TaBbD3/4vkq42naYZtRFDKFtc
LXJ5R+1qolBoo7P2WItDJc4bmliSTTdLvp4YBzxtiCVqn1AepTse2LXe1yVYreivNqOVfi29SQ76
g5Ku6U17mCMUCjQmplR1YLmXRNDUYVL/WG9tUn/rbCLK5hhAbd3MeHMJVM5Pqh7pKCKlsSHCWF4O
Bnax32x1iCImCRq3Yx48cp26aEH0oW7RUJZdLcH6cEtYC4yP65+KGbXGNuVOuSobfj9iIhV/oE7s
EqEVhatZXXnay/cmcjUOgAp/uCSmZI2UnknVaH3MbwGETReVm/N99NBt1Ni8eTPAB+1dxhkkdS6K
BrK3QL5QoCKZ1V7PKeJq77MqZQQTS2edZsMV7zwqAMUkHhF5waJ0+/U0yn84H1RHwkt7UHUpsz24
l7xEa93kTu0E6XLzOx2+M9QYZlqQ0UPfCfAjPYNqmQCbyeOn7Tv55VUUMW88kMeP9my0jb22kCHC
rlfeeKIKsY9cgN2ORVjKftDbS2dMLojiyM4RqmYel1ovk6LdinyR4gWHl2/tL77YyLK/WzfoLtJA
SwDgmn6+LQs/uGjWq18LzBZ3wq9kJQAalD2PYlC3LpI+ogYxQNvHVtXmVHrtG1A5jD9yVrdE8roC
Fy0H2aKEFuq5aROUftjK2NcSds/P7YdUlht/SeTxnCtHRdAGByFwMJCkJ8xUvIaQP4M4egytEc3v
Ee0wHGEO7l6KebhN8mZ05guhMW1V3QN/hv1wY4287Qo+OvLXlcRKv2bx35DeVZq4VgPQHHFf1pl0
HQqiRZHYzygSiBOKS6fCxXurOTEtD3bcQfI56KLlasWi72TdqWqqbvprrKx2tj85g1u7+dkzxRYs
V8vaZASYSTQkd0Zx6K2IpBfkh4aOBl6y5xXt4wf/OHKMapQHrUptSBlApSXy0FlrTyMtsfyppBHK
G0g4guwAuoMNS5Ahcq9MlZapDi9YMh/7tCP9tBCJKrRPtHsT4BgjuKPtbtFzECZ335Lsy6XthyTO
ncxdep1riOfqLAxGyjOyA97B9Mw7MRhNz6mTrUF51u9F0F6uKCS3wv5SkHVURchuj52sl7Ha0E0m
Jid5SnNj3dEE8faHtv86WmipLi0vgxHbGfrc5VvoTsdRzz+vjcCZXnnjybG8DrlamrYtS7uMkBrV
Fz8Yc+6V6Q6y6moPsw4CUJ64XCkgiEeRgix9A8uhkFI5b6mkQKidB7lDiySTxFq+BvKY7YYjBXSE
PeEWDkZBVA5JlGOBPpAMJJZLdoTszm60YLfWMgnNQ2uZEMSnJNy1Y0+nP+jAN2MkdxS7kso61bqc
DucAj5lXMjO6fChLIquc55amj5fjNQXOCEzBHMH8v7Std+K2yqKagehX3kkgWwMzSSH8JgST3KLG
J5CJF5hMdEekta1YjY3TXiLqAnFGlVjzmqmjjdbSQkyevE3oThhOHoznH4l2vAyL52Kp10v1NC1c
mLLJqBNRRBivvAcD2wVXoE3T3lhLsnrjXUDwkMXmlvbwrSy9I29AtbaAMAMPUCky22EbWWR6zQyd
LYl4xDwy7mZKBtLzb8IogWO4ybFnHebwhnaMrkxuGyUiCytTbjJ9X4n+ljsFcYHchmsyyd1rLpQT
L45GYjzM8zp0S12f1NkGlC61Fhtg5HIJHHNvWmSLTkEuql4zevIg7P8YQEZSIO902c9VHKYWWfJe
CWm01WPSRozvaJ0bzMXwH2oiTdtR6tOmIpu4Z+qQ13ua98Gp785MXFx7Fbi3WQGvn+GMS0h9uapU
AF2wDeU358vL/AD99rBaiRC0WidQ8oZwc2TV1Ryru/FanwHbLD9RHsIyOhKPrTxydMlGiSRr+2yS
4YaEU5nCq4JYE++sciURNLjdDaIrZ7HuuqP71upAo3N4c9JDlltUvstMYhlfRt1oteQiFIrcI/VH
tpIFqcwXW/ntfzxNpZxMh1E+fNNdwZtiBOC0UPtIcgT2+1kaUQmh56jeQPFmw4+3PUK5GZvkuDVd
nMJsAeMDOZmEjikZrXoOzhTKh660TUOYSg+vUlenquXWB3nE7MRHRSqCQf8O+EA+Iq3RQjwrD2hr
9LKQVy6EbuoRbaE2RT/inCquPyLClYKDIB+5XBtlis+U/HcgTZ0OCt2mwef9UNGpS566FQhACy6V
jDAjGIdHpLVeSsLDWw7kUlfngK8ADTDK451e+y4FS6PTy3tvbquMi5A3UwpWlDscHaEstRE2B+53
ardyEtMvsRNWIHEU8r5ktsY+EKpAvCrwBhHCYl7lw9go0fywFgSbn6LDyHWWhB56dw+1BBehsvZn
5bafedEIP1OOa/Jajh5Gd4siWhDrnWWoL8K4KVnSEcmNElkzf6Fr4YUysvhPR8emQJvUCUEwTx7o
YMBrFzhueDYMozJ/QMcb1AbLllSFI5fzf9g7s6bIkW1L/5W2ele1a5babh2zlhQjBJBADvAiA5LU
PEuu4df3JyKqTmXavX3Ofb9m9VCZCQERkty3773Wt8ZJW5U852L3snWTzUmVaZz9W01MfhRl2FlY
ipac6r6hq8ENY320Rs46xAtE5VxFdR/q4OJc6UdGvUoh0/NKkaWDrOmNUt6EylE9x3gBvuP8c1HG
XPYFRm0f3bLzvX757JRYn9a17aPdcnnizrXmhCSE93HBNVzUICg+VunquXwK8VbzpGcNR36bhWy9
vOd2l0jqjzbZmQNyyQEQdSZLCrysU5YO4Gg8ZDegasQy+o2YXJWqZz3OVGm7CtbOpTYzhVV2c3G+
6YtTzyuWS4AgQvq77qZYutcyVkXevu5M5/6cqadrTZyFKrf5WaPIRj6vXOeITKYvF87GBeuALnRd
389HAee8yl8+anwU63Ye08XiqtvWh5jfnsJYm04O7UTL8K1zgqWqUcubwQWSc1FEXiSilwWIqIO1
Ljn3v84HIGVCOHAi40Y16REP+lg5l02k6LTVifwnleLvYQuI1j4eurMoEZ3R+hF1eoYBs2S+h2y1
3IARXy3cf/p0z0IizmJrrX854K+uaL7kT53PWY/IY8op8Xw7XFqYxDnOYKSICcDDWnxo3i4tlzpK
e1sjmmAS29hS1v3wot8738hnmDRBbj0fHgCm9Zqc3YDUiSaSeV3pugtkqcVx3Z0Klu8KD4os5tu8
gezueGfF6tK2q3j2Yve57I7nPJhLQMIF2pY0HFPUDTrGpZVHtS6oVba43VpJIo4SrbLPy7pnj2QV
J7sLqao5I8r+1LV+1GgRfkue8ks/peJQt5aVrVwf1ctRSbfGtWyozkEwl8XqgrO6eB3Kc+VWmc5K
BIsRt1BQaaJf+RfkculOx0aKv6zeIVlYfyNAa6u9QDWduJ8gqYQZPabLb9u5CV7s24tclsny+oYi
a55Eu4Pt76hzQI9u5WrnSIl4Ls+qXms9/PPxnQFbxG5x19Eb41LrUPt4VzzEa+bGWVx/bgtc1Jrn
h8hOaf1zKG2MtcxohbUCfvDYr69qFyXjneAic24aljI26u7DZHPxrdEvXXi75tKut8KlMJFnVMxy
rqQQ4a4i4hUPsr6mcAa+oTuXNRf7hUJyqM1ErE9hFvtnW0i4QN7S9qPZ25SOl7PkRVN+rg/UjyP+
MCAnjDZxoxp99sBytxbmMJfXD9wRxnpJ1ZnBCM1QQkSdEJWHjUv2so7HOeYcvrDHukdX4owuuHi7
DWMtouuMFLrKQ+62Lu4XGfrlobAjOH6vLj1dnr6L4Dk8gzW6szS0LePZ5snM9I5++aUBcaZoXfTl
7tRFw6Zwejx/zJ0+StFLy/miul/NuVzC+Fz1OWdyzXhuHpZn0eWFIDDiXjCEX41lN8svSkyTlxOl
U6rqdFxUYl0Im7CKfFhONbL/ybzBLgZ6bu2VLmGdx+9TK6ihtnZWaul9n6GusXaxZknTweKkRgMx
QzZIZc+kizwMfmr1c/MeaXUlpwAH45LdcNRW88CqiRgevnbgSgwn0DC8gJM1l0W3N3VIc2i3SLu2
grUbpZ66FKzXlWwQRcU7N+ckfjfHctAP5VxW+ZeS2+iHqTDW/ZJbgyu3sHYX5pppMVu045FOHaux
Gb6JummrG1xxYbELJb8fKiodRXfFcwfxy9wAQTB29Pzi4W5qube2hRbOYldXYlyuNKgwQValGor6
SrOpCyKWX+QmhlvNXo/LewjEOKH/0rt4PLamtCo6NZzv1OtyKcsRg1edWlvgNi70H20ZqysnyRfR
bo3O7XuGJQ75Z8nWyEeFLKakUoaTYmdTPvtoc1H0ewkjwEnxzDIcM52cM1HqNtNaBUagPyztOCN1
ctJOEkqGsMyY/Coh6Sf1EnKl0G/HrA9WIHgMdAz1hjCvQ2TGWuUpcSZt9wgpKuktT5eqmJZAMrMa
b/PKKtqXyixRtbgyNscrXKRDtQXkq5Uk0eVin4CjgOyM2+W2Jkq3PjR0PI2Tm3eVcmVWcDDfHBbl
+q0WlpXSA1XwqD8XC3qnbBMPkzSk1yEzr+kMQzt4tfKRmRMA8q/YUBhfeeYFufWhbuYWWSX1Jht3
3NNrtJbEGwdbr57NhfJqtbhNdNsuoTnnxqGtRpFyjTJGs+4QyfDJeK3hzpVOPkXGLArUP0OoZC5M
Yx+ttNPZK3CTQm84L8sKIhbW1Yv4+1Ion0v8swshwbohvzp02jkcnEukKlotgbszfkY7Ryuduexn
NfWEez07neXE5xdJz/NLVj/J5nx+FVVdbN4TmUpMdS6zjLTQR4cnjOcgnIOzSPmy4ZxbnucRaQj5
6WNthq/FzWqjpBf+UNHKRv8P+oSgGG1ZzM+hbFrh3E7GUirOJutVhhdJYq9HpEVF6ffekRJVISP+
KET/OrOtxdGkNqxuHd6L6rGvnbB8TfrMCr+PJMRjkBRSFJ/6vDfgSnSrt/H8budL3+njr87q+mQe
EzrMZi56jWFQl3+x2cnmTUV3cXDAPCrRpAdgadf+RHZm5CQfVUnEm9TQcJBNnZTX5pDWzm6eeqSZ
odBI3Ltt1CHK8fkyjSYNZzA5TnTEE6tjR0mB+/bW0stw+TZQeJBJZiGklD7OMPoFG73PcIa8aLmW
qsqu6vIEOty93fHydrNH6qO68ipuB5Y/BS/lHFcuMOwkiQit9JtaQqeeCmHWm6Ft2sZDNKUpWNmI
I72pJ7dB/DSPUUoJYDrZFvBVuzX7Mc53bj8jT4IHYLsI12PtIRNKI246HFaBNJuJkVGeP2WYV78A
7872leYMb2w+fR3Yi5g3oWuGeHfmmB+a23F/RRMR4n0r6/FdJvTg9pzrqvuYLuZNkUr96KRSbobR
5UHs6S8b32vSi8ugI5iy3cUyn95aA0mZ5yzamPhjN9SvTVTDZ5nRAAW4uu2HFrPyFRxU4xqIh156
y5jG81Yzi+bGMqf0Fbl4c8vqlnOVUyMGoFjon+O6VfZ2yDqPY3SWey1XR7zYHLLFM7JoVrW8rvqv
1PLRsePi560XVoNuBxFaz4NG9/s7zovpCIw1RvXRuvhVGEHw4WV1p70ygsjMk8YxrwT+PaaqHzPQ
bry2TeiQq5a0dpFNpecljLWsg2kuSYbJxYlSxGBa97qUBQqkSLN0aGnM79BR5EBIZg0jlpaK5kR0
AtPi0s61LEg5IDG3a6qDXSR6kKr6eJ2GkfrNEZX9DHUoeUvibDiifNRvx0nlLnOtcOvWmkC/lBtH
bewyx+/p20+eJsL2CGqjemJvY2eQmJaeFNUot3HEc8dR7/OA8v5byHmINOoxvSuFW2x7rXd3pimm
rQ51/1krtPhLmJiWb7pZsh2VJbyPU7Q79qjlTGIHbfJBujQ3paGzpCZKLAMUdkWz0ws7+T5VivrQ
OV08bTIp2je0r5MdoGykAWjEiqy9OotYWUIoln7T4oMkewl2Vq5k9Y3TT223EYNWFIF0Sx2hqUjk
Dpv4+JK6nMWCMuqErxmhRBgyGVcpYOaTyR5/tUQDusF4Nh/Ussm3QxoSHA+p/wDuLkIT2Y9jeEC7
OUQb1qXqwRnm6BrYa+dsaiq4T2OUjN+1uo84vUmHibye1l0b8Eb0B31NPb0TE7FETKJTR/g1ROQT
PxbTahQu20b2xVuugJh+TB1J4jffsXXW+cCPhD3zpVREGe6FIq3hszsjZjJPzjjZOAo5fi+u9Wg6
XKEp89cvSaIdAHUEvQjWGaBiclKGWBvo11Shqm+WmVYwPsu+mG7xQ2X9SRuxkByQ59TqgT5apr7O
MzkEqe+4o2N+ifBZpINnqzxtrC0aLeM+mIjPLm6F0ApoSShGQfYXQTYrlrvoWACJ0EtvEwIBUBL1
nGioB4/Af9jf83Yeg6IMB/s0iVQwia6EENfjHDHaLSU+1p02J8tdBXrE9kRmdndJ6uJxJ8ZAi90W
gSKSNC8VDNj3M3a6iiwJZkUBWSc9hpkhasSB2yDX79IhN5d/GWf4s04YogqUDp32go1IhcjrX+go
QEhm1UTJtdc/LIuXA2LPDneJA/3fb9P/id6ru7PAv/vHf/Dnt6qmLxTF/S9//MdjVfDff6zf89fX
/Pwd/zglb23VoUz4/37V7r26eSneu1+/6KdX5qdffrvgpX/56Q+bsk/6+dPw3s7376Qi9B+/Be9j
/cp/9x//1/vHqzzO9fsfv718L9CQJWhgk7f+t8s/Hb7/8RufKgacv2LQ1x9w+df1Hfzx2//NX9/b
HljQ+dX++S3vL13/x2+KuubvIBD8+P/Vq1NWbR//8ZslfudO0tHJgvwwKRhhNHQVpoQ/fjOc38kG
xG6lwSCBAEb06p/v76fr9M/r9vdUdnbEn24SOBeWDUZnTddRV6jLr0mukLM1NKCRRn0DhVNiGc7z
UcBGGIRC9LFHearZxyicDPDIdjlEX2qrR3aCY0t2nwuiwsu9CV5MX8lSnCKnKLL63qMwMmJa747I
hbfOS+y7rhHuEgA2G3ns5tkM38xoHMKjyIEcHAVDiHirMBWSm1jH077lYOXoL1Ca2/SoJ3FPXkAS
JXb+hLpDkVdOqYRDfRxbESMjD+B6oIrpH0zElxViwaQxmXi2XxumW8fRbuj7xLNyk5AjxYjeTfLr
UtbdCaZgnAVhVHzVaGJuC3exyLwZFueEbIhtEW0lbjNB/37X943wktZkhNykNMEXuidxo6C70vvW
/WrOenLftVlvsDvoVMhLPaW3Iom6Yw5ypfbrHv9OF5MdgaTbPJh61JH0uryURTE91JODzBJA8mZk
VHg0E1I60BUX5WEJyVsFKFtVz+MUI7Ht4HAEHIsUnJpOBgp2CHo6bPfUXAOyRNKuodG0zn0Ft3Rn
hd/ScLaPhlIJbQNrPL6L0TVteqT0UFXdQsETlVvN9ZTG9lbo4/KWU2ltCxOwl48fTzrbplK7XRya
rNmtMmya3GkNP0OdFQyF87Vw4/aqgEPzNQq7mUgvYI5fwFesa7pqc5JbymGBNq6qCjS8lnSovNC6
U9MrODwd6XwqahXHSNKOG20mXwIqGSVIwaD6eoXCbahfxxso0ZFPRrWibXKjsT4XYRjRnkZUOTVF
92zgwqHgb7TkOIM/flTHEXhzIZWNu/Qt2tLxxgQe8QxIt3h008l84CRjIsEgFcVLbIWIcRgdV2Nc
61eMCCYCCB02BRixbwQNcHptSW+7ZbI5wh0jZGSiGX09lML8pixNt8euII5aMVSvodrgrRFKJgLG
EfGtVubaIc7NnMvU91d9lNxikHlYTLO/BSzhvOuN1RGZKdvwYBGjjqkg7r9ZbE3f59ZtHshsiV8Z
46uaX5SNxTl57m4swzG3+H0oM0LOl0eTbPAIsveA/jx2ovKQjEn8hYotxeo65YeE4A6uNWWb8HK3
Kp9UVXW26lTMAXlt8m6Uib3rOS1E3tKoaxgNhiJMFiPD88oo1vgi9j4OPEx3SnEC+I7TSa3G04h+
LihTNA9CL9otqFpBfYA6dzCibzxd4S21aLplEJEf63J6jJvU9tKpHG7Zs629pkaWp2gWskw7tLQT
4eNjDsC9MDdJj7FNUcnlbAkR/DQT+fegjfTRvRGtq1e5VrZxcJXqvhKyb66HbU5/It04rqF5y4KI
1kurGRdEnHxPIWF/KyJin9HqxQjmKOc2c4QmnR5Ef9CqkGEQgOhqA7Be99a235cQLn63H6lZrlBd
AI0n7Yx8SbuAmRERjlVkpMu4sWlulKwRzd60lxFj+ZA19BtsaqcilOY+p/SbPQe/t4MsKBz3fa9e
sTLuDGhMt9M4zR4ayvFEaqSzUaoufANQMPgcvdtNaU4E5GlqYfoS1auySYRTah7h72SbhgPP9VwI
zesU0pNTw5ie6naJgspSx2tF6/QdOj6r2MXDEt+rNc2vLIqSPWU1a5hStN/Zp7lRI3c4JbD/HjOj
0L71te18nxAe9T62oSii36fOWGhSZ2MSync01BgBaT2o90ou3XAzOW7m9YheNiwOdEBdjRjJCY9L
lSzWPZI18WIrQyW3XT1iemno8vhdP8Q3OT1rmketU+wmGhVgC1txtDHS4pwpy9L2BcihjT2wwhIi
ZgXhYlafwlkrnrNRHVdp5nwXdVxjEdnx3lCH2uUTT5UD3qf52uyGOUBN1DymQ98+t0pZE/e1RNNV
2STWQaWHHiQSQ6vfWsbIwNA0+JdMe2hK4Rxau36v1dj+rEg7uRuNeY5Y6umS7aa4sAqvX/r0KjKM
BJ+Cu2zVoRzvosk0/YGZ9tawa/0Gc4+5y4i4eQzhYj869JBg2QgbIgxxZ4dSGdhSoBGWe6UnP9HH
YvNKhrahehZDw2ul0qfbzDZaINV5A03bqrAgYxDo9vHUF0EhMlxTWawIr88r/ajNivtQ4us4ysTp
7zOihmDYSCN+GhQkhx7d52qn48u0N26bFVsLbM47t7KEjK0NKAZmxbwZhoVdM+wS/SoeZ7kDFPCp
V9VM+AYkxquGrgeGvl6qQSNbF5DNrCTQM1s9Hjw6xHfcrLdqDiCyHrqq59aZFFDaEiLB9TgVVsCj
3X2OHE6xvtUTy5MOCA6Bc7eR10PaOlGI810QL8RhGRV79qy6dRefCLbxszZJmgRABCJlr/exTu9i
GeRnhIzznVwy/TbNs0YNlIJO8EGqkTuzY0fuM7+IFvsTbafApM/3Q0HaSYyKrrVe29fdkc5nFcQZ
zhMPybu5o+O4fK0KBbEArgqWJZlUhT/gEfTlMBu21xVDAQ+5noIly5TrqhRhUCedum2myHnm2EtM
i5sbSOMUmRC0kWmPQ6wPT0kelkFEBARBWpRJyRbqUHtljYZUCfmM6gPQgJaPjhY+a1kjH9O8UJ/g
dxFg7FZWYGRRfROJnv1uUZT8pU9xwWP8t/UHe0o2SJiqlU8xJl5TkKi5kbY+1H5jlNUnPbLqjY5v
s8se4qGtrHp3acx8FLb/cwT4F0cATXwU8f/1GeD0UiZ99frTIeDyTZdTgLOW9Ksmj3Kfcnwt6f86
FAiNkwC8C5MjI4Q8i+PGT2cEzNTQ68EyMgz7+Yzg8EIacDlEfOZ/54iAr/SXIwLOIOhFYI9dOmor
m51//xuSXR+NhPtPt67tdIyi06V/hxI3ym9K0PXqJ9Omr+N3mYxoIZEfin8ncszwUylime0kfh8s
W+AfOoxWruKeWMG6Bz1FCuLXePlI1Iqp32nPpVSVw7e+g2z7VC+ha8TXclYQFSKuJSSTeJAF4/Ca
cOegcvMilgvqDloyY7838Y25+Wauou7VgdM5RxtypmuaO2SyoaF1Szna5YsydVY5eUlPT2/c0JYR
1zWcoDgPSlpS8y2s/oZwRBrfqbjDzrpgMiyWSK2SnZmhddksrlCc7HpEXFB016jU+uJmcRlRXBNs
xVKJb3gZftgF9thtnUdO/YQvz5YYH8RktZwuethDLc4NKfqromZSfjXDCzV29gzefp9T4JpkX2WJ
eHbQueCSs1wn0c2rTIl07T6b27jwrGEJl89UuNr4KWFI4tzqoWKWN4nlsHiHoL3NnR7lMnpJEyK1
T7GqptknMus45GRKyuEDL3zSxZGfanNeMJgJKZRZL0MNOZSgi1znuUMuTqqVzV1ONDye23Hq1oSD
iTMj+6vslgO1epZu7bYZhp10msI+mthA5BHtoUB5MGZudD8lRfvOppDGu5qiS14ZAx0htmE7G08t
hhOj9UDcJOlOz6xh3AHUy+trbCpJF+hKLwkeTsn5IVGpq8zrVldJE+ppxeZbqsTWvO60qoquoDaA
PSB+1hCeUmfFa1wTHr0hFtJh73MjZZfmvMxeo8HVsf3jW2WzdlNxBGBdb6quo7jk7eW0pMZIdDvX
roQZKFXbFn5UahKNAz8/DSy7cF60WMVlCrhuad3rfNS6yFo2XN0mT2s/W6ccbzPQqjLZG9WAqdKH
bdkudUA2xKwoNxbXfky/17YFDGAoE23lVKDs8zlHuaiKkIRlTyDUlManTquWU6nF2IP4sLTy3mIT
HXw+68ECaly3LUGRi4o8X4GvoW/CAgMGCs+C1CcYWQQ3iAMJMZXS7DS5hNw7TkvzkcZTjLDIzo3I
8WptTLnNh6VnDw4xj9Q8kYCi37oGdhMuI7AdgjuCEi338ZYS1UpCZV/6UUowr9dBdBtIIyV844fQ
lgwXVCyS7MdopkwkfYKXtPvQ0NG7oo90rKfCkaVd+k6RhrdR0VRdwVsOm89A5sxOPXRTqB8tY3Ej
JIXVWD+4C6TuyAe6FD1kRV9DF8lk0fgIYulVUiy3NRleavQkG7EsDcDKqr1BK+VOPTjBmRHCIHM1
fZzWbJ89c81PcwMvi2Nf54wuQEU/VnWiNXBAAH/gav3P1vjvdMfoK61hu//11kiP7vX97e/dscu3
XDZG0/4dSpOjwhOxSGMwLdpgl26Z7f5uWy6DBUMnNMBBKP/PjVH73WJbBJQM3ZTTgQFP98/mmcFO
axgmvVAD34Mw7P/WzvgLiGElzzAFJqqEA7fjgoT+eWOsycCs67iO9omZGeLGsuqp+1bOifGlLWKb
47e9GICHSK7Pq/QHonkhaFRHmfW9jtAM6Vuc1LNsNgbO9aH+BsGwnTkD1AVVvd/MbtOle+EC1Wk8
Dly9coJ7h2HYUbSk0ylxJ8XwF7z+1cYuEwyB+GF0vYseu3mpote/XZlL5/DvnUL11zerCYu4aLi4
LmWAK36lThQhXeTIsg3W+XqZ7h1CWpxDVmBoDIj0tDgM1CGqoZ3Q61XtxKRRrT5DtVd1Bmlt2TQB
M5RKeR6QjVV3OgFeC4O50R7/FS6ZefxPBYtJfge0HRqnMJqhTGq/QpCMIuxlrFfpoeyk3kjfLoXW
HjPpDpF7DXxpFn+BGnqC/GpxLTPb3DhZ6Vz9jdZQj5+qOWfRBqoWLGostv8WsUEfpuYJLQjCLzBP
DWO3UL11IEfcLSpgUoLctA1UTf3VLROyfhOr37VDn0P0V9zkelaidEsP6rGIQyKTV2rDEqLFXhtU
Z2rDzPp9j8faoZIo5M2/g26QqaM+TdHC8USDIX47q012VIhCJ5+SAZkZOQz2NHV0OP1U7gPnzeoT
ZmXr8Cu1YSHV7xQWY3Tv6AgmKKQamDalsw11ZXqa+45BslOsCZcojnpOcP8pvkFpHf1hFgUTnhXh
MNV0bf6GcEDiXFcY6uxuG7a2+dqGTXIKYzoXpANVD0ZVqyi8/0Q4NJh1mcp1+ntbVe2rWg747laE
g6PUNc1Sha4cnaY9aFbAFUpZRd6gNsv1B8OBEIjyYIa0bnh8ugvDwamj6JPUtezCcFCVkBaEUmnX
AMgtP/1gOIhicN6zxbxvlUl/nYdS3lHDlxsaG0BQcTc99lmH76Koklt22nD3K75Bi9P8DS92Eiz9
aLh+XtENG90ivukHvabm67udUfRF4ilD0V0ZNlIWnHkMFUM+YN0sk81YJ9lr7dry1NVa98SlM/9T
qkO/EE9d9AbpkLlwn3t6Kik1beneWmrMzA3OB+JIAvn+TnXo6iWjpxrOdL9YACdcVyB6QDjZ1Ted
RvEWhjhQiihPKVNd985qxIhIGrGqNWvavu/sgnmnNXwpSENGLFs0os183XGt0X4Ye9WOqq1b5cOu
tef666Co9Y2oHY02V1PZHAQmWBY0OWLyZ+uvVZS0AR40TgiZMnvwaZAZAnjAAfllUZPJy7Nl3mL+
wmMDMeVYQOMxgpxek0FTo3c6RhIDdqXBxnultHXCjHCW1dFtSUGpaA5Js9voI0lD8bbiR6BBhkDt
rO6giRRCZ1H3U1O1RtCNrcT4toSa11T64pl1ri+7guek2sWjlNs6TLgBsG6o/c1CUsabgten3UXh
MDa0V4Bn7LSSTtaJDBFroA2jNcUVGAS92GJZEQx21ZZ2FfNVQ7xqWTzrX0aTX4W6U8qWOb2huCVN
mUKGfL4VHZkjTvRpsjbCQOjkKyOl2akHeAj9rS0d6zgZdkGgYrJKkv2m4uJofBZxrn2tEiaaXuGm
trGXxrjEmd8ZA657T7KSryMMM+u023RAwoHmNHLUN4hMvdAPoTHC+LwJi2zFMLIv6Ox2auVkIn6h
2aDr71qdKV0YJFExD0EmDQSyxGIuQxAZCT1qcE5q7e7GIS+yWz3jwk878DtRFzHBXwemAd6keLnW
nGUavg6t4nTgno0lZZ5OHVg92wzFQ0YCeEgfBMqm3u9jBcVbxkblNBu8adPAVJyGGMN9jg7JTssl
v0Q9DAVgvlioUxi0KEjTozHGTXsta40Po52gn2zx5tKn8XD2Kua3RpoFt8/5D6PTcAbQ0rZ+iYsQ
OPeSYPulE4w26DBkbVEccsjGhnOtIQtV7vpFIW0GNUTcsbVj5EB4tulLrZ82mpoXcofesGuvnY4Z
DD1a24hpsOOBYcpPkkV2LM2QNzjRQadFxqFQ3JQ5vj44FUMy7RKRm/JxsMIxpMdaoECHljKH9Ks0
HskF6tmcaSYoz0ly/qXHLj/VH3k7hFVaxn5cGJBvKC2ohMtkWX3gY56ub7aUBgD6aB6nbI+Yr0x/
pADhvzQNWvF9aHYrjCBGuL9bJpvPrut6Fq/IaZfqSWIc0/02pJx4tlsd+atHEq5Np3xqjIFbbKTz
CHUH+QHvAC7eKubqsdxnxwzjpVvitlKdhQcdUrDc2MjLS9qAAy5ZhZtUOQD4RXtkzxKhq0TeNoBp
sapmzyQODWXTkzOKXGaQGpOMOE+VE93wJg/o+gmuDvdRku611K6GwKhaWFlGjWgx9Eh/iNkLo8FN
DW+Ya6vylzLjUQxrzUp2Y0VW660dKyUP51iP2R4gOc/V0OJr2WoQ+ezNpCpKu8l7JJdFmOHTWx3T
/I3uQjzze/jYNv/fc5vhFe2iTQowUG4Kt5nCberKOv0x09FYBZIfA/uxxzuyD0OHZxDsH7ORbsqZ
LFWkNgju6iEzfLcvWSIzDUUFCc5WJL8aMzOj7aLX3Jyjju0UQnIJU8ZDOM5NRPXRaLcxapjQyyOD
258MAj77iZXSPAo8UPT5ayk44itgetR9W0mmFxziycdNTBujc9Cy3r3XZli9lBZI+mW/mOQ7f1Vo
BmOZA2u6MZKiEs1Oqr1iOfmLPc2cT6VmHhkRVGhOB0BgoLJnybghUa2dwo+HTNIsxVfJpKw4cav0
2VEnZ8ndYOFT56NTAodDHFmN1caia8AxVkOGC7VG3Ea1MWCJpIWuXWUUIYd6iuLvQ1MUz6VSa+9R
qhShn675o5C6w9JB8sLQG4XooMUbUXOu3pZCTZ5MlQcF7tltM5T63omKdFPSGvmON7cBYWxqbv6o
Kely3U1uRS5ZZfl5U4D8sQqR3zHk7E8lMsIvc6PHN3R6zYCgePGj1QVSM5yYw9bqGVT4BLRzYcCy
cgwmyzX+jv9RhkFYltlLlrTOPk3Cbpcgw2HF14flig1P3VYUsAph8uQlgPKKlE8FqcXXUHszmM/K
YnqdBPmOKsaYAlXGd40TO98TwDXPCnLkbG/EsXUlmLzaV6Ftiism7sq8BzowfuI3SV90xtSfyzw1
YGtlDUWxNpk+b6yNN5Gc7NlXrSQECWaY7WbODSuk2cCNVeoS+LQdpY0SJE28t4uhKw5SxlZCbghy
+Cumw+6VljndnbpEaMstjU8zhwUxBKmbyIfaGJmgVsZc8Dq4Ok+2w9MWmKWw5qu26doZuWBrXbNu
KKFXlml4SGo2Ux8KD4+FAfv40CihOKHDikAMGmPxjbqeMAStJScXkJR1N3Lm98GhOCRrOtWOmcRY
+yVWPkryCdtKkDLzhZkoM8RG5XkwTMOEbFA9PiCibR6x1nQnJkPNhtuyZrDAZ3JaoAqcHMHj6TNv
TLYOcWqZD5zZuNPJG22QXFnt0ygKpGE2Q/2MOVE0bi1wTbNnSnZProGZ7MuZzAG/6ZNil2LSTYkJ
73EiE+/1GBn9eBhsMfmT6MJvmjS/Z4AxwOTwhN60WSuiTZmJ7lEMQ3hPf2oJnNgsZh/mrdxZfRSx
v6D7KhhGG15uVZ9n0s+XQFkB78JpTcA0RJA8y1Ha30xATHNQ2m0kg2IU1mtaNyZspcIMj5KlEdAe
04y7SWvh9Ji0glb19DzdCH1Kj9CWqjunpzjT2Bh63+pswgPQho2dj0F28NR0mpttwlJ7IGKEea1t
ZcVzBWUMPWfLigVccaQ7l3J2RpBx4lRRvWqtUu+xcXQ3ro6Qj9k/AtWaURO9g+qHg4IYf6/a2PjF
4/DzCPudTrV0NsICJeBVbSYRsTEDC4xQ2ZXkGFxrtpKbvkVnbmu2bkqwjsyrqxIfzaqDpSTWRVjN
R3XqzcKDEZF42US7EicZ6o7ZHFwNsQGINQ9ea4Sk0lHKI8VbiXxsYgtgdZkAx1laxR4advoPJa6N
G9ziaMIQpi13qk7BD2EnTIIuWaM7FonWh2C+cCqvJMTCl0XnvOC5jd0+TUURb0a6As62xpDe+5VQ
xI2mDmx2OOoC9sNWYbzoLqDFpHOz6KXhR6i/JxKwynaEIGZrj0uqPBMfJN4s3APmzsqtR8Wg40Jl
KsN9hvtqb9D9W7wGhN+DkQwdl5cV1oDzjxFt0/fSOGmoW95zSSM7kJEdGl7bYRA/hfn8kmg4pG/w
M4IYDUu3eOyRn3+D9Zw/lGgqv8JRIZ19nt3atzXZa7sCgNZuCkPm1TRZ/h97Z7JcN5Jl21+pH0AY
HA44gClwe7aiSEriBEaREnrA0TdfXwtU1MuIqKzMF4M3eGY1SbOMCN4GF3D3c87ea1snlfjFCRBd
dclWe0bDMLON+YgiDhPk0AsFNCeJ3i3mk+mlk83nnIyXNjdShvNrHNWUHc1GZaSBcWiT2FOBmW3n
otmX1nkRYhp3A6pmNHgG84Vd6+Xtbp0adgQXUeHOlfYwoJ0svkh3rPcYS2uUt2VfcGwxNApYjqOh
GXFmQd5BoswuWer1E5Hppqa4n7vPWV54ABAslb+zjzntzmV8+qBKP/3hj27/reu7FiCn6Ds0o5Wu
P8HxH14zfo23xFo7NqaZ6FuK/QgVs83mNoWWnuSKDiIzhRsypfEflYo4f0yOmnGV0Ecfd1omEKgq
PdripDmujWG6okTOHVQXxyxzbLC4TWOqKwYdZskAGuHCToO5X/dblm9x6KcO7YxGlTBfIw2UybXf
KRk92q6h9MFvprQ8QTXM3VvcrTbIk8meUD0vVpKvV1S8RXOVV2IY2z2kraR3907X4B9Z17TUULCc
Zh1DgMbmet/kjSw32D/22CMG8nY4OqXKUTzbbFQOY2TLAP+nB40Q4ASDc6nKAC9oG2NbiaEKs7DX
0jiWztJWzzOcd+dkV9AIvo1u29X0fUcSIZCCzVNPliH3m3wbE6CxO68f0mFXzqr7LvvSbvZNZS/m
hsiAqvSdY1+LW9Ff4srToQ+BKD9Pq2FFl9gkeqjYbpBKP7rECsaf6rZr5Au2oAKBVg61C6y7Y7v5
oxuBhA0JZcF+AFC3LBCv+KnyIbPzh+trOkVxtGvI7pqvB+pK97au4DQcvczzy6/VUBPEGY4yys3P
QnOhnXCBWG0fnaXTPdWJN5Zf0gS/JCfjobS/FKZdOQeM6Uw5XI97h8p2XlXApEZNJxdW2NH2BSNh
u7YL1Gfojz73STL1uxzZB4UrVSnm/eKRNIfm4CAMrj9VCXTbcz859Z3tl9MSuGveFdRdpcS0D6GL
O9MARAcRb66/9aqb3kEhlj+5yZMbIgjaZpd3KIaSwXI00DOfo3EjFAt/3FnrO81aTlvbvZ5apu2F
5tjAo1p6PRYXJM7JqzNX1SM62vWKwZvMQq4Ckz84wz+Lyn6IuNyBn0fZ99o356sO0hSjp9SPg9QU
/qPTtiI9rxkBA8HqxoITb1uqx8n1Mu57iJw701TlZapx2oe6S1s0I7mxHhlx2GdfdiudHUfd1ak9
rlgE2TBQ2hvuZ8MxK3T1eSrLE0mJxBINavFfpJGg5yAS83HM4ZlF2PS/gihej11aOM5uMOLofrBl
kaGD61KO0Fxwfabflu5ZGLprugl+SMBxW1JhbDp6i3nnplWT61MDG8ffa37cl6JxqiVccGdBAxa7
vq3FK4od+nWgqWfv5ErUC0XEmGSfV47/xZi0/tzEDrOWTKQW+z850HigSWd6SA0ucMBJ0lIBDrf+
PiKJBAlkPz/ERSyOpMLHz5xkG0HPSekHjCi6PeZV3ZfoswfrrJtqHs6VqIsnZsL9MxM1zNu4YLwo
hAsGZm8GuUQliHP5Sta2/VlNNJ/CXIzyvczy+galT3lb4ZD6Khk7XvKYavCYR6b/VgmCTKaq7QRo
o5ndBxCtVhfWwfqTn0w5NA1tWo/MS2s39JAk7m2gqQUNt3w8k6ETv065WVT7uKPdc/TVWp78uk8+
LzH0id7x2JyzwW5pVSJTIWfJXIeXgp1lRmnFXDssx8Fxd5UN9yuoLPNJxywAKlLqipu1+2EV9fQM
ZkMHqMSzCRPDghGmwDH3vePDYRMlneAi2M9etVjISC8JAPkWF3n804/tgcYrrMzNLNJax7mQ6Uau
cLHfSU5H8CuRMCHx0cnySUViYZSAHgTr+bCa1yXFQhRImzp859HrmQ45gy91iGldD9ecgcBSZ8PA
fYSww76V9OGySyztggUx0dHX3JIoGJHOmj/jsjDCpWZTc0zgbkHN/LGnsbcuyXFMpvYuFTECQNNp
Cnnt4ZcmpwH3ccBNFj8xc6MQ10IeyQiTxp69WFdXlhMxuGit5Uy6cBeH8zBAcKmwa4Zy9OervJ27
e2uMoQroOaXLHXergx+3qHC1JylMmgyGbphRfl6b8bJ+TepSH3EyCs4Ys1W/C5XrOehMG/ZvPE6C
li56qrMkCGPvL4tN79P1ECI7lg6YhzfpJZ7gmHr00hXALQSy3hpfTD7G5wif+w12LmOkFs3QHWrm
NqfONvVO5bicg7bOuujaiP2y/InruLpyG5M2GnP+JOQkmx6BZLIGZYbfZUe8BpILaW+yuwzdV81T
6uCE6ZN2fJn0/Kz9aKU3OCm5BI0lqrt4IUZwT2q9v8dGYULQAHv3UKb+Gu0GWlQjMt/EJPTIa+cv
qp/mIwCmNt0qhCZE5EBYzCTMmOpWza/rYLmY6pvoKoZuxjC6yqyrgr4Fg+BJdHeOm/rc+M1adTiQ
iurJ4GTxDqREmWGb5mUVSBKs5FUse/M6WmurDxe27Gd6X8lylsCgwxxRaBcY41xXe1ZhxWVbfJab
EusG2FeHUyLRGOhZAKG2mJuDHBKkePF5GfKny5V/UjLJ/om61UVXiRjvyqpF34dzEwnvRFXgYvee
PbfdK/iwczBEdfMwevRtA4HbhmWoVgtaV/TjimLJL7jes8YntfQyPiCniRdgv7Y/PpbogL9ZGQeM
o4hXYuQmmsnICQf4UtN1XyimGiwB8mBC2pGM0Fx6MRuxWB7IvU3o0+H8u+UUNec7inWGcbRFf0zR
Yj9yS2l08NROtLfbmL9eKo+dzpgy4OswjijkgDdpjhmkRTJNSddR3BmWG3UHE2xesc8Rziyhzttm
wW8G5e88pO7khIWN74NshE1h7Oewrq5zhwbjibtppNgenXraDehlY+BgPbAZ3HKD2T0RgtqAfy30
clMD7rc/lfY4S3q+qzVcYT7vo288TowlFy3rfM9DYXsBcBYEDq2ZGtY9tnCn3gE4dhGUupzcjTs7
bWiHzzasrWCLKi6vgEyK9GFYrWRElCn7aDwKvtreaBZvuu1E3BsQAeuugnKQ9TZ47rIieGZp+3l6
ix2R9UggKxEfImQ3zRX3dfkyUe08kbPmGifbW1dShiY4GHxJ+kEF0KEKu8zaq15fx5HQ9fOyptoN
gYa1xiMdiZFGRI55fzxO5EZTO5lNm36GT+M795Hn99atUxdNdQQ2G+l7GIygy0lbluIkMR3El7K2
EXhOk2t0IFFLMXP4Quz+mf0mbQ7WChPozkmrhl24Q/l4U5F+CfdIsvNz95rRupvJm/JAWOlJP9UC
h+lxHITxBl3fz44s0yXHpEhk4tiWBAAwBqC83TjATnuFdHJiSe/T6qEHky6DBhxetatxxjZ5YFtz
dB5RipZYDMgF37vu0s1UwqtBahfG16kOCpmxMAUlsRkCPalv2stNO6yree/DHpf7yR16+VhzlC4z
pLsptHZBtoYKyg4tOY9UrqenwR9L+43xIV3epBljmvyzsXwxTGVEu1H50athDeolyXUp0JwOajzg
m0gUgqgZZTegQ/USR/geg6xxxXSZfVO/ZyMIO9TSsfw0AXMqTrQf+oEP1Hpb329u5PXkdfIakz9g
QT5/VpxiI3KSY6bW6TFRERUQynBhPiwAghJuOGyKOAvndAmTle7NqqvpafbmeMYVhvz5zO+5tTlh
b6KJbCMHuf4i6zqEA6Uwx0uakcS75GSkhDNDAJptVrwaYYeCPeXPFP+RYixk3OlodpZ9UbCm31GZ
VAlSEihYDxXof3zgyeJpFvXSmnT8ZVrpDLkoQgUbwqJ717xNO7s1rj3tyreGXau696xsfGgmBKYU
IkNXhWR4ebe1jSV13y46OmGKqcvTgvXSOJmagp2mK5SwcGoYjf2kqZtER3QAW5tUMrkOp2loeCpJ
nKfUbezGe6mx+y50Z5B+95RbplmQW0Y36kwfnijETpE0E2Ku39YHd2qPDfqCR1MUcXoLL4rWashe
b2MZWLFY7mQ9VOWe9jLn+tRr3CLEgD0ZtEXtmAgJQgfS5b0tUjoPPJs1/IrCmsfrHkzyZ/jief6C
oYT+mVN6iOZROjHGOWgbtn0HBmPJ6CnUEYL1i4MFvoLXzuTrK9qsSp6Hqti2ClNns3mvIL3MoPxc
U4e27MSRrHQjjZDeQhXxyJ/n5m/ot+cSSEg/gYUj6MSOcHlisIcxFmSkArRPbV+40Q+r9iwadaA7
2maG0G229oPbyI9uwZAaBV24GUMth5FGIkNw0uyKfHvHBZSHpxLrniV1/ob1KE/OjIJW/6aRiAp5
IsZhIycMXY8QqjQfgFUm1LQNCRykHzgkWTTzWMsAu6fLClUsDHBrO8OUY7BmfkOzy1lZ8Wwv+yT3
hywAzp239x4pOPlNa46YhARy5itLzVQhshh3gGXbntE3Sm5unOaqGis73hF11/UBB+AigwpO/WlZ
0dzxC1nVGyVq5u1WhJj9le81dfbuplQUd2PvDB6ACJcuDagRs5qMz8TokWtDbTzeDWOXblmpbZLc
otVgAFRxxK4CYsY001HkjvXO8CbghspZ52vTqDmToW7gXWpdGud5jBSTa1kljJ5KAzTcgwKYzpRG
5NAc9UgwFKssNLewaxVZO/1AWbKfyjJtznwa48nEifJd6jr5kdBv90PTctZiZy6+Nezczhs7sBTs
GzdljFz1ghYBPb6MsS8GjTZK+5xXZX27NNr+jgKIiC1nbp17qpXevZbUCZ9MJgh6tzbt8rOgExmH
vnTd+2zJ0OcbRQGW3gFmzZQ0Ku0lnNsO5obukq3Vavdev+tJJrtz0FICzJgbffB4zqcD/SyaNQK5
ZHVd6OFbaeWCESolpzqtENNcwhS2ccuADqE4e5j8x71ZRyv61bTyftRzkT7EatZnBIYqOrq9HT86
hl+gqLUXFTYzdpUYZikQUWIsoH+ayWFARiSCSc1iDZjZJAjwFXYwysdCfnI62r03puhJuyVrYr62
oMSQtBzhb2yAbzYBxa37FpOn8FSjbSoCuiL6Ia4Nh9kK3vFjV7U8BIMzxgP9Mo5Qu84hhgXRQGN9
7eoi/SLncX2Xro6YpSRGMx5aXIthwnfflZQDdTglqbqBW0K9HFnliHN+prChAsuvbGdoTphTswvD
rUwEYK8Gaye4zfWpb5LmsalNdwo6wzTcCzuTrHY2skL3EKEaog6EPKrCVYz60We+d841c9WQkY8s
zk2R5zdlVyPW50TVPTOx2sY/9BIQNVE0lY72aWF7LkkBWKvRgmB4H2EhJOMV4XpJF+YgjdNHEyXV
SYsOzaYJAoV+iWs/UCTUIZKC4kRITHvbptJ7NaS8L3EAcwNVtuM/c5mM7+XYaDKN7HFfrHG3XxIm
zrY2CSBEY9xeOPEJDs51QvcDVqiFaHls1XjtLGglglaU45tQmxgW6ULHxMCpzaHlFnfoIsac/VB9
G28As7cy3q9np9gz9piAy1nNs4ocd/rhDy660CbCIr0wNVzc+FAjceUm8OQU+weFE4/o1gJxzAKX
oQt60mfJJymaUY0W1UnpF/0uIeGrvfOdetE31I9NVJ0HoPw+KpBVYwhfskxB1cnsoo93sSvTyLmi
nqU6OTXA6/oMUp3lZd85nVBE0uEe6+5EyVwt+UFNTTEcmGGyXUO0cRTDIjVHqc8Tl9D63cfG6F2t
9gA6QXYjI0Wivj/nU0kUwCJ6ZHJ54bZnS2cofYpOHbk/kvmo6dYeIiuf9jon06JQ0fAue/hjAaxw
+0GW6VdbC/cnzI09rHTatN46SkkzZZYvq2nbIdOL5giQ3X2unVJzWBkXL7RjoXeC++yRGWf8Y5bJ
QgywgGoX+ChhD81SjddTP3fvJDTIa1jhKmVKVJ1rQBk/zdUTe7ax8osana9RX5F+bnftl3IRKIPN
XmG5MZtnglItlwF2ND7AQ86+qtZg/FCvKXd3SRrQfbRyMccWnWDAYz690+DESoeFuIcbVXzy1wWN
CfpxAojQZXynJHLIokaJdtcp5T7QNsJjioFuDwUjfhwBGWQkJi0x2I+s2lBA3VIcZ6BdtJipp3tY
D3UL96FgCwl7lE23iUlZyFFxPsI1/NpuHs64oSWJbNq71rTon7ZGrXdKUmFzz9BJRa6MFIpd4jsg
0JnOHAD3Vyuuh9dxky8FmpXv5DXedUS7HuwPqZROMMgGHB4noU9Ryfm1gzdAB8pzuz3ijxGlB5oa
7kE7AFfv7pST55eE/FFjl3upK8+W5XDc1f1cfZm1gUjSGvIR84CQ6dcFk8KTN3EAJaiD1zbBph4b
LdBMzK40Hpzcf0lrdmEkzchhBrv4HNVJT/lWzuu0zwUQbgqAfnpZMBGjc3Rbw0Ws6YJ3iFTsMdDx
xGUErv/Nrt3mqBSZEpwAIH8xrI+t+0UannsU2YSV1yMAhUGGQ4UXWQx14SzbIvSBGq14bdGlnzwr
cX0QqajVV7clGMnxMQPwMZZ+DFdZGw/gMPKLsGKgJcjmPosmGqw9fchQ4iAEiC2X+G5CrPlV0/07
xoz2aX54a1iq1hOHvhuxF/UNwWxxQljYpTH54XdY1Nyjsc7mhb1xQQBPEpC5rdDmEwdhvmkvkjfw
fvqdaa0QlP9teUaru3WwDYdzUiRzSx+LIorjb0tHDcZIzqyys0Nn3CwCLAhFc9NzlYb7SeoiP1qr
jpqDL8rKI4bIMlznaynwin9PyQy4KsclOUifEFob/FJXgXhxsH/voJZH8dFLKlUf11ZOX0oaDu7R
ZbQynSb2W+4Lu4+hR+RFk+82Y3f03Db4tUkvJQK9uCHBdKyiKPRWhOI+B33GGnbIKWPY46RKnUPt
GvMdxBbTDkaR+TPDBL785xSn3vzJ7bFxPJtWwlUIirTGU5lmUBSNpbfUU4ZwtDgDuXXCBJT1z5aF
KcOELcRVjHoCCWbf0/Am2U6i8uvi+WfXgOMNba4OM6e6yof6MtTG8gNRx+S+F76Z4pFH8+VdpzQJ
msM0uKU6LDwQAQ+Bt69pImP4a3qTTa2J2kk85ODZvygr6suwIHnj6NbR+K2dShSJSZy+moNIl++I
/Qpw/mNmgPBaAPUEI2L/MlgGJyHaiVnPEFpic7ULTb/gmHO8XnckDzRvMab0NPAgij3bJq46pqH1
+GUZmvmxg6Yd8tSkZ6Ze5vOg7OUnZvLqlTuElGgnqTUbT+nuWyH5vtla9iRLlYAqxbUbjb5/l1HN
XVBTOi+pJXI6DVCwbryhSeb7Zu7XW9B5yt+LNZrjs1Fij8uhTJtoCBgNOS4RRZzwo+RVMTl40Byr
W5aqvgLrUcEP/+YwSobCGjuxeZy1ZgqDSAsHBa2+J+xFRn87WtWgjirnXL5HjDI2tCc0RmiOuIYf
EGGoXzs3G8SONlN8xCCRUO8XRIuZuJLcLntoc4XFvFwjekr8i7Zej6xFfrw3VkhSvNpHlNz/+g3+
r/wG24nnD6r2/4bj+Pza5a/9W/Jjeq3+5Dr49Yf/BeUwxW/46RwHe4AywQ39w3XwYfX7k/9OKBM/
N2m7uBP+YTPYDH304KnPTamERCv/Nxgdzp/U7IjZ4XwgEJP0c0yHBjKYkD/a71KxEkYuZnWPYQ7b
VsyTPwXSL8rPPolzMvjDFflnOn8XiwaHNTR41cYngQjicxTGQeEKW3ARxGYH/IPdbyDrxIxjP76N
csRw4hFjmMwescbho6HTkix92G0GmwybDorSfjPeEBPzy4Sz2Pe0SDZzTrEZddIoTj47CKix7/RF
rj+7v2w9/WbxofLd7D7DZv1JftmA/M0SVE6yRRflb1YhyuWGURZpC9bD/MtOlG7WIrYUjc0o+7Ac
5avJQSz58CK15FNjTEo2k1Lzy7AE0gP3kulN6eoH6WZrMqwPi9P44XfyG0SKJYXShxOKZHa2oQ+H
1AAeKi3R6oEva470eQh2IomF2CUsXKte7TKzzkwnmMOehHAYpuBImuoh+kTZSXqqDNcaja++tKU9
id3QVLVDmrncACKs/oBo0cDs1Nx08TVwosU+WQZmZVJ7ACHsLD9C4o8lsX+KzZgyK54tmnz9RzhU
UyzcBFlvUqTbJvM8NMxNLm4TmiIPPYGsFBaoLhY6/7zdgNE4OdGHoj0zMvdrQkK3+cs8nnkVQZ1V
P7Fr1WcSDge9G/j4EZOcqub/8M+b5IIeJs12VZqm5iGbCMZ4W0tOTM5oNmtgC+qAvcOLGcxxojo+
THAM0wM+C4E8CdH1ocZxFiE0X0dA4XQvnZOZ+u6ndLb5jIiXARmYVqS/1Rm5zAer8gQKGyBPFsgF
hfDJEVroCzbN/mm16pF5Ud6SDeBWQAJv8VEyqnEEKqR+qfBL2rS14LPUKYMlXpuT2OBu8kLCLLJw
4rd90q5mxtzNHSZvU3Qz2xpETKp1Z0x/5N6sXmNFYBz7mvD0k24MZnRzHOnkLQea91w2GOWvDB6p
7hp0Fw5P5KKfPLfJIHHhCcr3/Nh8eDfuxe06LF10L/TMr5fAkX+CSoiAomVq2BzW3oA8lk0lMoMY
Be/TFscO8aFsnfURQF9PsuwChuickHtJ+w8AdHasNXZ1JB6NH31JFdkSRCzoRLwzyC0gJhiGo/C+
Sw7/azFzi5nbTZTjI3TPlpNMb7SRjfLUsePZXyh8MOIj8iqyNx7uYnl3DLeXmOADkJq97e5NDniA
HeRCdDaO/DbX4+BeCSq8uB1CT898svXXKvS/bvJ/5yZXromb6X+2zN23afX24z/279Nr+/4f5654
rd7/tJX9eoHftzLFTmabPku5hYRK2ptH/HcDnbJ/c+CDKVM5yqUz4OGS+31ns93fYLIKkgnAS2Ee
/z/uOec3fG548QgWc9FD8Wp/Y1tTfyZPOdKijY6ZzMK44rrCsf6yzzQKqwKtT4tZ/dKvX3MqDCeo
cGLY3W0KgdD8OcLEtMudPazStjfjhky8vU+5G5+XehqM+4HD5Yn0jsGD31z0El6ehcz0DQeaMBlQ
kOJxbP3FgIvDnMndE1Qwz0E/GuD21kxZSxDz+FUBwiFZ0Wg2EIEQkdHHe7kOxKEiP00adp+eJSfA
gWT0uD5KZD6MDBcKnjb2r2rGC6/9wECgQNCY80FSn8C2CtwUMOI573YZPr2CBXmULKS9kfa32pt/
yNIizablEd97UHbtvcdigQNoMNpDTyf6nXO7ek3LDs0MSObaOjGW7hVDY6+FNsvCyLghYT1PSJ4N
U91MNAtoKAp3PdBI8cRjPRsscXixIE/R7EnTAZNEZ/xk11tAHHUDu1676SCOxK+1NIGKmgP9MRpg
fV2Njiz+Hxlh/z8CwFm2rXhA/ufn9a7qX9u0/tMj+utvfn9EXfs3CcqNw51wMcXb22Py+yPqO79h
gleeIhD14/FlZfj9EXXUbx6GNU6nwuHhsT3+1X95XMVvroVP0yNPy+Lv/b/lceV1/nAYdDhRcHLh
QyAjsYUvJWfhPx4GqUZhpUJ3u+rhR6lbxkmFurU/Tg9/uCz/5Ny5eWX/cerc3ggLLXZdDs4CmIXa
PsgfTp0kysreJuv5qvmgGBt1ZH53dYwZRxoGvqYYW3v0b866/+09bc7TZJabigAPz9wu4h/f08XD
WBmdlV39sktBEcqtLz7ka5wb2JbGzXwhUeT/zW+qbHtbXJXN3SPcv15S3zYYVUsxXiiW2/yW1tZC
/O1oFOn9hOSG8/IsMfH+6zf9cxHB5VW2gxtabCWEBSPzL1/VEjZJDrQbLix6GwRHaud1mOP2TKM/
+/qv32t7rT/9lMrh/jNNC3s2+sa/Fiym7cdWnq7dh7suPsYlUg6GsdlAdsu/+QX/+9dycA4pvpoU
7G/qL7XRgJSHgw4pwOUyYs3E5MCpv52A+U5Yw7Lzv/5i/+TdfImUkP/hgtnbTv3H+4XKgkKM7eni
Tav5rkem1sE6YIAKClMTBPyv383+ywbJb4Z3XbEkbJdSocX889slCBqiaI5KvDkJh/GgbrBCfHNz
a5vMVa7fn2U5+PnN6GZNH0qjSLJ9XZgeSLPUpSlH5C1JyuZIxbe3zBItZt0OvtynGZXmcfCTkWks
07j4xTGWqrnIxMczxWgjc3ee2SFWQSe8lsdhAsR1culgpTH2mWkhyR45YBY24NmjUNtznV95Qzas
wTDn5HRDSeGI3okG+FMie7IWfvnJcMHH6wVQMt2aWYkxewCYZHiXmFFQvUN/V2A4LSMvukREmFm4
KCpH3RP85W/qGc9BRJmN7shkv/HxveOTdsg58QGrEDDa/O1bi6uPUW/jKNMKkH+9+v3c44gyywt2
G6M/e5aNhR3RumyfI9qvf/PtQI1wGoPfznrtWBwC/3JvZYvbUA1q70woxzjcWcLEYhb9QgYAGpP/
5ubiiPXnp5Q3BLXJG5nexz0m/rKyt3Y1RC0NgHPKzWeEICt9+4EwFLoMARXVQJp3A+DO3lxDRGLQ
dBiiQ8EiQiN9yfGV2gho8tNYDMwj97+Mbq1rK8MLl7KPLP95mRli3bRTQRDlfqlkaT73Wvvtjzyn
CT4EJPVkRh9m6awIFmYwhfrHXAks6w/5iA1ul1kxUogGGeyzNgt1PU0U36E9iPixKIasgxqSGumB
7cH5tvaABiysW12YzLa6LAmzfhITusG2T+WUiHLYTcksygPDMGmfhjGtBifAe1zUj0VSuhgPI2vk
e4H93pyQfgP6+X02ML+KoOcGsdcrPTab0slA3oq1yZNtcXFZRLGK/ro8jOcbRbx01Vt3y4Sm+MCB
zcMaOxNbMiG/MhAQ71JdJQ1yl25aUW37TAV0iNaLnnOgxoorPuNEcb6CfjMXKJa+eEXewNh9x7Sc
R1+Rwzg+0raaOgalGkF8NkxqOQ6A+VEczGbKmA4V5XwYynpA/YIG4ji2mxQSxG165GDv7tpelHea
lMbprKAaFIfERUN/PXDE1PQSeu3Wz3WdWOLKYqpwC5AN/o/pxA186TKZdpMXO8xREw8jROLU/iV2
xg6DShe5V12NdGzPGM0v933pu5+TTJk3A8/9FDqrtF7YHdMLhIBOBSmm39uWNYdPlIrnuZyBwPXt
q0qS5tkQFvtjucwJ8SimXo+WWTn0UaXdUJonHw3W8qPZ6udJSeeV7Sg+9h8N2WXrzdKioU1Le4CW
rf3RviWeklbu9Kutm5hudpcZbYRTezTlXllpL6/VR1d46b34m7QR0ewEsdWNuVs6WT/glklewSAm
Ln5T4ZwmPh7fAkjrhdY769qSyXw6DKAkzv5Hn3rZWtbLNGZYDHHPvWAwUhf8Za7P2XHrdOe/2t7d
Rw8ctb+7V1tjHGo/PXLk3tUrLaP1Z71uww/ayU24bs31ZGuzOx8dd7N21mdQPPThS9Nr3oqP7rz1
0akvTUZ7gfjo4KcjY8FgXTSdfcQodPmpa+j49x/df/ExCXDHIX3ttvGAtw0Kym1kQFZGNSG9+TVW
0B8zBt/z3X3jgtqbP2YQ2cc8AkYds4nyY07Bx+3d93EbX+iPSYbza6zRf8w44n4bd8is2mdAfZdv
UByUfTGl1P6pL+BJBvnH9CRG0aKeZuGl9Z5vsc1ZvI+hS2KnjnV0og45OPpOmqTIf1OscAY7f/wF
wAqihx3aFVr9yX7uMbW4t3O9VCvzRKtqv3uGB3OK4Iq5DxzRMHJWwwIayOvUeibSpO+eprbSZFB5
rWt+I0JsSa7Woa/rm3YZIa6uC1FMLF4uXuB5nLCa6ayaLzScFqDHeC/65NGLLEs8OKnRFIEJtmj4
5pCQaYQsBwXRD91KorUeBU6a3iIKEyyZ2RYBbbgWrT87sXk79Jlh7FVL0sfOHMqnOWt84wZxhSsR
luaqOfKJ/fELI1GvO3B7KHlZJeNi5GajEYkbd/anlPgos/Vf6jK29IGOLa7Hsozj8uxWPmGuVoTK
9ybOBnptwjIsfYkQLoF0YR43/zA4YTlfTdbmFN1UY5SXuOSTP5orHfTP4Diq+LXCUL6UgVuAi39g
xudHV9ZYbG4pIIl633nKI5IUvGn8KRY2/WHQKEuyRctqvcNm5xlw7nu/jEO7STrrKR8cD0/JYJUm
ABdAlP5hYbSNLL1ZDaK4UdduKv6ibKNv85SO72sMTv1lLsxRXi/OUmenuTRy53aeUecXYRJTRj32
/eTXB87BhbwBaY+vI1laBzqo7Tr6WuoFmk1C5IYBYa2tSJ8zuibml5WsGN0jPg1UdDtsfQOrEJPZ
Wvub0i3nB11TYF4/nWk0XPgQWebdWhm3/m5eZBZfWfQfh4vlzYm8pbfd1/vGh5x3YZHC1xOktB8A
Jfc6Mb7kjrsMLwiH5+ZrP9ONOdK4s9ULQTNgrlFyuukxybN+2Fka8sjIaDdPe7YRlLp7tBwDoLp8
yWzD3pdZXYCyw6I9LHf4x6K42BlxgsfrZtN0AsMTRF6AxmuyFSdzh6sdaN7YdojN9lMTRWN/YqS5
EsCDQpGJGMKvroG/lxiYIDDJGx9kPjGbiPfRsTr2+FZsaL96lJUBNu8D/8fhtUSsyx0zi09oB6EG
+lGr0YYjU6r2Q8ux9p9kf/DuK8yPrqFz+3eyP3rTyg8VhuLTPwJAPDEWb12bxc2vAJDJdcZrMVQo
t/9GCkjP8WLH+cRnnlgzg58h7L7rv5MEEg3e/Glmr7pfC9KF/pgE4hNycusaY/T6T5NAHIQX5xor
fn8xEw9imVKquKVArq37f58EItLSfzdsPf/rJBC0TMbeqBza5haWvosG5bRLPiJBkv9k78x65Eay
LP1XGvPOBs1IGskB+sXpW2yKcPeQQtILkUopue87f/18lGqmFe7R4VA9DypRlchCis7NeO3ec76D
kxPS4s80kM6qlLqhZSQryHAkFjPDIA2E6K/yBe+DBZ3k3w4DmegzfG3Q1/wKAyEiKXwa49BZVyKv
dz/DQKKQhOkWsThst/85ESS0w+AL9I0Cnsi/EkEKLUs/J6iRzxNBcMWk2yRy9G9zU7l7LSB7mc15
g4AKLEyRWOFxjjTAQX+QCwJCyTL4hkn3YwJDksrWdkrCKH5LB7FQRK7HSCHbZM/6Kh3EZB4+UkKV
VrjWlHB+Twfpcil2ZrN06P/HiJBFeb9hyoS2XeN1ID2GlJGodH9kYC3/6t5MCOnCGBRgCFbtpTyL
CaFGLdOVhdcZUfN/x4Ros8D6kcyzOICBdPTzrJA6kxNABlKQ+g3C2cuwkNRSib/HYZ+7d/BF5Lwf
TFyq+4Kcv5oKAN5L80Ty17ywUdA9aKeEHBx2oWko4dvgcWRT62Bo4x8J8JfNlxJ5pHaaKj2Md2bt
1tpJWvAQ10FgTohtdSPWmZUxF2Q6w8JEqObkjuUXouU4ErhfHn2FRjZG34Qja5MgRDQ2XVaTFzAj
ys5InRQ+SsxehCTChOm4hEX3fgLGwit17JZY5YEScYwOPoz9N+9qWTwCD+GHRqMm1U5ojc5OZWz4
w/K8MyyNOAJ+wui7AzKraYgnca/nhEXZrHs2Y68Q92W8a2xbGRtAI/z93DX8ealRcsZOWTfayfR1
tgsrfDaaYNBG15KoPQcUDycNl31ejoIDf8mk6kCTL+lllDYb12l67eQ7im9pnKqQgLjS0bO7rAj1
7kcvujr+qLSyhwUwx6n57VfnL4e8nDyAwSiKR4LjmEj9+ue/rpYyev7keHKW1Bsei/TDr/OjG9Zs
G+DyzVOsmTQIig5A48MoKNg3bZzr2poLKTMoXHBb7n8Nv/pQ40whatrGw4De3tiMSPEnkEGBk91G
pu2I/a9QGEwwWXaXUI5HX8JMG8lo+RUKYytCup7RHS1nj8CkwHQh46T/py1y9jzrsANMwbgxyheG
jUozqoua5Dg/2nYAaejxBEOWpPcB1xzVNOSk4LbmOf3uhtFMz71sgnygBC1cDXFjAJkvMh1sDn2r
cuMRrI4OLt+qmxSmFGEvHhCOFvy+lHHGAqOLU0zPBq7uOAR1sMO3kfQ7yCxpTKM+GCQwCh0LNf5Y
NT/70mbPXdoorW/noaUFlA4xaW4N6VrdevQXKFBgS/1bjJ0sWQRHAZCOMiSoaZNouFxoL7Qt+1Wn
KtNPlDttfwIkw55zMGg2/xX3tQV6MLPZZ8tuCK2947D7uau7AH0qgA4nvOfTHrbaRoRhah9AMcGG
ivuWXXbjz8seFh5+C/JoJnIMWKismKmoUBGaJsYclhEeL03dllVArhM8Xn62MVr82zYm8XEnYL9h
ocuCKngq6TNgj5pdJjfGT8AOSN5pgupkoQ2HRlUH5ZrIQEFyIDmxTMhtIzfu5nyu+9MoKw1kUicQ
lDLcyCFg+RQfL3pblDVK2zkaP4aVHY+mZ1tTP/1NQii/wsVhxavcNxpXNYoVrcB1YsYTgLomXwY5
2C6Hyb5DUE8n7TwsqNFTbfIMElfuHRF3KIQucoNw2/szp2lYTzkcnR0SKUt+L+i+s3wmOT1nymxe
lL4hkijytFBLjS8qo2V0+3uckDYJkOKylkRUVVPqhGvHLcfk74R9FWrR2gGRNLl2MMMV0EBFfHi/
N3nWCV2aR5ClJaF4FuNFkhVetyalPkpKqtG6IQ0BwJGgMo7W5RxnUMwQ34W/ulX/fxx8ZRwMcJM+
4P88XVrV0QJp/g8PTl72LXrFGP/17/5fTZMw/xPhpo5USQiXKQDdzH9NmYTh/idme9tQSOEl02Aa
ga8kTob5dgzRMhkSi1DIAbPJ7/yTWfCrXiTTK2VI7AEMgg0bbrl59jgNsTnCJJjcZwf7D6TBxsWd
ZqCMyXdsimYiD+GhiN1vl+rqxGk5qK2YHLBFpfe6TLleP8NGBQ2Kkez8HKAcNDyUhrLxCn6IWlUK
lTQ7wKn6+MfH5NVBF+ZAVEdfddZ0rYocW0cyjs9kmYyoJ5K8so70z4thNfSDFhz0HvX/9/cP+rrT
u5yooyQCNaQynKhhLoKv30ZrDj4WmN3B8BwPZuV6OLhnw7OYqmX7FkHlNycNNPGCYTyPX94/8k+t
2H+Pgn4emntKPjylBrTe87ETQ7umccymf8YCKBNsJbb1Av3NIc89K6f9CMf7A0Ualh5iG7Rgb5au
mW5l6Ws/mKpSYQkF2oKtthjU9v3fttze1z8NYq9B/9vmf+iC86L9flUmvRolUVHNc6wWqxPQF8h3
RMy6NPEcXy+GXZwITWlXxgpvHZbeLAUY8gcegrPDtmEU1K6R1s8t8TZ/WxjdYsIkhvjrxG5mm48g
rv78iCYnihucoSPL9tkzV0od9TghE89Bh8w+D/xU29iFIFmyclvXpSvezcmVYy4ayfOrywKkOxby
LG79ORo5UcmMHyornylVnHTdVmVCC6CPW9JqLPZ3Hwf4cdMew5w9fsfn7GdHvrYD4KLO6ea/Wnv2
AR2NU5FjNx9ie+LDPUjjw1zzifWEnYjkvoFgmuKx1ULzDoyy3q7MqmxjOvctwl8RWrP9588Md0Ty
zVvAz8xxXz8zedZSlltl8WzUmnGCJiSfWZlNbTUQhEbbzsTTeeVKvv7SLm8QSlQWZZZoEzmOe3b3
CBtFdhLpxTP7DezPAmtEtk6jWnzrUJ7ev/9OLPFz57eNtQJdvcHIiwXqfKlI4BXqGOaeRerawBDF
NOu3c6YZwz6mzJhQlkxTtdNRjrteT8Rn9skgAiD/UWlzVURXzl1cnLxtMyJ3WKgR+PDWnP0cq6kz
sjGt8Dku1aB/LKbGBXLH21LWq1l3yIT0FFErg03IJoDkx1r1zXiDyr8E6Q4HEI5dX01W4OHkE3m8
zozUeZlmyTtnhUCBrkz2Xw9suUFswSBvoPqVeBGc8yVlzmNtTJhJnoakg4XLfCwyV6aVGIwful40
zr5sU73+FKZOT1OrxVp8k9O8l+v3b+PFgr/Is3hgXKaWfFXP7yJTeVmX0wS6xsnDUz/RGvXmJC9z
bxrN3sfzgq2EFLq4EFeO7C5vwKtV1UZ5YkJfR27AonPxuJIxOAWs5M/A8AziqzBPfK6QVee3hYFq
n5yF3vGfJcPQDCW+RhKtrLFJE3HqZ/+AWMjHG3aVdX3CkhIQuMUEuFpLs5w0T8WBZT/Eo0XPdGX6
IyTdLPLL4p+ZpGrlDU6SyI0rmwrRfyQrw5uE0iBABMgB1kUJjRmladLZxwZXtf3cNq782KeNM/1V
sTzltwPgJqy8Q9OO8a6WTZps2c7NjYv5MzPmLbKepn0pq1Brvoxt6UZfGCm5+saEMAO2MEdt9hCX
ut0/dYNu+LCnlWZUyotUB/tgpQRbjps2Ls0IXzSGbxgxA7CN7Clp7DGF0BDSG3qE1ZXgNsyCtn1k
Ccth14VtnD4CSQrNQ9tabTKwP6JJuA/qDFiEjX+hW9X0NWDADmzq75yxtOJTRmK0XA1GL42/JnR+
jA8na2lisXXtTRcQeJzBdoqcLmUyOGHJatbcs9m942416R79WxZ/ZQIXW55PUyHFEpIEPUCeMky2
ZM+gISAEmpiPWMeafR+5ExlgVdXlwsTd57thsYPKSVSULyk8gLMUozE+ZHmOa8p2oScf7CbAp5U3
USVuIisb5R1UQ608vP82XBYhrkTmQ04AQQGSh/OsurQ1a5lK5/4pIK9Q7RZuao8cRY7jISNUduJZ
taHyZlGJhAQtQlPsorSPoDtHEoMLgTCxdUdCnT6/DMr2xZVVblnEXr0y/DyeHSIMKENc5sGvPypV
RAJx0PbuqZCqb/+acxE5a3SQdf1DRojxvN4VbbIO2HUXBKP5Inh4/wJdrLL8AC6Qo1sUig5/vf4B
WRjpGW5J/9TPZhxt4kHroNWObbSnJMft/v7RLr8xrsSdzdmyE+HEz4UVlQZhqdQt59S1luofnbRK
GyJaEoOm1E88SV0MzlKmQrPcMKLDPSVGw8r3DlPY9MoX/WKpXH6MDfTe4b8s/VxAZEjiTaq2czCZ
lk7N10TNIyF6FXG8KzMYnWDdQqkFczMQmug///GlMAycrTyY1iIEs84+7pO9jKNsR54yTQW4nUha
Szcps2Ngx/gwIu2fAqL0tDWTwdEGUlMr96WAFxx9Mvqg1jZXfo64eBIN9dP5wvKL9uj8znQQjXWt
z+dTI2XdnlDi+YjxZRzj0S7yCi7hrIfVuAkZ7ygQuSNsGxx4XbDNKBtMJp82zrj3f9TFNxULPton
i6aJpKBxzl5eA4uAzFU5nVI9qrujrya/u29QyvZ3aElIEy+rAuuwNtDdX1Ncg2QJi9m49pJeviPY
xXQX+RzPCq36s3dkVu3sTNbYn3Lhj3IPQ2P+kmeWUB96G4en9/5JL7alszUBWSeFs+SxZGty/mBE
NCkdKq3uNBaBPhE2rYBa+3pKKjocP8YGZaf37hNEJ5/GYT416TODRw1cduV0+Ues9kDomV9OyW3n
z+mwH7UaHo1Lftd8C8uS0O+qICIDqUeq6dFT2fQVJkXbdyRewwA2VxRrQ7t3EWQMnwJoHYYHCk2f
Tn5Jx/tK1XBZ57kWDS7krNibeAnP67yJ5IaJHm9z6pys1T+IwVU/+DHDZxRnQzJjdKl6zaMh1jtf
49GgQ0hz2YU3a6a2zYQ8N0dPGQOxtJaaxuoGpJhreTFmkPnKT718HBWvrGQrRWgyq9dS//y2lw7S
ZiKbXCupT7r+JSgNs1s1pKWcYt/+wujLeKponG2iQmNebhg37z8XP/sDr78VNO5dhzWLLQEay7PD
t2Ul3FInEmkKRUdH34wIti++4tlOH4ORHRA6wXIvazVCMCz7G7NS8kaPmKrHmDuu7RYuXwryXgxC
liQSxQWf8PpigIEeJ3Oqm5NL7xQCAj7cnr7JiJahWjdCK6vMm2woPD8otudoA6R3kfPjyMVvySOF
wBy3O7tQKiyaqo91Sqo6xKZ5th46k4f+ymJ/+aVdNlN8emj76MI435QOUcueAP/KCeKH+BFRMQUP
SQuDMV8l4ajSz0oNBAmkbj3GPwI/J934/ft3+VrbLAk8NrYNrfHiOWenSL7dGKQnuh0QMwyAAl5l
FdVaT8vmA1R948rqeXmHCMDhxtgEe5sGAX6v7xACjLLX+5ID5r3oGZsN8Y84RNF1jPj4NFcKiTdO
j43q0t+ilqAzfLZWK7+ywG25ySmiPt7EpKV6DWXvNiujee/H8H3fv5xvnZ3Fs4cu3UXvft7BkzaV
SsgQ49RDF33pcpW4h1kBB70F8lEVP/74aDbtJs6QJcq46KMMMKZl5I7kekJJu4tVWCaPyHJm3FNU
ENfWxDeuJUu/RJa+eAyc8y9A2zTovbQoOgGbDO011DO/fZwNsOV41Thz3CpTXNy+f4pvlMqMdyVN
4iWP8lL0apBGTG5j5h6bwMqQhhJA/r1UEXnTKEtqQPswbYaPaT6Hn6qu1gfPAKqFDqwKi/Q+IUO1
/EDUUIa62Ogq/crQ4c1fZ1AFLFtr/jq/JoqAV4fPnH1UmM5VsgIfZZjrkixvEHJVbkyPaJP6eYto
QFASmGaJFChTwbBH71c9deCck/sC1lOebhFmaVcekMtb5ojlScTSRNeCGur1y1YlfBtGAIFHn06q
sUnjOQSDnxVW8BlagNvsEM20396/Y+evAFphdvgCXxbKc2r4s2OmqoNppZrwlImo7leNLnv2q07v
g/WctOTpT4/GGdL0Nx3aCwbzsNdnWASzrYWDdI7g7aLsDmFw4XzFx0j4oS1JXmmv1EHn1Tm+BUH5
p+tYWLGwne/ctDBvJ9FxvJLM4k9djrJSYyGDpN+JrPAiQ4CCT7NCXpNHn9/K5cBcUp3TXKJZzyvh
RqS0KmdhH/kWlS9NEpndXSb6eUcUhfqm4zso1u9f2ott0XJIOoo6exBWT8729bUt2wHyGSqyo16U
dnSneqdXqy6xndxDhZp8IRuhrz5kUxV8QgaYuTvmr9Y/U5jpxZWrfv6Z5Jcg+TYJeTOY7F1cdYvs
Bdnoln10yh7siOaO20U86TFjFgezhOsfw8T3jGk2d39+ESSLHZ9onubLQjAMUcNN5EodC6QB2wpN
5GMmgjVVhYIK7Ac3/hRDFeVx2JmWIuFpHIcr+9M3zp4d19Iw4KHjpVoejd8qPLuwUyBXiXVsYqv5
C8WxfKjm5LMN5mxbZdqjYAHhyUv+dCdqESfIgq+wZIJVurAFGfOgTaoo1TFPJzfYVoOPAsiq+5Dk
WOQb5YPfVmO5wkip5X/87HHsZQKnmOly6ucNQwpo9hqlYR15t4wQpU/eNZ/SppmgqU5dUm5530yF
di4wvjKJCcliQm9fTgf4AKZ5bXhwsaZhDaWNyjLqMiShrfr6DmRp4KLxj8URRaW/ibqyea6LMLjt
seB/f/+Be+NQTH8UzzsrN9i7sw14EGc1aUWWDn+tbuR6TBFPbFOoa+7XcCCz8NP7h7tYVpY2FHOf
ZXGhSXq+nsU2gZBlCzVwBvA0PVukl3TbdpxJkgC9vkCNNDZ3/pX3+WIVZe629Fq4RbxZNJleX8+K
phVFYjYdKW9kcADjv+DqHLcoTlpWjQ8jZfywmQYdrOb753vxLnFkztdhEWXT7OrL///bu4QNYsKP
mo1Hl/y2rl0ljjNb+34x1DwkWk6rpdGGavbGLM3zPWl6RnXt0X7jki9rCT0WTo6v8tnr7OMTGiI3
7dBgU6KINOoepzRMqxcErfb8QdOH6EejgTV7GEphftItNyqfaDWH0TZp4S6BdUvmf0Y0L/G6CkGL
HzSs/dZdTX129/7VeuNhxFiNP4+LRh/ufHPnEz5BeEmlH5U/IYJzkzivVoFRq/Jmsp1Ubf70cAY2
PSyQ2E8XT+DZlXGqCGepYXdHKj5Qy8Ao8BfUCUD/tZ6H0rzyFF6eHe+R4LE3aHjRZzo7HK1ihJtJ
1x8rNfXt3hzYJKwbs9TNfR1VRnLlYi6LxO87ZYttOjdL0Tky7aVt8/rRw+BeEcVidUdIIZraTJLr
16IduzYSvHzEKYgowGAwoKC2z/tTTL4LC3QHz1fjhM0u7pymWtkkBtxnBDqiRxdGvAedWIZ72kqD
vHITfy4Z5+dpor/QTQtVDovK6/MkhDkoomRujg71uAHToiux3nWoJQn4TjBW1e7o2yvDheLgTboe
21s7jJCmxrzu7rpPBy3yzLxyezDDSaWtmmmqx0fMO3n1MlluTjppOYEfY84ZytucSMOCYtvMrCvd
hLeeD66kXMbFBrussxOZdEWAlC/bI8hI66sVS/s7qSbBP7Xt4It4/9G/LLaWvuuyQ5XsUxnXnR0M
KnikIhm0x7HRovnBDoVFSycQ+bAXtfRpizk+TMPKrXN0iiIuGQmEdeLfts6EX+H9X3O5PvNj4AWZ
Crchm8uz9bmbG2wFrmiOcdEl28AQ9WczF2rDHtZfw4yq77DIiSuv4+W6iOGa93FpZbFAnn8UaCj6
ys3L5ghi3mlXcNFAFETkZjxq0Wg/iMRwr9mt33olmeXSRqUloVNhvX5UzUyOogjHmqIaj98mCdPc
2ZlLIuWV2/vGo6SWU6Oe+tXYf32gYIrKxhEF78ScjZ8imvleDAaXOHS9u7ZTuDwWKh7KdfbpS0vp
vDGsMPOZWeOWRzf3FZ1KvhYRpG67h5trtNbp/UfljaNRlrIp4fOwSCuWS/zbBzVucdlZZCQdy7yY
SFyvjQzxwTy2/r0L6dXa/huHI2feoRh26DyerdkTdFkUokZ+RGo5D+mqLGocwsRIZdILG7Z/1yb+
l68Cu3rYpjTalzLpfBwzNUztQzdMjzKTNIK7UBbmDuAlroAVrvISxVTPpGBLdBVi3/dPVpyPP/hS
WNC2+BzqNDUvlnI6D3w0BpCVuZ1lycYntqXYdbIsg2pFxCqWm1U+BU2y6oep20R1a5xa0zfMHQNY
M049LaYd1F95T9+447DICJ4xDUYCF6U50B+9KzBYH01ZsteZhObGOWxbjZnUpA0GiRrvX4bLhYHZ
D18Tmhggxy7e0lY1emSZcXyUuZ1u0er5sQdksNkK0REplgRkjV95zN646w7u5wV1hlRMPx9Axsz0
YQj73RETfbllFd4Do0+2nT0QBDCChRyYul9rJr1xnhQ/PNdLMcIbfPZsR7kPy8JU7THA+XpLahM5
7FMkdkHYJvuwH5NHktxSDUBvGuLvK0agnmO6Svvxi9/M/Z3RkbnQq6Zmd9oQtRLVWv3nt4Ibv7BB
TISRF18pjHXomSmWjm5LTgoyBojY2ixvB1UO20if1ZX2zs8ew+tiAmnTzz2CsfT0z4smkxYqJnTi
U/wh7z7rcbXn0wG6twh7dbAGiYM5SCR2uCois8asgh1JT8lXy2kte1fMSU3uKSE2KwU+magmLLu3
KDqjiCAsLOD8+0v+RWK+2KE/9l5fhPGDCurkSQ66G6w0v5/+uKiAKwRAYWGhsPM5X09mcyD9BcHW
ERe36eyMumtg58WJRQD8oGnH91+dy3eVydAChuBhdgx4xq9XZ5Q+7TQXdn7kl9ALK/H9sFqOTjIw
zdX1K5urN472c+dKKUPZR/P57Gh4tUeNuBc2k/gBWR6T4j7U+Q8mwaT/F7vn7/F/Bz+Kp18PwX/k
XfZURHnb/Nf/eutosGhYDxD44Ko4O1ogY8BLGTK9kORpWjAE9ZKXN7cglYj0Ibzpmk7golpwl283
TTibPhC717P3M0PvAENa1w5pI0d3jZjW7tATJZS379+1i4WAA9Gspcm4LD/ifJM6uraoTT/TDv3c
Tk+kp6ZsFIL4MctKk2E8rODVv3FAC7gMPVRK9/OSgTDamoQa5R9Ishog8rXN0G58+Ewgo1leJy92
ZRNdOcuL+0fTVijODm0WzK/zIlNArHKh72kHEln1rdP684mQZO37zFfLvnKCF+s5x+KWmS7zUVTH
57duDnNMKXmqHdxJutV6LqtKEHjRERib1JMOHY+aL9+hYGjVlUO/cTMXjQ8COH4D6sGzwl76eqtY
lP0DCgHwwATBbLUITENdBgQ5iEHfvn8vlz/v1YqJYIfPJXtaxib0dc5eC4M4s1BzJu1gV65bb7Ix
1Op1UIKkBqpFeFwmHVgS8Mvi8FDA9vvjuwrvjZIF+ZCg4XleD5Y9k4iO3LgDSY+V/UzKKVWa0sih
Z2xUpd/eP9nLZ4jqnfGlhSZzKeHPLq4N0rMeAt09hFTYYkt4nPRZ67Px1KZmml77Qi/X7uzaIn/g
1WdQzst5fm1VH0eub1T2oRKtnnpRCmN4Zdl8YjaxbjTqb5gBttxEKNQSBNwEIcobfySRyCN/IAzW
JLhBftPJoPnjTg04LLZrbB/pqbkXRT+Zg5odEe7DtLEeiUK2m51tBeGOcCd788fXnO2SVKyF5hs7
VUmOIDaoyT4wBkl0wtsCBXAitnVt2NKlj5Ae/vkBKcHpKCAxuHykDDH0pILX9qGQFTEWHSmVLeGj
U3+L/MX9+P7BLl9XHFQMGxzGqXRszrsnuBanRbGuiLCCKt0uHtGIugpgS2vsp0DpV2r8y5WJ4zHC
ZGvIFJ7hxutvpsix8UZ9pg4BWl0vBL+xF1KPv4elKPZR37oA8Yrs3zhJxFRUmXw63zCa2KlkVpur
w5AMov8QTFnyrTa04iPhkdoHJx9tdWUQ/9ZpImqkyUw7gXbK2arUkpKRcButQxb6mB55V7TkAd4K
mdD0SGv70dJD4u6g7+jFlef1rTvKRgUtD03uhXD2+grndQ6HlsC0A0mCeOfIpoumvUAPHa31cpzv
ixDKwJ9WQgwLFLs2Gn1s3uxzT4URD0AjI0rUtCcfqh+GecvyNUIHj4x/4wHiKHy4LbZlF0tgGtty
TmvLOlhOFO0yMTH8BtYD+Yoo3LWWD0xi8Tpe+cpYlyshzUWKWHhg2KPO21UpcL6mt2rrUOtWdLLK
YLJvnJSw2w2Z5Orlz99JtmMUXhhkEPictaPyPpAToRzWoetDsSWlRN/OozW+lG3ue5IUhCsnx426
OD1ObFngGcIwIDnf/2HTnelIttZBWnWqVokxNJ9pFLbylrlAGW+yRmrhnRXETfWByK48OgS+nUxr
Cjv88Umnc+kd3c6GbZxn2rQBTZSELxgww3KfJZUTHKIm0c27OIZwsiUnh8q1wA1fklugM2WVweCj
/I7Txpz3WtuRfEEOhV2v3HKGNeA4RFNTlDW8SlFdq/hDFDGK3sRpCK2ZXVIud5NNbNLnZJa1ueok
emtixFTnVuQm+k7t7IJpgrpL8EyHOGEVC3OUB7y8vbU25tyst5mdxdb3XMxaPqL+dvzkpmMaKLeq
aUztu12l/bMRqEoRZGYTgPnC2AyDLUHRbA2/ZeSyBs7GB2Myz3sIHSkR9GHOVAS11RANxN8OdE3i
AWXLKgX8ZT6KVtM74YmszppnvVY4bVZh76gj3Y60X3V6mZc7vnEGW/54EfI4Rf7c+KrBj9MhqCdH
MX8UtSW2jabae7LUui98KqeNjOqZ9MaZ5Y6Mkn/q2nKf8gG9AOi4oszX/aQJPiht28qP0G6GZo2Y
ozrVUez8KOvRkgShiXw+BmPmLLQrP5d7aM9JtxqWDNYtNPFJ29dWsuyy1M1MeFn0OaPmGV/0vpvb
Tyjks6+5WQCGG8koJQikxMO8onEtAl5W8py8wEjGbRzX4mtOxJzl1WZETFdMMBjQs9GysAw70UKI
QUdyzDKB4BQr/pPM3HHfq4Hwx1kOZclDavjVup3N6ABlSWgruw50r+uirN8DZ7EcQoC0cV/3bj09
1P4QjF6uFYz5iIvsJkJnVCkWtTEccd/KtPp2YluerMcY9LYngo6wI5cDO/y9grSXpVl+A2/GjR4r
u5qNx86MeC9FYIf3kcjmfmUksx+vhJ5ZmKGb4m4wZPUM1ynR94VvT/r3Hklv9M3sSkAisnCtbDPU
wNtXesBw+K6BxW7dMu7GaKXZveWNTTynzzYPsbEbzHgmDWzE/F/eT7qtkw1XZFZNHEvcJfdtZwGM
WpFm2Ef7gqIQBmMWC1CFgW7Gm4pQleY+Rp/DvZPx88jW7sVNzMBYuelMQDV7WH+VuEE7eJE5xBWW
BMLrN1i3Rwi8HfF5pE5bnbUi1HZBcSCwM70ojGXGXLr21dopQv9k21HiDb4iUSWdxZF1vIu8PEg6
sZJ9nP3dzAM57u1IetUmVo7/wZ5E+uACNCW4Qnf6AlWvqGAEY76G6xUUs7+a3T586aeseO5Vl0X3
jK7mioAzO0lXdT13xEIGPZmPfqWyCfY7fS6vDsjTJL0m5xusKvuecTnAErIBWVvGIvZPhIeK+iZt
3DHx/LKUG783Jv8urUSdb1StxI5s6a7Z+QZcgU1i+tbsJZGvv5itWeVb/ogp32qu7/sb0r20ylNV
O9wt6yWa7KrM7lP8DOEKl3YGX7wP1E2Pz5+4ud7Utn3ft4dGd6P8DkAWVONAzvAcpVnm3d61ojt8
iOMNaZaDv1HTFHxN24WKYPeuQ0h4xy+HuhzUJxuA+o+yaVzzwD4oI8W2gZtxMkqaxWuS7Um4Lms1
l0/zEPQ8+4EMmqMwA9khMVAY2XCN5Y1nJ52Se7dh6vGDXIMy9QY1kqSKV3+msLfnJQOzUF3xcRwk
U6pVTUZSu4LBJXq8NERFyhVylnDY6SoxgnURsUnQPTKIdNTRDG3xFMNtIJdIkt6TbmJjbCfYYXox
j999tBigiuIiSh+sfuiG7ZCPobOzZuHLNR6ABcD9/yzab3RSLiukZdLj6oh8EMRdeIBzfWA6MATm
wSlleV+7eBmBl+QkhlgGlibCdq+URyghzz6wFPK4LVAtElSBf/F89oopKAtGV8RPs6OVmyqdi0M5
ByMMq5lU4Bu/U//YbJYeSsT0+k0/jOlfoQ40em0lQfkhb2K15k+uP+I9IJASW5uzJbxQq06GpD8D
6SPchTG7Fz6hUAn60Oi+aCqRz2HgIJdMzewhkznNY5EgrKgIV90iHhLf0a6V90M3mTahL37nAd8v
Mq/UwoyUAPLP1uDL5he9TKCm+AB/QIAnEB9A89wKOIJ4AEd2hIwT5n/cVlPrtmgl3924d78OAj/5
KkBt29z0FnZJJGO9AfEwnp+0ues/mm1oOPTzh0DbE8+gSuhvYvholzWM+6Zi1OOBkGzZADH35BFt
RbVPRiOdvKTyo+cRIeaadCywIF1Vu4H3i4bk8EFbITkAnVYBaR5Y/CqxVjpWv5WeKBlvzNpOb7WG
wpSMc73clAhP/ko0vdR2qP5nSI1aTtJjburzfFOUg7p1R9rYuB6xWJDE04cfUkz8cDFCVYEaGRyk
jrLTzXtiY00iWwvxLeg0t8JSh4RlX2gdFUktCAfV7QiTmUHWYd6lKRcuENbOrqfpsQ/z+ilw6/oJ
KYd+z1c0vmPPDdyEpjT72tFkEfDmPouRt4f2x35ufrgBgZZLJ9i6I7q53/b0glxPqqxfF1Wkbtzc
IVB5do1q08uyekYgYq8wvbVPZUZoHyVLLR86K8m/arNVHBq2EkeRq4YYe+C28E6yzsSwMFle1s19
8FDnc+61JTfWc7Su6Lcdfp6/kCti16fJcuzHHCySpDs9Ex20aBM7BblHQd+D17hTw9zcpDPVLVHO
bgB3s6gLkqhV7XxPhuavmB7ER21oPibh3D20JvM7QkX87yJsdJaguN6lvpLbqJvDY2h1QtsNrTbc
E76XZp4cUqDKzJr9z2WbEC2oOyQrDxwNntYY5qanZU3+EIDH/BvHorMZXWcACjmCpYy67jHVq29q
GIJ9Zfi+u8r8UhD26dqjvIVOU63aNBh4rtCFVPvRnqyNS1lLayO13K2uJY+lYxFR2KlBu8PDI5q9
OWviU8um80YqMLYrA/jPjeFY1p544tDasHXkRQbt6Wzmkuwmr2wU32hfk59iBgPbpCKe1TNFkG7G
MU7g3ynSo2cRhacG4vJBEnJ6U+iBtdHsakg9kCWzeGitooYrPCrelLx7jKrYhow8PTbgXG/pJsTb
PK8icmcxcm2FkdXkEBJePxI8tvZFMTxYKHV2SJlmQt0JTTeGISc9uTAzb8Y/8lFD0kHImlqoEBV8
WmNSwUdfdQ9SCGebuUX+JXOCWKeasfiKDviHCwyOQX5D4DUGSIiw+u3ATdE8OodEe81T82FwxiK6
m0lIPsFPmL/rWWO8TJnpk0NIcPlNTOLhjRVrpFv+H/bOpLduJGvTf6XQeyY4D0B/veCdB82yZHlD
OGWbDDI4Bocgf30/VGd9VekslLs2vepNAmnZuuRlMOKc97xDsuSfVCEvRe7mr04l7VOoRXHv1dWt
YbW+BuvH3Adda+l9jnLHvVoB0gKcWyMQKzsN39n7k7e0nZ1Lg1LikgfUmwvJL9C/QN0OOii8J7GE
5bMvRf8lT6ZbTWzN1Z6m4uIP2fwMC1yc68BVMDrsxmGpoPD41I+VYWMNZSDz0PNKJoPFeHXcidDo
no55rwSVlF1PxTYJx/Bhln6/DdzR+5q2vmls5mpYrm5TRwPR7oKqZjAz4yVL1BxgheHAKLYN9Rlt
eLTFGRCVjVIeA1BMOjf4k6rDqNwx3KPTFtOmFLbHs52W9x4Hqz22vS1+oKWhYrSglb1tBNF3lyKZ
g/O0FMteeEbw6LYeAblp2A77wdbzo5+FOBIvXFo/9JRXRIzlsZRBpHedGKuTL/gjQuQYf8aF3UXP
ZKd9TSukcjHhqV2/Lat6aVDeuuGpqi37jnqiVVd3dsQj3lPR62SR24tTUe7Nm2bs8ucct8lPgZOq
ZusTEncTpG34bZCJgRtc+UouKnmRvsCTcEsAknGrebBcSmmcJfSNPuteSe4Le0Oe3LHJcriRm8zF
LnPS54UcckyOjJ6m9FY5AwaSflMW1vCqAoc2fGtPZUbOLExjJyAJsyuIrx6DBle9VmbWjcqRFl9G
wh4aonvloOf7ORsH51ShRJIv1WQbPzzDVVh30XCOex+UdE0oXn1pm6ybsiNvQfOG45Z+NJu2q2/T
Ck9uwngsfeNrvxhcLLz5tYz3TTosgpqUzEm+VBBhkSgjU3P2nU7dA8PvbLjXHQDBvkQ4aR5wSZ2W
i73kpMbVud1tktoOMHhIEVdvNRwsgu17cBQinifd0lUhBiLRVdhZvcOaVy/PQLyGvR0hgDd7Gjc2
3oRVGNnLVF9wF19MvCdXNxj81EJP+2LvQlhSpwmB1XBDBa45kENJUg0veusW7A9elUwF/iYNxHum
b8GMBV88LN3EDU5sdWNBWTB2KMZqEVULlqs0+T7Gdwvy3y0O+oR+I2fCnjHJOSzr2MiKMYjOView
iCFP0ZvWTHM8SOsLSVA4vY6LJac7/DnL7mtNNEf3SMPgTRcYhvO0mXOjsI5EVJebjADs8a5Jw6A5
tWlpuDQeqjYueD8PzTuJVmOxxwxTtOdoDDITd0WDCvXWdGTVfgWuaNx64/VhW92Ukadaua1yxNNx
Zy7YUzVJ0aqNNSa5IHIoC0ZnMw51mX8DbyE+u6+9UXI2+lZDliw55OmIxs8OxpPCN60/d1U3N1vK
IxTOMbA6RmUoC5pkU9EaMvilGOpsFJ6mr57J7cqC2GhqcZ8NjHq+SrjyWE93dtXSsDmkNcO67emM
EXF5u6YepYMPbKPmY9OTybIvc2KhXwI12eXRmXDI3S28YqqNAfoCY9dH49osjYU5HeYyDw1wr8VO
bjgQh+YltIuE7r1zm+d6sqM7XTXmcMMmPlmPtYBLZcZzR0u5g3OF0yl+fyAVc20KhYtaKvHbKXqK
y5hKD7xu40zeEp0HFmUVi0K5BBEDEpRHOQRaH9xcmdmLiUc3fopSkRUTtZHE22GJctJ7Eb/Wb9Ey
FA4yQLqx6cYKlGounqOU8aKjxiZrizdmRmA2cth63eBFu0kIfFdoYJuZZNAyCD7NRRtZbL6W8naS
+C0cAMZ8wLc4VxmpUrvJVYYdt7lyGYRQyiz1rvczQssdzNflzm5Lt9rCPeyWWyeva+ObHXSLvLQq
NLvbEbLb8LUfpim85m7VN/s8WTXX0iEYedsisUVbGWLk92YmqkpumOOn3n3T2cShR5Y1Nyfipjx1
dSDTFqA4OGM/Y/6l/N8Lb2qzaxapsL0MxUQatywmd3r3uqVOzzDKZbXXg7G4n+s2d15AgQKxKRss
Yk8TBhz+oWuLsXgsCiH0FWDIcU8hL2C58x1MJOLeD6uqjKdp1nwwSeYuxiR6CV/Q1rnL3o7Szj27
Ec+O8TcMEutrOE3qFWls2W3ykavdDRbxxHnM6SrcjW4mp76H5Oc0uz4L5+WrTFNZPfkj79tbEhaL
fpEtaXRBagwTbB8SFDBW8xNZ3ArZIdGI226pMKuPDHf4LCJz8N8m9NHFOYHaOpySzImyQ4+KuiQq
Hnc4dxdEBenZHt9du3eQbVgv9TAUWRvbLREKUO1bGpl7zj8zyrdQ7qd3BJEl+i4zxH3uzRoHO78f
Zk+NzUaDf0ELFKnfH/Muw1AitrkXZ9cEVZitEep6OHQLuZ6fS3yN3Z0iiHzZGZJycEQV1AbG7z4K
SH/TB9NIz0KknfteVcIW8USGAkb56AD6ZwrufMaF25Tjd7vrGnGQVH0OC9AvqEA7DGHUkz1B6Dth
fG7bN4sZVN+7hbAiJ566RtPBF2VJWLYXNSuxA8YBp8xidINB35I49sFqkK/ERp5YrbcHhlrEK7CQ
iM5to4ZqhxnksHz2Icjn76WrvPS4muo7cYKBdf+kbGu2viZ1i31I4fd5qeMUzE3sW8TRL2z4bAH2
7BZAOmImmHaeG0INoJS22gI4auzfE6wqsyMR0224HQcfEhWMjrC5ywdbvDG4YGWyTSaATR7hqtR1
zTLY+xnDD8LtMr3UcTIO4XSxEXZZnxcZjMHOdaUj742yHhu2eyMMNzbDy3Jv+pWpTzpPPHFInbqC
09lPZr8J+7T39lOShgCVldPY4iToj69hVVf1WY16Ye032UCWH2//yE262TzRtuXYiF2T3kZrFjej
NzZ3Mp/84Uy4fYVXdReGivJjmflUB28k9+TMYWXcR4PoDVJSaSJeGBz2/RGyx6R2WVj13+1IkItu
NuzV2yU3zHLjRDX2P8yO3Hr6NATzJG8EG5qxc/zS7w5T6oPCrboR5JejrLu4N5uJSIY8afLDjK00
3SYG2DhFQvZU/skuvcw+1mERljR3nTFtNVmE3t3QTJE+5EnR9V+Z587+rU7A3m4w3vQCcq8LpX7Q
nAl7h6l3NpxkLuSw8aN5fibosXD3LTuC3NeSudo2JBwr2VqF4RZPbC2OeUdMwrDgth2k1hXBYt4i
UxZtE73zopvFA3tR3992Yzk62PNj0nEs+yx9X8DUfKLe07a/Ws5qYz47qNw+eUEfmBtHMzVJqc8y
0BSzb1yK15nx/1uFaY31Aq/apdUZkmI55MTtTrdtZWbZsRAzzjXlSKASJo9dG+x6L51cn66YTYrD
ZCib+2HAY7vb0C2t/x9gqeLVNJpbKJ6NfSCpOCk3rF5L7Uak0/4RTNjJHnPmbgY9lK3cg5FSHVEO
BDMImkhDdBc2MzkMbzWOq2Ns17rtb/ymfQl8hhjz4qoHMczQ2GMCbOfxlGNo0z/bIs0fKNowPy4S
i94Kv26CPL/4ZU7IAoOMdKaNBUk7mKXZjgsBlHUO9ihEHR0wD2n7fYlXL7YxUZ5EJEdVSbur+wlz
SAzHsmKnUMJoHRuFs0I5ZuFCvm4DdvGdICHd+1GXfqSKR+CxqPlM0T375bY3MKcGoraAl9NgM5lC
SvFUEf3usfIniyP/j+Hi//ee/IX3JJTfgOHtfyObf0nTvf0+/S3uhkpN4r34U8DZ//mXf88gdH4j
QAd/UhudKhPhiGH1H9aTPs6T6LdXRSlGF6u9xn9bT7rhb0wQCNZ14FXDfvecfwScub/hmQJC8fef
WP+J9eSfR+Wr6A4/hgDFOlUm48KfyVj47zZBboXq2PbSuwOVrj67CIGsLS1VcuYU0Z90YNS/cAr7
Mwa8fip4LGU3nwi18y9S4TIcu9HNcuC5wf7hlGqCQ+kQ3VmY2SdyzrL/aCjPNg6bGoYrFJIABQ4i
iz8P5dEGt5ZEmH+UXs9Mzcao7kjRml9n0ZrnpJfDLzDun79VuPBI6pCj8IlYLvwsZrVFnmCanRRH
j5prNw9SPVkrJO8W/GE8pBL5qtXah39af79E1tfbJPnOgy4CcRxi6l+cDnNJ0+GBpE7mFG4XQ5Sb
ipyfQzTJ8Fm1nLb//vMY/P8JWMdLArqEB1ecuyVFCyvRP3+xDdjBwgLLjxrO15uUunlhGtHc9UPi
HZMmLGijfXM8pwNZ4GRKDrsxl80eUtl8dM3h3pURnvA1+2MhjZxzE+/rTdsJ90xraT0b4VR42Itz
OG4zK3PPslDyheGHc69gDRpbG3buFn1KSXOZtdE1s5eac4k/zAubEIsQm807lTre0Qk7+SKz1ruk
ij+rPLyvN95gmDce5gk7JyztZ7M1AFjcLDqI0o503DW1/QzKQZFtGtkteSHzfeVzcXWUyI45sOtd
YKdZCBmN+s025nq7Tp3uOsZCex8/Tdo0YQUPfIc2bL9EbTsS1A6OMpyTEGu7N3LNtaj1PUb74rAw
5voS+dI9m0vgnMeIm7HylNw/C/XYYYayW8ZW1bOEon5KbhKrd/eaqfeJk0wc8iyqzbgMGfRtdCSx
kNWkXj8tuN2gm0UB+WNJqVQ2eWJP+yroCRWozKrcaHP2u82ii+iALTm3WLN+D5XbyxcaIWumzbfs
VymEVX8y7SZYdkUYcA2oZZruRo4tGcbArvUTAcH8cBYTj4tOv3mbgsQEqUv6cNmNWjJoU2KaHsqZ
hRUvrQwfOHzDB8dMpd4zzeY7l7qc8VPw2uf1PX4A9W5I6TR8/7nz1p7ei7L+E8THJY6m3rqMWPPs
VTC7jOVy0e8MAHJ3qzA7p3bkaKWxnTy6TEeJh6QI/B8eHqzPEzPKOysy6kcIMwnVaiaeembPVsw9
TrAcWqia5bS4t02TezHQCec4FiUtcG9VvrhV7psbQ2NJF2fOqMZDqGr5nbaWRAiytLtNTVR3s0XI
UpoXgZVkhTk+3ebBEvicmXYKCo9jU/c5B4S6Dyq7xnoOIRrXKftNwgS5R5mmwxf4Wpl1tqYcHG11
3tzqYUi/wvcxvikm47tpiPwXm3A7eCF19QQjNGHRRzgbYsGzUGqMXktcSk7qauzQYH4zrdH9bIL+
7KJGhA+2bHhsHk+eBWNvkjxv7tAF0OFB/XvWixTpPuv9Kd2FLT34fkoRzVJmGNFRRZKvhowsetay
1PfthPlE7DcdMemGy20pQYRdy9HIKN/IoytUwuw2GermjkRzBkRjVOJKDlTqHXvfdc6zM/L+eAK8
08y9Gwu0dDeaU3THnkcsQRSW6lsbwIAAhSyeSk/+EF3YX12p66vLwPPL4mHitsefybvQWTZ7cvyC
B0f1hXU2s/UyysYCn3dUQ5jubLLYwCqjw4DWPt1NII7W4WO7tEUlbmXY6/vIGcTBMtgFMsHfLE1e
XIzwvGMz8sgCV8uOkps0a6YEHu+eLmZWepcnMj3xb9sH18lFEycQpi48at5mqw0fSlJtAFzL1DpP
JCCNJKyvVwdG7xyZp9jdbhCD7ayq4PKKSnw4JuTzxhX5ZnfoDZIvSTFWTyLMiQU1Gy/kFMMqfmt5
EuvzPiR3t3PYV9JF0Ezh5A9CZysIlHkUfVEetPI495foS1fk9RO5i/Nw9NTsXYwQwcfOWph2xrb2
vdsSFexJdozOk6lds0G67tXubep1bC/G3eD1PEVa0dnaoppwX6e+CIjsU9yxO5rvESZDknczCK9m
UbZv7JYOppT4fV7ysK+3eH+vIRWjqdY0I+Z4xJvg4b7tm1nfu4EiimhiTeSbsZrFIcAkEGN3ewU1
lMGy2nmySvQOryzv6BWrZXxYFwukkn6ULlHtBElskmEKik1aewQgRe7ChWXdwGN1df/WtXnzZHhR
eChcKVj7KitvySJlYl5TwZcaRlXs5lC2Nk5GV5iNyrhb0NZ9khC3QR0b1nQhuTuNepp4Y8hAl6Bp
+VFG7VOTT14qpCCzNV6WDIUMzjEdIyVoAJOAkI2xW0wyl7g2XinOYYF/FCmQd101NhefJAxYUB2E
+DHtd7OcotP8sa2Ts7xsOM+jvQtRazsabf0tgUZ5dPJl+ITR5LgPmyrfi1mprW4n75yUNUHxMDdi
rIsU/Q4Wh2DzhEcS03S0Aba3eHeF51KExhOsnuETw438uND/MjxZclIbpgCRHaNj0q16JqylH7B9
dVb9bSB97FBlA/dFaCBuHXl/NhAZvxrpOJxGzCr2wHDLnuil/FrKLviSw8TcLaEH0hyINSTCww3A
88lIsOsaw0wPqtK2cRLYmZOXJF/CQhVvaTFaMSbA+b60yi8LQVyPMHXCczHb/lNjq+xc9xZxF5PD
1LcLoi62BqUODOVq9HLJjaylxUodA3VndvhsHwx0BuUpm+3yFReAcrokSYW/IEmqvXuDe7kjdpzm
vJMVeKAgl0B2ehuVpTA3iessDQy7yDw1jazOEaYVR58ojAbgAeIja80N9hCFsjvprYneSIWmbQ0J
e9jZqR6+R63NceAzyD4vuaWv/jKG25BkhbuPxRSNTWXwxHNCoQTxBjsI8MU2yO1iGw5TgbcO4G5c
ydakjsVK8gpNqb5CBRGXHgIXKE/qmacWdkyxN3n04kxWV3dJO+keFgO/NE3ZXR0NRdTYAbM8uGg1
eME1wQ3szGkfnZjq558KziCSCCfpMyhx+guWPll6BMLJbopiOXlmH246P3OZzaZVdmMlxnyCDDYc
kGi6F2fkx7OY0ybujdG7znLxrgNR4uBi/cTAegjKDZM7P4m7qRvJQDGXTWa57yguKZKT8Ai2+DKp
Ot+HOsi3YJzNBf5uu8+y5cc4+69lxhzIdRhyX5SHNHtlTrlUnFmwY3if8yJOHKSwYjE0bZklkxaI
of08u5eewPANHEoRj6CsnPMyG1y185jEkFpTkccqDhMzkQuGzEt3N2rNTD4xoVAR/bhMDWVVwSYy
Eqkz3mce2eMSJWG/KZjw6Keh88wDEL919ehwNiPtOSknnqc/hQ5RFRFCm6MJXelWV2HxWpENWOdT
cxv2fgPvkUJgiANVKgYIgJJgqLLPjoNtYmpLbXUuoPXZ4CKF9xWEcsaXVnjbSNfeDSw2FlDpjPwS
E3fDhGIbrhpoHGQqwlvGafSOUpLBadRRuMNjxH1LmTSIsTtTYqRXZQXykrrOdB6EAnKTDi6LJAPU
X4uGOFFNZvPbZGX2bZ2HWE9xzg1vpdfXe8fq8wc4WiFneSedcz87xbmrHXcHMaVbNw4/+A6lJaMK
y+zxJmXgeYIT9r0njxl36CV7AyyHSjEJO3pI6s60d61r6O9Wi3RoK31DwRIgTXRqePpO5lNblgxg
YrecgBhVNxdARFx3kUhrq5z2tqlRaNZp0j+SdmjsljlM9ZaSDsiI1/ZxPW1HmKhl8m2GmbEJsyb9
XRLA/WCJoP5eQ83ZV4bhXLF3zphP2z1D8yUUu9AZyufG7bxYA7l9DX0/3XmJSdxcapJnWmN4R1ZO
btZPrQOqm2sLkolIOkb6c5Z8q5xxYHA/CTBoR53cpA/2sL02/byuLH/BQF0nVQJhEFxwj8lwy5MR
ywaPXrif2CtsVb46Vjp++2yspoNOhNK6wf6oLwP3oEd7hM9k75OO7laGi94k5vR9TnVNulydXeYh
YqZoOXd+Zbznyi/fgaKrjRFYAO9ycK4WL/quCxehN8Q6hcwv8nKbTpW7FYF2qeu9bu+0U1rGRDgy
3BKudY0WWC2gi1+wZEouzTwQVlADShIjY1axscChEl0jP4dmm/7OOJjvqcRy8Ni4Y/dckcuDpCPy
slsjNexNKlPzwdAK/WtkLCcz7dzDRHl19MCp7+06PRr2YH4PoPA9sqjhW5Uk+D4kie2cA1/OO6aX
3mXqaaWiphKHJhztV3foVhqtE5VZHDFCLWNnQdK6XazFHHG7tu3XFrltGRN+qe9DU7inMRuaO/St
zdso6OQMgvOqODE/WE05HJIasOFZ6Jmu03CGNae5Drf44TX7uYoorxTM5f1S02s6kNQvTpGFDzmZ
QCQ+tcVT7QQCc12/rJ5GCAbTIG69VgYngjh/6f4CgPRPEqKP/hxSeYQv+wdn/2f9Z+uE0rAsmR9z
kMfXdtL269iFFExjYP7e0AqtzzInmUC2KSbaaujIHeH7u60crzijw8+gQoeTPnWzrB//PXrwr8AD
PEpMOEkw8wBmfpJTdYvOVd8X4rjGGPdxVqY+PBisO8rYjvIfQWOpb5Wm+3Y4SnYmmY5rehN1/dA2
hH9pK9tOzO1vlbK8owUb5Eteu5SkkV3JF+hiTAr9wTnbpXRPdhURC9oDIRhEoZ0zlloV9w4OpUAl
+n4iAYvxtF3++Cg2Pz4rGPmL/pKvvdHEUxUpEO02DTXdAklIEVupMKgRi8Z3Th/PuJZtvdX+7B2h
BQS/0CX9BJmtUIvDA8WsAgkEcOJP31ZpUnQbVPdH3Af1Pda/jDEzWhEwlpHxDTf5C3Tnz9K+j7UD
MEHTjREZorefsR2/Iwk7dXxxJO6bj0nmkPhvFOqUSWzFVpiWIDUoQLZZoINfCHj+xc0iRbWBBxl4
g46s6/qffB4M7CqGej37Pp5/lVodnbgj72hpSJPz9R/uc//PQO71g97rZu6g0fbqf/3PPz54xYz/
9D+7CotDbMG+d/PjdzXI/u+hQevf/L/94d++f/yWX+LXIJ3/9Eb+Fb+ux69/e3qv+z/nJkHLXP/d
H+i1F/1GDPxqaIoCH5MdP/oHeu3/5q7I9EeUS7Cqav+BXge/2St+HiFsw3T1w8JM1UOf/df/cJ3f
XIBmd9Vrfoik7P8Evf5pjYJ4EqsDIQ9jK1TgfzHNgbJFKuHsWgdp6UbFZlSxPl1sVi4fxXQ7RSt4
NubO7+tF/QJu/QvIC3XMg72zgqDA+j+7g0DEMTttQJJAFWo9d5Btr2ljh1fcT/wb14hK9hY/+IVF
KU/jz3u6Y9seezrbJjrUfyG+JMNgTjJVDQe3HomrzVMyzTkp68tYt+lnzZDt2Qmz5CUcRE79seT8
2KNRoMyDBmVDZdolpVsrWC5O58czYMtXl2nvMSOT4YL7jXXboO/UxOcyUIubHoSBjMnuGEH9esyh
kSyHDmsd4o+r+gJJi+YcB/ktyUHe1zFNrVtb8L8fH6fGRD9KIwrp/jPPuba86o/VRNNsqQ78RZKr
sJW5z4HYjP24Mp4JkY5T7UUvflkYoETuMJX7kcTiZdNJs6DzBMksN3Iuiu0AcrnJkN4cg6TKu80Y
9fmRZiE9yabskDaSUb9rFZqXOLDkiDhnLOyXkJnky1K7wTPzwsB5mN3cuXhBTTnA9hu94GzGKgo7
XV+WNZmy1y0gjcLB9Fttq+YtFIaMZ5Iar3kYQoIqWW6N1PzD3tKPcEuSmWrBVOq+IZBwiUOTL7ee
zPqSsVoptvLSvOtsFaEtcEb3Jqisem3W4DZSzxFoHFtN02RnZ6jb9zSkjeAD22lb8jJ0O7wjgBiW
DGSqMJWBs4Kwbt3WkNkZnki0Gy2GBMQ9Nyt8ZVLBuQbMsR04qQo3ckyaN+jZAEMyNG8bA0sDOCuV
foR2xbdkBIAaoMzWLZF/rXPo0On3VGzZimp4Vf8Nu8AVmQoKLPEjQTpjNzR65uhcD9A5hSC7wT84
erCTrnsmeMWAlZ5U4MF9lQfg1D0LcTQ4MHsIpWBeS9B77zSu6tbp1wtsgXBuFI7OVbw+ttvCnfGg
wRquRetismh7K+RhDLZkaQYdzqSwWhLrWa1f5yxMA6sacuDHA0k0xJ52ALF6X7cgMVvKxhSFTZcC
2tnhxO+iC+FGI4tvHDFzF25qVJP3JrFLsExM6HAgd4UFrJdM2V0PBcrdR+ZUJjv4OHZwpITz2xvs
Ki3MOXGo9K+mYctyh2y3gV308aX5dWLeTiNYuKk1l2zCbsEZekWJysXTj2tD9ywcltpoRFW9rYym
uvbgU0nsAX2k8bwGsRxIdC+JZnGk95WbYS2oZUX96xCiZVSBteRQCi9dmpWbPxZ9ZoHsS0fx2mDJ
wcdhXjrc8xfgz3ad/tHn7fiqrKRw9qXmvc+aTPnwuRLnhDSJpUBglf0cztK6VXzOdjZ4jZneGHz7
YWPo+xw6w/PQJOGVmst+ThFkWduPd0H4HY/LthsuX0cFnPChrPLbxuSVzA078M9oX/i1MM1RbNGe
bVuoAtCDZq0fESKya9ng1qRaGrN+nJSi+CrQ9FdPNgYOGxNDw0OAk3ixN/yQN7VFUJxS4dc8cAkJ
JLmzYcioLYY7K9YZUOQtnpeqlRivxbGa3GLZjK7NfzuTpY7vJCB80drPDTjSLfcYvWiXScApsKPo
RWDDQTCoHl+pFGnFTPw45AWa8fwia109pMuYH+GeD+nONdqE/YaJPnOKBaKEmSSrVKsSRCHTnTsb
wiGjq/KLdjvBOK+RNcjg3I5AQB9fD+iY+cpMoANJJwgn7pI+v8NeG/IpttQHiZXKFvg9e52JEqWd
8PPHNmsRO/bRQC+SNruyKQlUL7Fpgw7RwC4vItUdGUck75Jp5wZgGd8sZ0q2arZRp/lL0h7lGEFT
qr1lfqhkl5H/WnjoBs3Ru4102EzbEKLojYZJCs/ExWKh5WCqYhSt9167qC/ZMDRvwqJe97DiR0Oo
Erbo0ejMdo0n7gD4SxRqjMEB6D1bEaajq4S9wXbh+G57nKm+pg0ebJcZWQQw08DBJFvMn2KB9OBo
9tXgba1yaL+ACYTXzsC2LjZHqM3rNoHOz5x5n0Xj5inQR2WAC/TRDl1LZ2w7x+2IQfLa3njSo9L3
Qvn2dPLKOXoZTcmFDvRJV1V+bAnruxCRLs2XlFWseCL6bGc/Wws7e9WwT64rRgDSKmj8XoVDCszS
l6gO1bdhFZvtsgLGMlLbegStcgVvAixT/dgi9as3Pm5iw0YloXUrEdRdcivq8E6YPG4HpwE+WgSt
2iBOloeccJbyEIUJ10K4U3ecMOWD7+0WqTguKW4mMfGJ/beqXZq3VYFxqchGGIG4S/nFsrTeJtpj
NGGIIdplrMwVTuLk/aea8dczZ4ofj7GzjyEGJl2YV/1UqTvInOD86YQxSjP+MDB0vSl1a2wWaU/j
TrpF8vLvP/Cnko8P9AMfw8c1yo8+6Ocht4CyJXAUcA5ppaID84DowKZJix8IOz8lfnAydW5eF3/u
fqUj+3PhtX4yFjIraYF+lY7opw7MZUSdjZB1OFsEXMC+dE81eXgH6IXdBVJRsIGiNx+YQvzaHPsn
a6q1G6MsxwUI6xr8uLmSP3dEvm6QUjmVezCZdhsbErGXQzgu1BBWU7xnQ3mDxFyHG6qzUIOCm81b
bTrrwTsKeLSC4eee7jHYYz4Y/XDG0N6CiOkjUgf3mg/9uHXUxOZXoFHoFLOTOdPwUOE8ofaGuLnR
Sd8dhTNkB2ZK3b1IveoRS/xxo+AeHvvOmsK4q7VHwZjJo4ZT2wXtwwg7bRu29hcmnyUCmkZc4EEE
h6GzxY+6L9aDRvnV98qu7H2zJPU5FLNxSsQIPVF70Kkto//cob+NLWWVnxQOijcYJ9EBexSqUA9I
rvdr8MlkduNkMdo0hoBlPVeAut8yKdxvmTO7gKQpPECkLN/ctuAlceHATVuS8yw4CJb+hD7oDUAx
2o/Z1LqbjBiyQylytZWM9i+Z77df+9IJAhKSJKBJkLfdsZGMA3vLWy5VOjHqL8nhQdghyi1Qd/o6
hEvYxP4EYExkWHJT+bVZwyOncMMIIn3ToE5fPUKV9xq6J6L4ucsAoZJpvyxhSqk0Vwho21cM76aN
KkJrUxZKX/EM4oJqSNY5pd5G2wF75QjdBsFVMUOvjXAtaMPxGAapOlqJW3XolB0E4LPCMdxgBZ8+
+oGuHuHwLfhRDsOiD5kcit9DQnQuZpGhFUq0vytU4u4d6YbsOlb2RZCBFJuZCHadafSHVumeqHrh
X9PVXdmrnPeg1uKLYPh6v2gLSTL05atYWD3FUMNLDFSwm7ICOCYs8vNc4WRjjmjL48Qw8neSE4a9
s6K4gaUR0QwRLpk5ZI7zxxMdM7b0cGqHU+HlyZ3F63+VFRq2rJzzF5I1kaDlnjPF5lyJN89wSGJp
LfSKJJnHZeBln0uRlt22Q+Z0N4VtepkqrO0cA3tDjtxh1/V6XzUO8HNjIwpS7TUYEDUlYT0fkzpb
2aa8pKiFHLHN07pcYr+eo92S2JQf6F/8R536W2Tb8tQjPThVudTHvkK7GHjGFY/p9b7T4CJxI3Vi
ieZ+w47Nacu68978vt96ZGy9pXZlHhtzookJU/869dK+iZaZA7YqoqttUu0ir1hrK7ybqYzWSX2Y
ZN62M/PkWVUrX0R29CmJ46hvqSz/N3NnsiSnkq3rV7kvQBnggMPkDoLoI/tOmZpgqZ0SfetO+/T3
I7LqWFUN6tidHDuDLdOWUtGA477Wv/5m7VaqNXYeF5t0n3rusEFdNty3uDof4am2N2PUWj+jTJR7
hyLsHqpC/Xtu7YpE9bb5gETtHcYF3mWXEK/uu/q30yA+L2ZBDqU0lh+ZN1DQuK73RHQZs5ccVX+p
5pOmlmhD6RnOvLHpBd5yx/FfNImUXwwey9vMUdVbnyBrknbaPA1wjXaRNVQ71SY4tcWRd0BHIDjq
/cYLvbSMHhHJROfOTWZU8vqjodZ/wq25uI3jnuGS5+5R9hk3I05En0lO8VuNhX0niiy/N73WP+Ns
P13w1JhDh5OLvL5gqZD9Rpjcs1eEkknvKYudfm8szIrioIlf/aJvdmiYlpehTaoP1Wt3m0RL/Cu2
mV1fbLRqgIMmBcBoMkkOrWxqzpCK/GFrTRQr9OKc7tcyiJ1zesLybb5vlnl5buu+eB9B1PMwwFrh
YYiujae9Hu0cfD/BEKBz51By0rWIjTwkTLj5BTcplJsnbCiYVDmqE6GOf8f0D8+BWeS3hXDFTi/e
eLn+GE6O1l00jUzkYLAEbyZTtYMZlWSGxuWAzNUD/jTakmcEjfFjUy8ES0QoRDZeno7PARDdnoE2
c16YXi8Sj89nhgD2lpkuvtzKp05MivGJObd5YZ/jWsCfdj4b12OJYsQH5qBR0vyd5FD0QRFtRBNH
j/biiEvpUjnGgL5Ic/QasmiPMXcN9oX86c6d3LpzWWz7ovdapgk2frmESv4slgnuv5dNmmaLZxgF
dHSb1ch0AtKVXye8J0LOFpN+OkqjN2TTcBTGRPEkoDwpwrnLQDLMRqOx6POnNnZh75pQhvxWuXsw
z+4vynnzLyo8Nstl4EtdpwMrgT/l7NDLHLpVgvmKZ9M3bxgSR2+6sWhAEEoGb5VyoTCkbNR6kPVl
StaTFYkzX29qgEZSEbwlpbT1HmNDgPcsj4Nj0kvx4TDJvQMvqO+awfFRui3x3Rp4d4gM09ganj3/
clWQnc2GsanUau3ZZ7f5AEgfPzSPDn4wY7lqRxtYZXLFMIjY1jgKoDzexsz+bnquYI3g1Z+eXd3a
d2WUB8HO1CXEHbKRuT2NAwOj9SFikjLb+Vu36VlC2UDn/73rrgWeZ3i0r2UX3AhGTJdrIwsaPFJq
zD0QhudxG7uqesuYCsKBCVSWbdp8ZRW0i80wMM7LH8itm4/CKJF614P10Tazd5NMNZ1TS5GQgza4
oOzrkrmu02ZtlCLP8ZCgCv85HVd7akytzGYzdIlzcJpA0BDpeMeMmNuAO+R50CQNSNhSv/EGHLdx
p5wtvUCNbI1mLzMMSFV+UrxMyqq+CK81f6ZSDUc5zf3JJZs77EdnOpqME3elWYDx8MKsDXFyBkgt
kOITHAxNfZJBhtoW547gRhdIRiLM24oNuW7BTV8n7UeuaFNhv8vpwXaL5lTEaWmCEy3zzkmEu8eA
IP6NNKRGUkllo0yeVXQoHOtO3/bU8vP0LOxRn2r8Wm/V1AeHmmnVpfAa8dVTod8FdZb8xF3FPlYO
/jmLNKbNstjB1mhTxoIYtEI2X08D6aPD7kUkH/DZYUFfW32cKLpjYVojjaNanBAHgOAdh4JpF6Xt
Ux1rGCORk58i4S9fpeOOq1/pqRvz6i5OCyuDCgZfaUf0qj4t8AMxIFF9EBrkvZy1mMzH0Ua4jY4+
vSFEKGBFOFnzKVOMUNs8Spe9Vsp+u643u1AUZ0HsixNUHeYsOAAQcBsZECFaLBOYLcontmr0KWBx
wxEAJrrBqac5ThSKf7RkE8Hl1MfkJkACRjk2R58NpH4WoDsyIYq0Zf020ireYbab/9AwuE7NwvgN
NpVxQ5a1uWvz3kFybuXt0S6zceM2mTjKuegvCSb+FbhFdRiTAAchp1i+WqwbDgmly51KV9ChXoEE
lA4om23Dw0rKp32cVf2akmgLVlG52d0cMGj12vxRywiKTIaAQcZZOKqWDSUfqx0cFVTA6y4PYTKA
P+RLKm6/3SaInj6uk8qMHhjeh+1vTdVOD/1KtposgMpkYUei41Vf3lS0ryJX/EWXdHeuEyzLZhmc
4E00JgcNStPqN4JJQ/yYCZ9Rd+36kC0Bw9DrxVOCvazAPv+OJMz5SbNvPCVpvm6lbrQidsYKHDEd
LeczzA0wDTi83auvNFiVpWhATU069r4PsvZkOmbyc3D76WmCsXDXNyg5dgBafI4xqSHcQB5VXyRN
AtmkGapOpWX1w6nz4G1sBDArOJE6XGdResVj9aQ5OQgEXEnOnWdvlSViJsoFGJ/UwfTkJHwMB4Xq
y4LNCTKWDH8ANLk9PcAE2GJte9TkfujOMUd3ko3Uqma1/j5D0Zb/mGcMdsM4o88813aQyBt23knd
XYFMb9KUN2CT/BrY+di+zTaTgHE9XXzZc4mW1bhLzL14MXANaTYzVj3YapV5xYJaFtCuBLTdBqtV
+AR/0w/TIqFLaZhDB2utvlB+KLZzVg4Uwbx5zK0SMqXk8nUzxmQbPSOPvck9Jv2vSMx5cgpsRMod
qoS1/BvZQXI2rPgkPG76grTkPY3b5jZYsb2+8QE5FtkB//erYr/X/bHsBu52nvO18J+k25hWON7S
wGLFOjLIeyaqrjXgKlUZXYDoPbbV1yyqah/oarl1urZ4rDH6YNsuVzzoWvfoyaGG8Z3pCSgRtIap
8PQULwhXdoxxQKRTxWVXrk6i3ZVWmjjCcEMnG+dkQzfRYYl0ffvW0fxz/iWVw5JyI69Tl+vQoWfP
5ZmSzYdQIrgzZ6e864OYZYsXz5uZUBA7E58gSfIa5sWgwYtgOlFWz5Qy4YwThh9ej86GaciXEc/6
AxqtfYhkQ/7JlcO7doDweYe8MC9V5zvGxtOW3gk3qh7lFYS8bgR2DbA2izi4+W4QCEGnCJiD7D6m
ynNCu1q84oXGPf+ziBbGhmMU1avVreAYjYNeDsOIbp1Y0KTfsFUZvwSeCoBHztAWbD0rFiSJ6R02
ZeHR4cwTM5+xmNVXMC0Nbm7gq9FBQhr+oIH0xK5X9rjxYUctmxFUnbnFCHoeV7G+zYKoPY3WOgFg
0hVdbFe7T4NYcUycC3kkhMvMWZB3W56a1M5vq3WFdCsGPbjr8MYQJXCz2wiexgydyzNUT6qbyuDw
h7duMt8o54TCLgGJvATTSkL1rx8+1UFMyJHJ6nsjm90aTw3lYgAPhQmTNPFb3blByVvgSpRNR0y4
bO/Qt4npXir2gfwg67x5MJplaJ5N0u4/OfYA7HDK4qXiNArernVYSaBSuZ3ziuWr0kCcruerME1W
JwxYPnZAgQV9zpv4umPV15dIp/Gth4DvwHTUvIeZBmBsVFRQSsGdvxbX1zWN8pXGlDNdIYsH446I
3qDdq4tbmJnFPTkBFcGB7vyOXta681rYYU8GR9Rd19ocGE0/g32DxTxEbQkMXsmFy4Xli0k3bPcu
Q3Cgpwz6n8ttjqrU/bQrKoFTY3A67lLGSclD7BoMeeBnTg91Upm3kIm7+YGQQBAgYbJzgrQa7nvC
cavwGWKQdkZX3kOHTmxruakg25/6dV+Gfw2wjm0QI6vrtP96q3XDkJBSm52+whQCo98Vwfc5KZxT
azDznIeW3dsU2MpvVBKxT7pFzQrlUCbMW3JeOc4QvHUV1ROcL0rT1o7YFV3UxEnD3fm47qhVRBXG
pj/6L7Invp275g5PCS6pO0vkg/sHmpn4ZQz+ysXp3RLTrirvo2EXiWR+APVSAXHrZdueSmZjjMma
JFa7azluqIUbhEs6K99nJ8r6jllPkoFCL/O6wCzTJFk+qvPkIUj5O+GU9C4qaqqQbQSBezVoKuJJ
cABaaxc+LoHrbAxl5fJuWJ+oyF3qizRiVlOV4ssX0nSx0Mck88C+UgtJdZ36ZbxRRZTg6MBENFiL
sfEYoae/wR+Z59ut5Xoa4kDZbRfSsN68dJjaTT5n5snI9PyklOwPGDk0bxamcDWsxmLFhkFVrts4
LUz0YtptVmxt3uA0wB4OZZOMtyIYq8e6T/JDm5rzCxUlI8tr0zI7LqBCUQc7UnPzcpvhCDGFuJ8l
ux6c+s4kuJYXiTCFsWB7XNbx311vMja5ooIINUBd2E6+ECkKb+OKLtiPiF/fqThYMtBMjD9J76qP
Msunw1DgKLkxypQrZC6FC5KeFCY07xRCNlv2a2wtw14hHL+h0vJuK530lwrv9YNw5uSt6zp9Axmk
+ZDD7LzjX5ftg9F0X/4zzvyvnmEArjz8EJxwIGHKz9D932xAUYwbvRmM9sET2vpJneifXUAl67u2
+8/vZcGi+FeeFog+nAiSGAikMSFF/Su6O2Z02FOf5geeuYXkgGGqjZAdx3dJYc/8amNJN5KPMlOy
u+BSlF6mNkKvUCQ5svQ6q2X5SEpPeSRnqTVfMKPuDzXmgPLEyR9ZO9Zkc1Cpu0qBo2b4Zgr9j7Fn
/pk8838Pv+u7z/K3unJo/otT882i+a///d9CsbnOO/6jRPRP3VdfxWf19X/W/24+f3WfX3X3r3LR
66v8g3Bj/42cNrLiEGaC9YsALs4/5KLyb8wfWB5Y2DEO+GfCjWf+jdgXBiM0zIwmbMEY5h+EG+9v
JCrCkYGqQodLpuX/D+Hm3zkvJh3wOuYh3mG1t//3MUQ1433a14t7mger98OMBxdqBBLxZBtF65i5
02wlWNR083/Df/u3RwQdrAvHhhEIV4ev8e+piMyKiU+a8YxkRFJZJy5HVx86soAoCxN4lL7jYnMo
44aaUVF9/KGR0v9dKAOSCIS3//yoEnHkOXxxaQa8okWuxr8+qkXd+l3QuBb7AoPfMM8Gfq2jLpbb
in/2WAPmk0C2dmL2MICp8GxybCQYeUbUSTnpmV0QuNDuEUEdzcnJ7qk15xxLFW0htI/8iX0Rq3zq
9rLI5XgeZuE/LdejNcld2ZPOhZsIBHYc2IroyZqs8S9hQO6x135r518hKXxd9dckyCEOS1Mzmgfz
59fGJM9vX8Oo47bFhNJhN9dz0iAGomXKMA1M7yyEoz9g8sbFEWVwLu7LQPsnusUyBnTDk/Cl6FOQ
z4SJdoOHBdQRiMxp7p6XgEnwW+QZfPauKviZxcBe7JSiB+12Cg5PfcoHJiRfLU32HhaEMzw4Y+tZ
oYcdnRX2pGlegtUdtgq/3wTlE30TMjBHf8Z1pr+grg+07FEe/U5ocZJdRbbAL3KA+pihvvJ/OVrR
+M+4nIhwdOiAewZmvLubQT4GTW78EL8OHzknZhK573DIuYtD+iU6IFmElgdkadWF/aIl+Wc7ExuI
5ry6bpd7InAHakS7cN4zZB4wQ+wuUVtvSiCcBgtCJh14sXkZ6FO9rYrc1t02kEefkHm7eBg4GNVs
zNSe65N1hY1L3TN9AJ1Wza4IVsZKNI7NR09bbG+Cmfn1Pl+Yr10YSAWEOfts6uTKlPkNtU5hPeGi
Tjk8upmPaZmyIftnY3EjI/xnw9FYMgejtXn+8X2n4W+3A7ruFg9WzBkaFBDX9/HRvnqHCOGueohJ
kRTnGrNJlIyNbzmbpecTPdHcRiOVcx1U0CgCPw5xuGWdso/J6JIGmg2AXl+M94IMmHyHkMbpN2TF
dphPgUa5G/QQfD3XKESer2oirEhAPavkheKr5IeGof1Bi0m9n5C4G+1x/BuYu7i5wezA1WBRhVPJ
zZzaZFN97zg6N9b5NvWX2JlTMk03onfn/Ec/Kj6Osci16yG+qwwZu7D06tRit6rlquwRtc/jUK3T
feICrSVAKoQGnV6fqWoNB4YchedZKuCGyQuGaC+v/UE9lGYDYaPwhqe0tZse52tP/kWgQL7gazJl
uHx5Mimzat9zQ+ublKB0eYMqYMDMbZS6e8xaGUc/ggjp6avfVU2+nxA4NTjapKx016+9Ec1aaTUt
8src82wsqBoDazo7au37XgijOnvwehwkJ7OwDtqEKQCmgPxtj0/6CGgRNMI5ViasPzyTGp+2y2m4
pIUd92OY49v7kmQxO0Nsr1Q6d67ibldBZUdvpk3ZhDkhR2oLOOhXL9wS2CiFT4TpoyZr3D7qpQjs
izYjHLqg9a+9nd9xSXloudR4sdg08xW5cJ8zII14aRvoGs/Xh7dYdNyaGM+52r4nhogV0XtsAJve
nDpxsLwpCJBsmeqGCWDOEI4NTSCw6dtPkco42NlLibPhNFup+BkVqC/IOOmceLcIzB+3rtLcYCKW
8vIlymKmAAnN93RQSe1pBBurKC5fAo6XXSo9prE+jkHObeHY6L6yAXuS90aACmUbZ6nr5eLnCE4Y
9mIogulIGTin2ae+PpRLziDR7gs2Ggc168DU+4pM4cqiv3L28THYdCXB7I/Afetj4hQsmzTrOQ9w
wnSHS6s1GOjAoaeQSw187C7rOCF0B4b5Y0AwFl3MLqcZV9dV7ubxis+nDRcamToL0tQDjQJ/3j1g
TYja4vteeLbZfCyWy5mTdXhFb/IVT4q+P4BXB965qETUmKuKs0zuFwHO4Rv062FWRStvjWXLHDSv
9RdU00XdQcBl+8yuvLlEOdGbxEu3WA2A8mwbOwNaFuwKyyFcGBkEGwxO+MI2AX35Pie9mxyzTAcR
dvQDf26V9tgcvx/BK9CILxBPYK0Jwn0Fx9Jf8bBKKGRHxxXKmRnvaGr1VTZC9ZsBcARDMeanNkrt
ls+MhqhnmkvXCI0nWE+yOe6t1fpNcEvbFC+X3dAbFCaMMqPxNYVmiNuxY6fT/sqeidq5GM4DC6/b
RS5qV3BW+G+hmcBBCHGTAGntY7aZWvlQJ6sVWYwKeBDMgdcTBtsbXrxqFv3VD6vieqRxZYfDVaN8
h8BWacBfgoDvrX5Q00+JqiE+jksyxZcmrRjXkGC+7vXEbRI/OykSa08VJ3X7y6qEshJGkhnnj1sp
+yWyonlgemYmzOjq3Jy7HVMuK9+TAMGHaIHFk73nzvj+jWrmyqPY5SPiBA96OWPzxPGCBq79VeCu
h1YKL8H2jeAlbq9rL1z1ebWKxZ6ijfAPK5rGPWJa00f7JaIoOpFT11XPACs2MvfEz+yXdadjQm54
meegS+Du6SjjWlkm7L+zageLeBo0BvHWiMEZ956Dgc9+rc7YgK+i/ymuuaCxyakTRra/oqy4cWDC
iFkeu6GcZ8MGdWkLIFGZcG5+PyuLs166kvmVe+iDsR6ZNKpFXeox5cEs55qvXWGWBd/zukzqCYLI
JXcRuUO5M4ntScqRZ06UtQ0p059ZMhZORvkelTWv/A0QV8vARbwuQiBbPrNbQ+E4XYfii9kLa1vY
nqb/kuvW0LpduoybHK4jmXgCXPzeGlY7bkd0Q3NuIAbk+2zUk7VFGcYCupLGYr/q8t/fCvDRyyPn
9HfN+LWIIqSV5XrF+xMGvEjnUzyC9268ziFTNKpUdInlMPS1qdqYawyGeLGp0djP1yWJr7vB9iDW
H6+8jgnJdRl3Jcv6e3TZiRUJhULP6dmPPmeS6Apu+UDmBMCtix71GBgrigI0VnCz9eSzjhzJkXfo
NHnpu+8tTk1e374RqbweYvEkwde7CPNWX1bcjGKeof/amAk35yJaN10LUz77vnWjoQW2NMBy25it
9ZtgXBre+hlczT7X2JBWH12rdKwd3mhOe04SnzIBeJ63+v6ESbkOK710PcBrj1k4wvaa1YLZ7zLd
pLMTFV9VnBrNEQQwtz8gzo/9Z2EM2Xgj8QeZndBrFoGCrcF2Z/O9wSaBgaC3cazSOgbmUEHUUx32
W8jIyhIHZ+kk3rtjQKxFFbQWDRleVOatjrNB777vorsIgfM8eTAPBv8y3X9LiYrJww5zwuIQFAtR
7qObQ4+HW5Syo8uUXFgYKbDQt7FCRLvLpM5Zk2a0PsCm3bdbo4yd12js7bNl54VgwgFJoC6kF12o
vpM2LPBICCgpSvlKdnzWw3R1qvJwFSkM1LwsdNh1JMLikYHMuUZufyx04L7aubSAwWB57FCEMCLG
f68JnSZaiMguq3zaxtW87n5YhMLOEMxm9o6Fq/zFswrswh2MTKjXq37KfyBLg91oQv+efi4xJE40
i5hthnbS8zQ2MuYJ1MvCd/4+r76nz904sfIWqstoUw9Zoi8+DJLuoIAbIyqcBdANcLPVO1c7KQK6
wJ/EBq03lKWNAVDFnJkMGj5XvIzMsyDlKOvj+0nC91F/MYTR+W+itXgec4+2+mAqGH/nBMkzky9p
4XPoKG7jhq7K9yi2wMRxJG8pwv5+hDtJAsmmxg7vV870BlNHPfJVbZVH1V44jXipmJy4oSYYflrt
1Aef2dVUHLXZdkmYpBFf+nv42jdenkBP7XJSV7Cp57wym3Uxu2ZJLamhW11qwi0e0lFzZQdzdePQ
jU5V6PN56aLKNnpA84yB5nUmWLeUVCdgbFxgG8t38UJj6EPTSIRhzqYv3Tcjbai8DGYk+OCOJS/7
XQ5jGzxypoqZgvL77UDgOfVSxQE2AcBGe2JYqVJcZfF8godRYV89M9wJoevObgjWeaRD5o/tElAC
tuKqslSw+3ABSRtfbpjqTsFxWJBXHvE/5Mv4LufERpf1eg6N9KwhECbLJGGQgB9Oj4DQwi0E6feh
6dCZhtrNa2Mvyli1t63K4piBnoYwFCshC2pVEkLgajXDGIWwVvnoONjzTbHiSNxDWsEnwF50MuqN
nPzpVbdIeIcxZk+K8EpFmI4l33zH/WhB1NWAdQ+a+vQel/Z2lfq3/MiVX+V7C4++9gzmUy4iY1iF
PSGUzBjX7+O5qK1/iGyizVhsXbfHWnN0UrdUEJHzvuuek74w7XeQnmEJGykFwofZcM/CbeipMkTE
PDwAyB+p3eLkZ5ATlHzZnmJHgCjKWxNBwq3L57j9sLy1f588qjYWS53e2FM+yYseBkbUKlF+fKuY
qE77IbNhhl4PV3cAzNknKYc1qS94ziKtGdLqaAWx99JIJAb7pUqskbGJYeqdnjtubpowDv6uXKjn
7DG0dVZ7ezXDTnoywIQITViCojkk+YqWM5+iJutpiOgtMcpTl+/GJ0I8BcrtVzOMxjHh9P8+ci0+
d4ddgkklULozG17udfxK7rp2nn0ih4ZXdEastSKuqTFIrlyfpGuF9v37uW2ol+I86JFHm8bMzo9N
EW+G9x9imyAoqFUykuExbUmNOQW1MTN7V5iG4RxSDI9sAm3gZO0g5rAPQdfkwvKS6xwBk2CK/2w9
lXJJ9sze6YnK3BUiK4bXOZq9mXk9HoIUUj5/HqSuEf1oKjREdjXn9V++gadliEEQO0ZT27Diricx
Cuyevh7irv5qMHAUL5qDHPJS3bLH9h7zye8a0pVOFWybpRzlLmeZuBurCJK/TBlrH1kHQrBeBpQi
Zr4iMEkh5fA0XevLqckcVPuIwyZooiu6YDt23xwr5PZce6gV075fzIpJSmf58y1EZ2d4gk9Pc+8V
lgrTeDF+R0gjvLOtSy5nAwmIy9M13C8EuAit1EioxVaMUPt2jBWgu5OinkaMfwoHKCbKKonZycLs
dkgHe68KqiCAiDg7VV1ZmPu2BXo5SlLhJpZvJvTWUQFyfwJfTDIN07I9lNJQd6RakvSCYQU90zJW
FRT80ld4BBhUrRGY3X7ShThix9q8lfaAw4WBhv+mdOL0TsgKdQBHy/zZppRqEEgWHC2xlZy/oMFa
4aQxTFXtUkH9ZZHqMNNS3yRCuNUGaNHCI6FwP1oh9S2Hw2UgZAoLhqibPsfRYsgemczxGfShV0rH
JT77pr8c8tKqzpXCAM7riUPYUkAnd6A05edgifYPJ1QQRui2zswk8NXIY855u11W8/mFcTsim12Q
ZGwSaGZxV6oD0noUrxdGxWRfcitJMa0hntuKS/85gOr56hhzf4GL0+19jLQ5UmRLrZULem/csm4w
0A8+nbLF3VtrIoxkqu2CORkZE5t67BIJiCHZW3zFtwG4ITMKfIYMvSiuLsyWonYjiDJYXqxVumTO
dtudGOjh2uL7uFRpSzlHaVgeLJ80wnu3p625Jd1QPWdsReeW5Z5TVFTZjTEohqF97h1Tj6YUyYMN
m7L1x8/F0dGpy2WyU2RL2UwyhpEjTiyoO0q8qTdemSZfK5A04V9g1Ad3ldIbUz1tKrNPbkTQZaGT
pERH4y0DAdpYhRlkz7oHqB2t3phQMcSAO9CGElg92EMwXYBf8IaHv5XcrrQa7NS9KD5LwTOw8yem
i33nv0sjNz6Aa1W3Z1uyjZ3XWALe/4BptxDxK09/jzuUhfeQhbRf3OQgN08AuNX9mIzdvV2qKTnE
mD9y5DPDynH/TIPtiiqw3c35HTHLkF5TOZaXoZTBO/438VusYvPdbs0xOwd5hrMruEC+gQ5rPpNY
PO6NFqYqkkSEqvucnXLc08ozjXNav7n0UdtigGpNz8U85e/Eu6VE/HhRZ7L1d/MdR+P8aNnG6jPd
dNkDzqIjgWik3THOw/80Azlt+j/YhdgHH9cTTgOzCJjUdv1r20+asnWU1RchhKBmWfpTaEGoGzaI
yaaZtf0Jn1/cRvA8gAPwE/kcgV3xho9IQDt0rNCzhbfzW2Kb6rdLwgWRKnaEXn9+7frBbzZlPDhy
26Ua12YwqMoNE2JyLppW5SczwnjeEgphPYIs40vrOkUFscGkaOttuAiRt5THoS1JLyc2x0hDoJ28
2mVAWp8ozfsTrk84t0rQ810dE0ocVjIWWH7hN43ijcgnpeLaxILWqX82dsAeJwivgdtnd9bGGYcP
IYP6Nxklcq2wg+IsI92/qw5Dqb70qlsIReLLI7KPIK+sG1/Gng3MWhbs9L1W1Co0MkdGJNZlyfRY
O95fTtaOd0tXYicdoCqwoQf09olUNF3Caa+a7sA50j7ZqnIuZSCLxyAr4zdMjSy6YT09BUTT3nIm
qAcqpeiu6Cz9YGCFTi7CkNgM4IVFKWulNs511TgeRzFnfzKsQJ8zv5OhX/Yua7YeCQUSgmUQp9Ml
Gpu1MWh5F5i3eH6jvKqtT6ZE9LNt/55gfziHtVGMP5tsSpAc4UHzitwYRxP0OfgOT0xOyg0ZSkGI
tErd+IOZ7mrRNadYq56Wh5akPEaSumRXUnpjCG9bwYOQ+fCcpngmbyQo4YEbtBzKegERxvH/seC8
eIFmhYAqCYqfZYu5JyDUzOgUciqYCg7kAP+GMctnF2wNjx+mDkuYYkJ17wucp2ajdDHyrov9PNET
7FDVZS9+khrvXp+fGYWX56LwJ06jLmOOj679xSLm7eIVuXhZnNm/bYy4Jn+oEaSC+DJ9SuMmeKGz
d393ZDYcqsCcwBKj7FcfUXVixP3EAhz+MJwpNmqQVR5mrsJxaKqql2xyks/UwH3xnJcOO2jAs5Jt
4Clg8keZvmmwudpPpC0Q+xLYYYfvab9pR9H1OyVpUYQ0nL/szmTSUDAGmMqIvL4iYEczM7P841IH
feXuVH8IA3OVkKbeU9vUGuw09Bb8NTdYpYzzhna+vpcDDkunoq4RYlYNZv6D7osX+pvukJkxz3+S
jHq7ihieLUylH83YgG7dFiODIhsKkxYoWEKsURg3xV5J+qLnTy4coRwDaKqkZvgZqTx/yZscsnYX
mdndWPvdWwCCMx4lbsgcNOP0Fg0mng91wkCNCKclExsUaYtNu4C3V4jLtgIJtTvNTyMQYhTut3Ct
VH5PWMR5pkV3DmYt/XS7KNv9ZTTo7vYgGJZ1dNZLyryPxMhAmlUANdJMv3ShJFkbHjLKXRWV1p/Y
tJLfeYG2aT/n0Frpq8Y4HP20wt/Gth4UzLRjjRL5PPVJ8dQ7gggxwNEHCUh725HpdrF5NC9mYZfw
5dq5+uPrUu2xDkhv8SayThiCGffdGE3vICvubYIVNO7uuLW/E6Pkoq0CabzAvbJglwKUvAIYREeR
+PG7MxBaFgm3Vfe0BQ1o2aK2btZ0d9HQ4f6HqDd7W+RYuOfc0s0WO8rsMohBLIiFTfGuhCd78hRm
9TQSzHTpHZzlGOtRoi2s2qND5Mb0pAJ33rpYDnR4zrv+jvGSrS4enTk+pmY8dBwkvbz3EzAwPclo
G4h49d1RYp1m4Gil6x4YvbY7dfbScXzCTMNGnTOnn0jBYUAFZhZsHAnv8mDXy/Lqk1p2D1V93/m9
3KoFRkpVZt09qAHIpmvrI0L98q6hP2DhTszRICa5uzipiFKBXZJtoOthZdjDu4MY1V7yoeZs0jAj
ygnnsVzXf7wsT1761CluUtw9wiJooi+J7KvaiTj3nnVMZEloLbP+UVbaum1cWe6gjKe3RqSNp8Cu
TZ71dty3Wal2xJJ6oYgrFw9Kp70gO6oOa0aQEWtkxy1uEbhDoRLMcI04jbSXez1RP94iK5zgK1eL
/Ev0SNCqsWmnrdULMvpipxIYhDocNzEKOtz3JobtYYF4ddhyYwZSADvSErA0b9rNUGfDi0QbRroG
WVIoPJzukCPz3c6SEbk3Cv/OpxTKj5lUyZGtuPO2Ma3479zy5R+UgdTpvVORD0BOZRyRI0+4qbdJ
AnS75IzWGuSl0A8wc/1TQUyZz1OdBuRmFFgElpGFNe4Y+RqWUETP0MZN/g41L8N9cfV3ql0EMgAp
MWRTe0GtgXhYnBI66g1haO1rijEtIXdE7mbbjDXprkQpkOKsoW9zhumUlcwcQnRB1Y+mLaPbCQx5
X7TyDs9Bz4WChPWgFMX0oi1mpHuSwiuyubIFo8HC7Ec8NImEumEIV2xFU763hnSOfT0v94Ptq49W
efOJ3oKuMojmfcPN2oyRWfycB7P6M1YCF7E+7fCTtLyL8//YO48duZUti/5Ko+dskMGgG/Qkk+nK
W5VKE0Ll6E3Qk1/fi8yL10+6gC563pMH4T6pKk0w4sQ5e69tNOT/aEO840HrUKe3YehsklAjQY26
mmRMMzNvR2Zf35QuuytywOob161inhOBlNFv4rBV1+OEpagUeE0IN2mNLfs+pMYKLb7DDa1/qEkv
e5AhJTniX+ilIK16BHGjdTcPLnhJ1QkCeoe8eq779M3hMUiedWYP0O5i2wj2Saps/lYGgYyODsWL
b/VN+JjUTvTYFx5S/cZGkQBLdhHs11w7b1Je5MNklPWn0xh4kyXJ4EYxMZbFFHToyLq5yVOL2aSL
QGyLaVXntRkgKBGm8bQEeoB2tK+Gk51WLUYUMTkHndrnWZWTs3Sr5uoge8CWG70lvC7Lh2IRSWhF
tDXrOGDAb1fjNiU1aDeRDGX6SN30l7qv6eDUEnSZUHb7OtlkmRW57Nstm56t/G6mWi9wDj84eI+/
DVqW/hSoMqeNZ3T1Xk+0YaS8S64jWzVbNNr5eKJsOI014ZB3pVLae6XsxLm1A+W+ZCkC/swbtPLG
qisp/VY4bGzDPJin0jDnfciRQX+vM3GItPBdOwiCI8pBR49/NIRxbB26OicdHuiJT7+5K/suhwlq
zAlgVD7dfQJm9iTqIEp9RmaJ5qs4cG7SQBteTBUGPx14zAt8kVbNDekX6gVMrYPxMBAUztWY30aG
mfxU+MhYUVPifLrdhF2AF37iD+lXMSqyByqDO9kEC/ixcJY+o2hczhaYEvoWWmx/IBK12DGUj5cB
cM183XD01vHxDEyHJE7Sp6Qz7G1I9+BakVB71+C8Q2GZ2bcM2RtnYw3Bd9fV3FevNBEIEELRo9pk
Lv6GxFQlvqCO+2AHkhvXMKL3UkqmJoGqE+icbvSGGiW+wdPRMcNqOgKfUgqFFn00250dlb4+IRvw
e2huAA+t+tUe6AQQGCRuCtHa97hSvT1YyfQ+ZF/fonnFQWrwyIB+FNUR3sd4wX3IYxiMTmGrXD0L
GRiL4AnNqntDvkULBodle4fKsT/ppJxd6nPTnOjdyc2CVUOTPBnD8jXE1ABe9z1b4kayVMU70qj6
E4t1/j73angD3Vc9BEHlEPLblvku7i3zEhShMew5dZvHmutitHF7p321ctxI6JzUV1C0E9PhsQdl
N0X1x6zCdgu3Qrwhftcf3KSX/LaIyGytQgFP+a0TFSwGK7wxOjKC6zmhu6nVgHyRSzwrcLb3DP3i
R/bf55aWWbg4ZMRy0EBu1IN64B4f9ddBi1o4aYfvGta6joPB8CgBEbRTJpfPRpGUPmpfYUHSbjLb
HxsdAzYTPDzWwsCoAQDVvmiIN7U3KBo9YiE9Pkm4zV7pD3XvvglzeDaFHr0DNZPkuy42HU9ihaHW
IhTOgv2xj6eWcirNs+gSWvi0t0R0ICswO9LZyLchHud069Q4I/e23U+XtuhbcWCUUtFFCWpBvZbe
DQgVUhjzUfvdK7z8yQDrXHI8lik2dlKN7K2XTT+zMmqiK1vQZOpCZKwcaJqt9hLx+kXCfOcavrue
+2SSZfdJpoDcOgDVoFM22kjlhTrjMTAduaPumV6bUU7HHP1E7Wuop/FY8Z3eNKqeTnEWD8+a07Yc
8qRPvhdG9NPpYMIfx9YlDTV2nPBeV9Z8owRJJN3kOYdyqhraDGijfNoOz2RS4kpNc/cIFpxVYVVR
t43sSHdpyRBmApDRc/xprrpLMiC9d9B5431GD/PKVcFYXNL/yDEGzNNYHrIRpjoisrF5s9zZ28pJ
MSWipFqCgSp5Q8Kh+WUbIR2XYfKC95rP9S6C+XkL/af70RCF5mMIB3LbQ3ndcGlAuzwzZHuTiOpf
GQ046SbBOLtrR4xu91xYafoBmG0OsNTFc1jpMARUzw2xGLr8kulrwB3FDigjxqj7xiWouRKtdow7
6rhMSW5XDMyxk2vdNhv65j0PZ/dA9rV7hYBmfET7IZ4hj5r3U+q+LVJan6y98qvpOrAtUbmlQRs0
G8IU7xJaGbjRyky7nmIKUUgN0YnomY8lAhnEbGduFTZUGJQzSOF6mD+dUHoPBhbJrdLb6DQF3KJB
B7HHuRhfODS+m7Xq2pt0xuPEVLq8w6UV7sdxeEoLbwIsWLUHSSmUbAZRp9Mmj7PgDtsTrHodS8AF
STshO0BjEljv1OTPDdIMc3Ki8Q12Q+987/vZ+jG7NTHVAVmzfmmq4AqrmHpWUkx03WskEpmQG11q
6T39svCqtyLzYyqXKyC16ewTsRA8dINtwR7T3K20C/slFXp/IdwCZBM1W3NL8oC8Sj3CdqwhejKs
wPtO1cOYaoyLndcZ8or9m9l2BXC5WOx9NEMBd3cV3Y18sKg+Jw8sIMqP/iKdTbQh8dT8QKERXDR6
YeCnLMXITBn38w8ztIa9CNLQoqlmmNyTGJFs0aTFe7Jxsn1nVK3Y9rZICYF1HNIEuoxyokmb3VyX
zbU1x+pJNcgaaaxdpzbHPdiF9iVIvFejEdGNHZIjRV+n4rrbi46b7FgxOF1y54s9cpU49YFJ2fAg
gBEbdGi3o8XtZZwUkQeel9yb4TDtAsgEzl7zjOylwvGcEcIc6Ncm3c6TUAMBr0CRG5s2qVA3ApcL
UYoKeVZQhTVsNM9BCJUTEd8O03DCfEl7fyFj9/TFsOfg18LAxDP8Os6B9pGJrn+Boks14LhdeT0O
ebqNa5wfk0urbqNUa35CJ6I+FnNo+UPedxcdtFXGB5lBemwWW7uCZMsfierkwYMxfD1nE/AJZDZF
f5CMufekLaTUuMXAozepZ0bDjN4w6qmjO6ry1sXKILaDwcRNJ9ZTMkoizxx3C3ft3CDSnSGBGOmy
ueYl2Oym3iRDGT3HbW5fD9TjlwJlxn1CFsZjH1VcJGsjSx+zhL+YhzRcLlPyZO/IlhMpaCSru5lV
JJ4NaWq81AL1uq6VxbaB/skOh4UWoVuVvNCuYJcGO3fL/qyzWOlF4eEvLit70F4bXeF7Ri4AxX0Y
nBOLEjBWo5pyoztee6waHVJ+SFCzdEedVVvp1OYYvtIE6xzy13jrdvZwDEOENZvRxT23jRPToGdA
kFa+SbBD7iqtCp5yoza+EhqGfufyqFR0hn08beZRetVwp8f6eGT2xXUCcm1Fl72+aImtJLPX6po9
DcUs26VlrIZNTt7tR92g2EVOVp3gYn2vnNj0UbPG7bY1jaCi490Drg5aI9rNNkFaVMJmzS4RBcMx
wVl2D8R2/iq1SnzmKFR/dJqQX/jjgi3bNVjtSq9nJEaeHWwjr5tuZ6KtH8U0OvSqi+XOE3kMiJkv
qjL8Ns4kRoEjEUxdvWKyDyUUpl2t6jjbIWqqpC+aXjugryMmdDJT6AWSjJQtXeySazxV/CvBa2TP
M1GdeAOdfpznKqB3XVD4+knPgr60hGgfpWcB96DBY284sQ5zrZEYwPRqlyEtp2naudc0LxR32q2V
C6kXJX7ZPLuOOcaiUwVvPNf9PJ2N8R+ojQYC+l8E3AJqItJ1UziELtn672HwCaAzPuhyJNDaGd61
zCsxAHvmnQUX2dn0ucWpYoKJkJTVAoqGPc7zEfFGaW2H0UYd8mfvx++6dgFZlfoXbTtuHxSpCwr1
31CnrgmFRCTgHMspMR9ovjvVDjqKcQMKf5DbVjT1RWgYLNmhUPVPZTX5jz+/gtXKUmZkvxSnj//+
T8wtvAQAElTgHGW0fH5jOCVYurKQ/LkDQJsRKVUywuhXs/aqIxojSgEaDff7+UDzPIpQ+xvTN2IF
h7s21pIdDR39PisX0XtfFZi1rXa6TNCRv099Wl3niRXg0Y+mGSTnaMzHP792Y5Hb//LaEdJbhNdY
jqMbEnjcrx+fpqH8KUfRHMgeYIZqwieDaIdw8oqbjXcvkereZaSwf3IsQIpiqHTtTGVwyAflujvg
8F3l//kl/e0LdXAGYFfwXJKBzb+lMCGmbrgKGVyVa9cQmySqNW3DgAwO4SIhLJ0eX6wImhoc/Dg3
kKUXyfefX4P4jZLF4vaQsULw9ACIkqTxGy5qCF3EaA1WL2BZeb/XGzkfy1nYj2ir0wvTTEd7z+R+
SDaCGz4zxaJiMtzQIJ79qR3sV9gLzk/LSm4Zd0O3j8ehO+HOwP9U2TPBEznYTVjz3YtdeWg7Mh2S
G/SjkPGKk3XRO1mmjBvaOAOoETr9xGgvFh6s5tq9/fN7/d08ZQoPb4s0TQnk2uCJ/m35MrFn+iE7
+FarrduV7aJZQ5CADLMYsZGWK+YyDojNBnDTIn1bZhtHzyWv7Ygalwl43xRGc1l77iIL8FL0F2aL
WePaqOl1nUK7yx4jPTcb5JqLgukf3gFT3N+XsWfYOjNVUzL1c4HY/bqMaW6QTRUwFW9x1f9ghNHO
J3fGe7mJu57ubDQWzVOXN94X96XqkflgEVyM5ozUkAERYh6Qr+nAuJE7lN6VyRWi2fLVEHaUnxix
k9MQ1czG3k2o5VAHqUg+jWEhnjJcHlBzqVAgGYqWWAN0olzYxoh8qhjnCXBPuwhc36lL844bhvsV
h0I7pnVhcFeOIKigqOHKIr32Cl+LmflN1xC5lCbzm1SluhgZaTabTESQlQLpjJ+mEp8pt32SqFb7
kAqwdYzQr0hGo2wB4yvp04B1dxDB1gBMSTe/RIHo3RaJO4dMd3q3Tl8ajACJDx1HL+6sLmw/koVC
KNyOuTUzRB69qbJM5ExqAX65DPnK01xDeL2guYHMte47NHsQa9AzCW3m75u0WII9ac0sjj6NECxa
5NnLI9ImRCaNFmn2Re4kUYJeDzHm5iwsNuH56AeVVQRSyySfr6uyn68wK5NRkJl26fiAPosCTice
f7+T8B6dIZz3hM/CeMi74lDEs9Roy7eorTnxWvWNgdpi1iGZlmuKapZtZAgkdQSBUtiv9XLRrk2x
xlIEOMOLO2uL3EnyxlDxRJ8uU1yMlSYXP+zeSM9grS6SK34YP82qgOfsLSOtXq1gpAqE+9J86KWN
PGWSi0uCBYfAM8SHOoGNSUd9T+3MJ+VFgk+wmzPWXBAsf38pGsPdGvFDEWjLexQASfmex1hvRhxB
cKeK1GhuVsVwnI1OmXNIoOJj7LjYk9Iw4d+fVZv1akkCnYzkx2kmZCOwGY2nEboM4M0oy/tDwEMR
tpsqhr/8WAwTAj10PBzLXDJ43Zi70cyQ04HAeWE/2QczYpS5D3O4GLhZjNL4YIaFXKUAqkgzz7P1
4DqPlXMa2UqHo2e2hC4Etd2Gvm4b3Xve6QReh8EMlSvIn7Cxu9dpt+CHlaCvcJeZLrl2lWnZ5R5J
IHYVvk3tLkyabDyM4RQdTNQVVBPNYN3aY4DSxuxwiAcBHqOhkS5sJIRk4Y5oOT5U5jR8zDFmIP0Q
Meq74G3N9xYkXhjJzmyKrZYmaBsHxoSi7tGMYtGB3+/rEWWbb2Iu+ZEiwTIOACZQ6ECLRRjNxMli
3QQJX37v6kO0E8PUlxu+cXSOHILJZsqnATdJyJo5aQS2MulQNfDZzRiGYeurTAgWuKi9+9xczs7a
Gul4e8ppxC04UlbCKmY6+8mafkATMKJo7nw8g5jOUciiTq2AzX4wapHdUgOKmjlUPBxK+HUoktqZ
a2wWZmrJZUCM7Tf58jCDkCjth7GgbRegzLk4v2ZeCOteX/kSnWh4F1SXLBuPTKViW9hEnl3Uegik
FUhIeRBTj7nBXm0FbgWptLIarkTDkJMdYE34Yul+v5f4LqBquvVPGrckaMwLF90H+QFt37XBmp/O
Eq6ur8v0oLlpWh48K1YPTm6YwS4p5vlnErMFHewUMMIu6fSu2Q1GHdgXPSsQS18q8++lO8XSd3O6
5mBODWdfZLFigLJIDgiZgXThzURo+2hF9XpXG9oIccftOKbbhKgLlEMhpNt06rc5Ymf1DVmZ8vg3
k32TT6a6NxpVnuo8qm7wMGdqo+M2u3NESNJHgoipRmwXAbMO+uhZtb2HorLSzAt99JLoQq5KTpxf
rJrJNdlPztpymN5L5y1GnnvUxRRfI5oePjuOAdtHzRho27gbKqJyTIJYNvqImPwEnd0RG60DKlxP
NouxXTzjeJz5VnW9LOWRCU1T3Wp1peU7KCId3uV6GtnFuelfmoYmCS9xK5J82RsLXBkrpWr9KVGn
Idp3aAIg+Q5TahB9dltSn0rZQF6LA8LBEo7JKxHVbu6TZc4v/esUEDY7TovrHMmkaNg1inUBTqsX
5WxAsZdERZf4MLaFyrwZgE9Ht6GZ0BtIhMyi3aqMrUtyGR0wVDF2u9C+R6vSXVsGBvUonYPLadbJ
rFuON0EeMd4QOmbABouIHRcup+BEt8Nmi5kLnpZB+CUWMYY+AODY2Lss0RnGpyK7zzxZ3cWUP9/O
zk2PA6TZMou1gSfhZgh2cwa98pSjM2OqyDAHLW6d83xgzcfH1qfccB8Z5VPdsQMgpXGdrPTP59eE
xPGQ1dL9aubWRS9Ev4wEskE7Fp2g3yCwkUNgC5uvWhTWsVm8Aypv2aRCYC/ZTouzFIYUQlsUZJEB
2gtbgsx8XdAKoJlNg4jaW/9mtUP5GcBMwJQGaOVtjHWGhiLQ0ZYOq6nAcWr7R0GlVKL9DfOfLP9+
2yone6YxFjSXHd4HDy1GCGUXaeTdWk8LzmNwGdOo5dtGJwoASbH5ghYquaPdbGPuXJBcKYaMcsO9
vv8hnSnX/JTAk3dKQpAacHHGea9oD2OZsnPUsL2Tpx67j0nSkWCEG9/nw0D5kFWQy/laELa6677X
rjTy1Sw1lJ3xhPbR+enmdEt3kTEt7rTViOVmNeuTZdz/IEUn2kpNR1aTe50TQASThfFuoAIrj0hd
CqywqP6qC+yOPfIbweFUW+kDIaXtuDHcur93vQB5YTtG7HktQxyxNdNu/F5rIR0bTYwSNtQiDFZq
IcEjrublwjnG2pQ46dhtiBE3QFUL+aOjXfpELF7sWzEem82Ql96VbY8DfJu0tM2nxtQXiM9iicUy
FaifE+rQZzuyQbkMaKPHa5EkEntsijUEVc8AJYdLZsfQu8NPSIs1QKcPhzoQJ2Q7aPIrawruPasu
fXO0ixuACuNVrnmhzu0owyyqbLeZ9igam0M38ws2zTgm133AqgBh3suBefZiezkflqFeL9XMUse0
STq90DbLvwosSzEhf0OZ+WkLcWwHSHaJUmXKa22WaDUaoXJymI+j/0593Eqj4wu6D+aeA7cdnvBG
Zs6BsZTHtUWprDnatI7dvYHT9qotcd5t2iqq6iP5J6E/0mfBFuxYqZHd2HXsZO/h2BmHuobjunW4
QH2evUiarPS7qemZLDBuDTeDVvMF4dvkk8L7xGkalnF6h26QinzQsOCO5pS7PiK7VCOWfnJPM7xO
y0+rohdvxEGxqhIaxkz+oQRFW+IPUEnR22ANoyhUOz1ymMtoUFQ+R0rkbuvCFr8Ky8i6s5y2f+hU
moy7sR/dm/NmULQVGu0wQp8ojSI4VEvbww21+g1vZ2TfOCgBDrrVs8GcNeh9nKdHWy5atoEJ2LZH
ZNSDhhMcxbCezI+i9koCLCMvPWCmoE5zTYu0VyesqcH+si3N8Mj35UIdPNe31jk2c7W0kpbLu8xM
iACnQdd7yuIEs9fOG5yZvqPZND+x1/EJEgGoqZ0cZZ9tOyfC1VhFs863i9BmY4czV4FSJey8Yd/w
67gqmSdrwHB+fXY8dTwSrz2LNNsKQqiCi0p6aeWj6ed2gsIrfFOIKLwTm5d4YhaP80nKbinQIeig
/bfA/AFqooNzMDpaA0y+hzT0I8NtJ67TKKxRqOFBwBk/8zGYK33tbFJWq3MWOB9PqqoHlvcsF+di
Jfh69vry97GCLM77WB+mTx7lyNzlDoNOyK5D8ca9beieLae2NLnJiJ/TqRVXgJU5GPIdoR6Wg6rC
uwZpMy98e/UyB3K5P4zlggCsM1hTLnwF+2CvBcCwmhlB+GHlkAxTXzWAsPhpsXTLY76aWtdwDFsJ
itZ04c3SnmFZDO2CdJdEB1G8x4vG3OVCjUZ8tS911XLRSkJnuX404LjOYnL2YeJrS8PlpTi95Nv0
VhJlrQKHRZv3Vbhrqnj5kauxsaxsIGxEwlEhkg9NsXhEM8TFJKk1qkw7ggHvlzgANOZTqtYerYZD
+pFZDb83Yugsn9JgZGvrpor/ImZJQWAxqCM0yh3Isd4bRmoXcKBrS/oAwDRmMlzEtItaWJFxIvqQ
5zfCp0JYq0nJc82NhT+ft9y8ZUp8XIFGNau6ucmVszSnJt2I43vgLsiy6HgvrnK0d0ayxwzSvq6l
8XktuVpeZ4ewJ334e26FrC6rhpyzV4UBxIk0UUx9zci1an+mBZ1XVOB2/Be0qlwdQ5sO9dYWi7vy
vKLOBuKzNZKRH9+87Wq8TG6++q208VninqKiaH8aiYF4hksPOaOMj+3Qey/yjF8sagtrBTsT7ogR
YwjvgotHASZONTP+3WaFVugNHda7s1PZYz6NbGOMqZyTcskBYb0sBAthQ+a7mGg4mge8hPiDxWrI
L4cGzWI4tg0yt2VDcKnveLbXtJDBRN+yG+2Gn1MJitOdHkz8/NCgG7KxcnrU+0rhJzsBogrSS2R+
mnrp0dPD2DarjOAbtDsMGYu0aZERDBGY31CAkKijsH9B92E8BeBUESukdRdeuYQuFgdg0+CNbLxL
t9S9yOFoMGXczbPxuWes8ioRk11jouUTXR2dzPB5HaZkALkHQMaXN+Zlv0+9Qs93Zlpkfk838HO2
zYxcwW5MtrZXooks7KggmSc3KCDdJGYQ7bUIDGyn50pfoNO96LExGH7NZTi6HYg4jnzF7KUB1/Yj
bAZb24AYDT/xK4jHoEbk6pdjzyMzxb0R70jUa77rk8kWU5YIv3cmsU/dlphIS72hywruZ4f5FLOU
0foCKMMW2ZQGywfZPH8+RytVycxn35W9pDDHtkO+IN2mcjci62huMhzgfhdU3DQthlQczPR8oEys
/utCWrxgZqw8/1Mc02jpBdRAtCE880nLiP4Wm4ciNrVOWCwp4/4HLvC0RFpUSQtDkNjtL4LQq+Sr
x6A8GZsIQxoVlA1o3b7Q84QOntOR67gpcQGifWKeWl0sCtTxxzBASSNaeDFr6mjBuScuI+pNHCag
tTfpWFHeoarnH5/NtaUG0BlZNGZgpmi8o2jGBAIykKpddLTK/vpw81kHESBI7H4UilbGpraoHrZs
zUV8HxQRz7i2BhbNVTxqN6GcC2jSWMQrUmR4Inz8PpCjG5OHNtGjSD5VBt2Ce7cmMoOZLpm95K51
ToXC9cwW9dI41F7KWQbaEwkU2fg9jFvMa7JK1HSN0iqs7ie+1PQzL/icdti/l2cEAx3JhIQsjTc0
7/VH3SqL7xhLl4+LAoBmn425/hFDaAdm1SqcB8JlmnZf27Wd7AI00TFByConDhlTTbMNKkOn694V
wRWy2HZvukF5HaZAJ/Z6OgXO7tyNbTlPk0Nr1BHZsHYCBYVZCAVQWk/92wx/q7mMp5L9zBhTPjEv
NdlczgyB8z3p3MohlTNPvgD8Ld+W3owsJTpnfGcW4GP1zeS+L6/Pz1xQNDBf1gbVUOesnGYhmJ7R
EMMKCigKEBsk/Erq12x1c2Gt48tNabpE/nnt62vv0APSTBW7fqXg2/iszozuxKlxdpXksdS+yTWI
sBOhLU89MzOMVNniVE9W1/V6SJ75GLTlWBnnP2N7YcuCkLMsfnKspyeGQKGOxQGN+jFuWzN8KCLP
0rfJVFTRrdO0+FngDE14mztobvBCeICDyxAmmuGfl5hXzuwPSanxOs9rhTQu9p8GaD5Gf3q//L8J
uQjkf3H2ydUnvrahImlTmJwte0MQ8K4UnjR5PQx2/xSOi0P0/BTq6z43RzonB5smORhVGUEsWxvi
/w8U+8fMPsdmgPUHoBgmvmjBgf3H0ycyrpb2wmfzK0xs/Ql/wcS4ufyLHmaY5PWZ4LMwZLjeYvH4
V1yf4/4XkwcDaZ9tSdq3y/ThL3oY+X8MksDSGZapOzYetP8LPexXph5y+WW8oaPkNrHlk9+yDPP+
bdapUpWXXFO979VcU6w5eFkirk+J0z+cZzT/9tlgZ18mmP9RdCQBxEXb/Pd//jYZghOG3s3FHgzF
CzsjSLBff58RTgY2Emk8m6vjfDbyEc5PPQ7LXaIuQsmEPnFyLI7NRDETEEBKAegJqxp/TAPxAxcV
nTvmP7NtR/MGvw/bOeNqtqIpGTl0HGsGYlDkZKjex3O7HEpGQcz385/fyG+fm8O9yLaEYXNXwU/j
Wr+9D2R7gULVL56bHgvIs1WMHhMWDI8RLc0xiqfPP/8+of/tN0rD5Gs3BIQTNLNrHM2/fVO1VtEt
wgb1QujSwtoEHsCXlMbLcXG+/mG+Z7M0wCLRYleAw/3zISYdk34JENKlyI0XUvWZTtJWDUXgGezw
V4lEh0Dcgtjh5xTrzQy/CxWsjeA/2MdyzuJ7bgtR/uEZ4Hlv9ELQzi8EUPxhE9jQ1y0IPN1FOVeT
vh/XKuO8VZ/HCAp1Fcc0VKpuO7LyjdjPICCCBxhlSXF2rglWxEtAL9v+TntnSvdRiMB8M9c0+WiW
Neyx3Xqntdd7SbPcYPzYnWAawP7g9sj9llVR0hCSR5BAfEATk3ziuATFySXWKc6F8ykzTq7e3ITl
zN80xpB/RTOVA0CvaUEd4eHW4napEiNETAWsoYFs6xfSqqLmhsJTzR9RRWDbni04Gp/P38L5dDRy
xeN0xnygVEDwTtOcy+lWcx2YUfP680d8x0xMoECiN3GcxYQuuWBex+sQLrHJ8TNAuTSAG9SQe/0F
FUIbzVuko42DgA6iBm9E76jczusgMQr+XEBgplQUQF2lr88WdwAU+5HgnK5iDapOIlset6ZJ7P7h
XBOoAeLZtK1Ex4eI2R247M4I1ag9nj+53MU2TjtBWv3DRGsf2q5W52wVwGsoaPRu4pXIzgOOhMpN
p3xVUz+1e6YWvbGDf5S5zjYv8CGCO634YsfMZaXRw3R4ipVBYMv1JPknvMSgIiV+Q7odrK7GzhJe
fZNNfHGRo/Mc5yhAWTBmt3DFpqpcX/e6J+Dz4dpXOSVrNXJTvlguKRDDR1Llk2TrtPQ5oPe4fDfd
Tlh9C9QmLmvkdts4s7zxJ1oG6HX5aAY9wcUjVzDGYoGnflqiNLSrqZhYer0I2vSF0B6esrPL3eHG
zya0PmUpLjWvoleUDe2T58T4/ksPH+K1llq8OLxHXIbzxGQ1Apbg06zySqKtZPDLt9zaAaObysrr
+R1/ht7fEe3CNU7LzZwVhPlp4q2frwx9SwzrAc4iu+H5zmloIQtJ1RX/a3UtwCLAELB+FtEsNRPN
CtZ0VTCwv9BBjbOvVuxx/O6oII5ji8ibtzGU7aTexpS1R79yfV7/+odTxaLJANGhfjU1U725a0om
ptzqddLFzOYiVNOyZIkxYfHrmtfF2xiLcP1jSHUbFLlu9MySF9bS87x2rIKkXLaplF7iobRMnjbY
WpJrxrpI/ryFLqKD/9WlcPTYuiOFJRwGyjgJf5f1cNvARClH/RlXeTOgK4pLmd+SuwVEYfPnX/W3
vRoFjycdQ6cHBhjzdyZnn1dj5im9/AYbo08uWljY00WKrzC4NHonNv5BQLUoan55ZwzNkb67lBIm
B8Tvv055aLZkXVbf9A7Py67HjV4ftTCuFbZjmE8Hz2Sa+vHn92j87fO0HAsqKhxTl9JF2r8Rctke
Yl2AU3mupTKWRylf7uxbAzbR5GclNBo6XjDmvmYdIPWEjzpS6FrojCPM3MzMraIaEEafJF8IJtD0
ww2cI9rOxHqyT/zDq11eza+fkQuyikmKjqjD/ttX0uI3Z/2a7jPDTCe7oD8s5bM2cEfFYLGcmDUI
GhXuQCWOMztWGxBhuz58wiwHPBB/fj1iKRB+eT3SAdnK08fLYgZi/yaR6UoNcWIatt/GMBI8o6kT
a3GyZQPGTbkRYcJR27nYRiDxFQM7Lu0pKPbRpkUdxGa5XriyiKA7rFp0Fmhp8f/mH3TRoYhvOcD6
Cct1gu18w++aGnibidMlr9wQQJayiaQ1nTp8pRRNFl8C+8uf3yLt2d/foyMo8qhjbaaDwvo9jhny
oZUWkJ6eqmGyBlK8Bn105RfMd4VQWVULCaTVOzZqhZgovVaQ8JubwWg5jQlHGWq8gsXcNd1F39dh
R37dureVuF8BdM9m6/1UGRTzB0kYJsCoCHZDAU5xgN75yM1uxG3aNpxEm4QKkbbE3OfzvcE9vXwo
1j246zpy+zY9yPsU3IVsE+dgaljxofoYCoaP6J1DqE3muAlzNGRH1ZKkkG57UEBUFWY/U8LUdKPY
lpMaVEtzUH1MOXI+Vs2VG0OQSIn3gw5osqt6zZ5yH0uZVlrPEouvyvdh4VBh4LPgEHWbFHzNLZA3
6iHqZ1KCrgZnkppzUU30Xp1tVy7ykJgugPbY9JJqhZdBI8amJgMht/6XkFer+nobi2zAfDDGc1rV
QKPU0ukrggFq1yH03LyJDypH+Ql31e5phd8PJibQ6NQVrW19n3QLWNm7cvh6yt1spZwPdk8Ez19k
1GppUSeAYLDxkkTKaJ4Ig6ynUp8szmDToVv6hbmEw87AXkzNlGlJ/mFVOW/3fNZxz67mAVsZveJy
ywodeBZIkqW4PJftUu9n3gGHhsl5azocFDpyNnFrlAR8XKOFBb1yJJxjaUNwyV+wLbCAguEZbevy
i+Gns87jNAus78QTZKzzpkN3dzhTHEUqXe9WYYmwqDNBauR7yIl8ua5TcdpPhACBJxlzriEfWPkA
CM0m80t2jSXg2UdNoamWN7PWKbSrqYn+Oi/B7oWjz5FNgZRbMS///BurvuG3d0vksoq7xNsW2tD8
dEuK8WM8Qag8nuvaen0mdF2iHzlgntOse4JGteIynbA9I0gR3cSHNVV82R+WTsP+UmJk5z+ZTV5O
w9GiUcWz7QKHzW/M0uyL8XD+0bDJdEwtyJ0qRcdVZ6iOQWS9PkyjRwuXkLYq1VCvkdsydv4cIy4S
u3/YH8xfJXacyNyMye60OJlp0Rp/Y6wzmbaRAtXfwNqq8XFIsoWDm9Na3QyMY+uv9iw+yvWSgtNz
E6neGrG2B/HCtyDMeDrKdEPg42Qn+1AL82L0HUU36ofjaRROZzWS5g3p+Izzi2XT26GR5QQwsTxO
jWlM9q2jefS2he201UnGSzIafoVlHYKGZAmwkbKvwkBMQBd4KqG2jr0+zT+wdPLV0rOlF0myJ18q
9xHFGZLVSoY3uQx6477rXKZgV8Dq+gjlbtAtRyVZhKBqD1meoPD2PVTEnXMYHYvYQcy4hT42jEFy
yA3bwdQZ7D8XJt3P/Caj8WTJ/ZjRETKu+wjJa3pNwBJXtCCTPHKYoBdopUvjXJ6MQKfgOFdsPXM9
xGM1feZLPsaAuL06/x/2zmNJcqPL0u/Se9Dg0DCb7kWojNRa1QZWEg4NB+BQTz+fR7C7yWqbnzb7
XpEsVmYIuLj33CN4PldNkhkYC4yZ9byF9Njl+q5Ayx2Vx74ZaVqomL2uerXHfswZmGkxUF2oua+i
4E5SyzclJTPwGGB3nWXoCnNfrA0ofVuAjEkSrbt9MMQUtnKFbk01VPCtxmtKS88Ur+h3yYrV9JVY
QLWvR2RaNJbS5owbNe4FHAf4VmeH88GGP23pbVWNNltiLQQDiNFXb95lPiGX3K9MNfNf5wbKYWNg
b1H4g26OMvUNXElgN8ZxDgPiB2wjGkiwmtuQfc7Nkf/qJ1yzH2dZULqJrHTHYtsI6cmXIPGUfHWF
S/4ppHE+EfQvAVafFzz2TJdr8VLmqxKXMc5k8QPfIqoJxrQN5lWJ13nZHu0RkvGgDXgDZ7c33Dg4
TlBW8SGGsKVTiU4Z2oFtiT3Os0s1XGgSAjj+RFZY3OpjbKbztz7eEBm8LA789XWyGJtsmiSR4sOi
Vil2DdhxOOCbpPDm3YYQg3H7HBAM1//AkvX/7rzuRTa0fdAa3wt8OJUUMhQAf8EksjTs6OLL4TUa
g4hjsCAhmsMWM1yzV9aSmTPRFaeOfZZDOH+RFePO2+pkf17byGmvMnQS45M7GAMr0uJ59mdkKAwJ
q97DfmDBWi2jkvRYFtATme2uM99Inpbscp1ELcu2nNE0oyAvsBf52ZWBP9YvblKbbgjVOTsmz0va
IeUhUrzPW4ffaZ+eXGUx6erojjkq36AdTth/VFDjKarOjdJY2CzTGN1etFnUmsoLkUkDNyClZm6B
8b1/9Kl9UIDTpIG7NJpLPO2Y2d8zAgvWy/NtkJXGuRwHZLbEedEUiKvAseTgPtmMFBCE/MPxGv9e
oBMuAL4H6TxGX+HH3m9PZ+lrRAxe7r7gbxf54fVcjtgR2X5teXokj4z+Piu59DCmeM6csevTAx+R
gwPeTT6/NhqB5aWT9wErbz6NQ/oVIH13/kuiXcxzWG17QUxjoIGX1quYXKHLzP0nPKfnguSykIcA
04U2YMpT9r1tmASPw+qyG3HRiq2f9N65S4jRGE+vdm5YqLOdyOzRJg13fu3ihYcu3bYIPs4tdp6n
bBX/VO2kPS4sVyoK6SjPf0JuLTuyzBz6SlGGDJr6xTYbTPcuhXWdIgRQ2AJOofeE2nUNv9Z0hZgc
1P40RhjgU4NOe6npq6+g02HRj4irT5YJgghl/EXS4Wn8rrqAf9draMpOQvYaQIqhzx2qQSUKzd3h
Q9FkD/QAKpQMJ2hSU0Xx18kjbj/PWJHGNgvG3egBriRiBaU7Xzkck9zcGOfQd+CmReXUOpzCf0I2
IEHU6+SXKrNOyfwruDbOs4TYPIFmnwwRt9S4wi66TkNRe+FGrT61E/LDclpt8rnwcH3GRMZMjGcn
yPSy8VEhjsuFlsyrZwzkAoMxSalqWH5+3CwpWBS8hc7EojvjD3SPYbOzMrkMV20PS+cbOqpVfctX
y/OODSeB3mYQY3GVr1lE4jqc2k7gfNBgx+vvmxld/avACnV+TQKok4e4SLkjgiDha0hqYRqbM2rY
nACyxREsBIJWeLzCsvAvx19jQSMJ+6x9PQNqZ7oC3hhmZcoipVHC6sEgyFRzphB2StIFDyqN+D/n
Ny0cbW7dlCdT3GrbMSU4xQTg8Swod8/VVXG66afGsQqjQdLmC1dcDKlzlJOkyO2woc0eg8auCIFz
a6Siv9hIdJWtDjXHVNMFrKC5yEzF1vV+T1Vf4ZJlYMFuEty1ZW3xyKrY0CanpGU+vPU76E4ANj0I
T6fxmm/2HT0V0VZz2NtW9T4VPbslIjqNI248ZSpEDW6Nzb46N4YOeD0rc0KZn3vfKDwlMWR1GSPr
263uEtJNnCHNLpvDJX+GGshIYpu5ORkL2zCtNaeV0Aan5e4zpQNe4cjb4dosH7by5/iyABmkKjth
R6u3ovaB6h872aGLiDpNtwIiJ3tomaeUjC9GETake2zPGF61+HIUbSz2FCd5vsO9nou4xRmuOAzW
yh274EdV3fdu1lcPY0Js8u08C6nsf2hUvf95jUVxFOIthBWe7fnRbweliPEh76TRx1tTtM6bwqll
cMPXT2caFpKTJBxgL5eghRE+Dj7Af5VsAe5w8cI6AYvZCclcgeaASzLWL200Zeu9pSbhXzQDhIBL
ux5WNHpzrWiVIEHk7bqNeJbFe9Iqnju5WevTWuaO89DWmLy/a2xTo5/OWIffNRlkGMwk1tDmTzoT
vODGCwethkNvN52zc+slIw2hqQePylL2+smx7U4dKfLZlZYXUPaW6xhQpZ4wfdy8kvi7WxVhjpyy
NO1Vjq8Q6AMijxQp+r++iP4eUONFoGDMfCKEbHHshL7/mx5sqaoUjkvsvOBWUXYMfxcstMGPSZXF
8/jEQSC/hqsGsLgOwn96dfEb8hMxkPdR0DEjipwgCByjDvtLkWInaVFPQE8PmApRjx0FlmUkTV8i
fIbROVwXGAG0WfXYsPYXB4lkX1dYslO8xau9QEjqB1cmL6SpyClVmzCRsG0+4YEjAH2YQpVOows4
A+nKeckTGDXB16AC4o0wInL4pJ8hU23l9ZsAowWQl+kMeuOgrPCHaTFJ+ZAV590TmYOdEleC4D6u
IBfuYvaIRV4pb2ap1mFLsKvjPgP+W+p2LrD0pXjC6ur+PNZGGcSV1KauhXWFjnv2MOYdxg8XIHai
OYZtwHrWQtN8F9nIxXPmSc3I7DGc7juzGjE/qX4sASOavW+mkxeNs5p7ILMHUHuoPB6u2BrOFgyT
DpfB26y2vWo/8+DwWz9xjibgEu7wGpYuh+Wp2Z2IV/IuE7SMiIS6gIN/XlHcXtZjzgWdouKhCAP8
GxgJWFMQXEGYM2f3Sg3xbufGWZc0OQ7+9VQ9xDgwj09lX5w8Wiub34ERE6tcyZDN9OfJk6cJZylM
D8PXyNOF14vJWwPpTpeVk6bpV74wv2U7Dzt31V1mHziyzWyjVJL7hRucy2ks8m69dOXkx3tRQdZ8
JyUjcC66pRe861Ii0x52smeS+owzMpsUU3rSz541NAGdwXxRFLVwjPP8mCphkpiTGKvUS8IMc4wv
T6deQgBN8cqNEc7J3puyiZuFxSm4A0XdkJK9JVZTeB992o9is0TTSAVkSU02JoSctXnSEV/hHqKg
MWqo25QvIxUaeQAE86x8FlWI5T90htR5OCM4RdiydBYhAoWGgBF3vb6dK+MmKAeeeK9Hc2O22OIx
QmkiltscC7u4xJBBw4UfJspgXF7ZxF4NYTHH4dy3o+lLlvUGi5lmni5w71o2+a/UNdf2in0LY5xU
g/VZbWoOHtmgFMn2BPF68TsRd4DBhYL0RtBAH1Mr55Nx5x9OEqLzx6pBOManSrk+C24dKO0aWFLL
NzzHGbFvvKIDFkoTNuLh/ANFNZjfZ8eSKh1xBIWdr0Zq9VRrKIs6DyDSBS52Vk8VZqC8KfzRufjo
12ruWt/JWAtnAIfSkLXr2zkbht9Hg7KcZk5nhhHWRkm/HWD8SuiIgwEIK4vXxK+Qwsb1+7C8GJo2
tHHY6FmNtpVOyREXBG/cBG7BKlmGmS2az3VOgRFjU5A9ntuNCHU6b4Iecf3WDXWbM25tESB9K7zE
Ierb6iz3qIeOD31eCeo02SFym/0QaWXQXfpt/gOquVlO5eDzPbTnXqo67yRcgxIDHQsiLQ5RQ6+2
sdvlVAX2iRnTx5Zn7nKySirYiMHIt3dGOG3o7dFlANznPxYRxgofQZPhsLE579puxmDtS3CaCvkO
M9r7Oo7nh+40gNQqZlsgvDUW0hlWDcEVcChfz4L0b3o9V2xdvjrq23n+aDJf51cQevOWINkxTmUU
kbLwkmLsUMs5SB64FcnkmKYdYPE64D5PZ/8y2iT6bFvf974lA06uzdy2UKWqAO1W7UQbsj7Fxaja
8JlQg/WqGoXzaYHYNgem6Qipg2zItmjSBvwCtS++zCyccSR/8ZKaNS8uhhx7gR0Sq+XCmGFVO4ZQ
67gFiKq7bZ2mBlerbVwIMvwQqDmtENex1pkG7b5lsVat/RXro8ks7tJ55n2l7jFI82ZP4pJf0iLU
zJQuaaPccg+43WyDfq0qxnsGWbCRqWOwyVU43cFpDvOtElMrr+dWyr3X191BtoGyb91SMPMAQe3E
TtHa381TVrv3vp2Jl6qgjT84uWV/ooTyb+o17V4QVhFmPM3z4zJoIuR7FRjELh2mH4KuqtonAFUe
zna1vnZx/Php90Vb7olRb2GmTRx/m6yK83cRKlEdBruXAFSjVSN6Ta0BHVGFL8les9xdCIjzemMY
zvdqCYoHz+mtlzCLSix/EtDlkvI/xdSIw+iYNN70XHR6kR86hhrB17AGT9EKF/dGYvN92+B8Gz56
cnXQwTUuU4TB8rrrtEkE7j6dhyXfylbudvQx032FdQkObUxKxp0zTX53gRqu+LSDqvnSW5Nb7FKo
/+WXFnW1ux/Ye8kdacDK26YkQS+ftbX6H4KoLe+ix2zKwbpqSNJt5dvllS20VE8ux6+9mWL3FbZ8
/hySjhDtRDMx4WkLJ5TXeprImarXYX62yL2BJRYQvrTv41l9Rfs475XXDuCD1oL1C5Him9xzWkpr
JMH3MAZsnEc5j0vy32abcBnfuhxTJ+yPVT9kCUkIuviiisy95ERP90xzVLAdC5+OIMr8ABI8zeMT
dWC7QM5vKf53DJRbrF+qNnydpVdvh3JoswPHIebDM3HmN7M941fqk/3kMUVLkksPv7rmyaXGHvdE
dKfb1cMRxurrKLogI2Bur+YpEfEriyDk6oqr+T6V3hxeEo85YtXugzNsVuXYOzRjxUcyhEXITVDL
69LOZY+fwciVLbR1I50+iS+6uAdg63w75s3541FoPHi+EiI+3cepDBFrLW1xhDob1G/+ClUDWcbY
FHtRBjK5srQyXiMNVCt2LQiPcQZCPYb5l7x3iPam1+1qWJaiaadfiJwUxHT217ZmsdsbmQo44nYk
MNlpyo9kib81Ve6hlExHecjRqeN8rJX9Dffw7Jr8DywuCXAte8IK5rh6dDAr+ShYsLcdzM9+uzZL
QJSSGzypWCPVRxo3Y0RdVcRZFlKJfVk5zVGhWv5sKszTsmEJbqnFfIZTayGzPY2uO2/HUJXG1nhN
r/vSxYKJXpBYDIb5ZffCVYRahOSTdOPHdZ0esG+Z0T25Yl85UXeL1Vr+CHA9rBhSCfsGRjo2lSSY
eAe+cHy90sm/ATNbDh1Spfx6RTf5Ees5KHksefXTtnRFHRIEBQqqVszYSi1yK8aFTFkcWDJ9aIRy
HoqSRAeCszFwzLOxuKsMbXNGA5+aPN7Y2EvbDUSbfLkc2SLRo5REbVyC5PjDzsfmTMLYhU8it0uf
OdmeyKR4j2yaLKYaNx6PrIdsjfZ+7XXbCaXdMU5TvKxyjGNfB98n1IabCcTBKr9Q8z9FU+fJyz7U
WN56fm+9FY7Xvk55IK5woMvsh2JwTSlGKVVfZCEm9V09Ru+6qUZ1pXGtxiSGAdiyjdqQofaaFD0p
Bmlgv1etFV2taP6qfQRL/AnX2jk6wkxSz0ghfNhsdkmae9Ld2DJNfmbk+hhB4NRx1jHAPfSdaAzu
hQZNlzOLKMZmPfGHPsUbLQ6ee/wKH3VWY7Hmdu4SH5AcZJ+UfggFbLdPblaxVOKqAhG+M7MfVqBV
1FdjY9m/2gLGMCe0kPedpAw91iFCqUok5S/LeAne+IQO3jDcn02yTv62BBNbZ6zC6AKJEfbOTt/z
lLMGrGLKPft6xihHvzidQs7VAolIfAGQ0+8SMsGA0TocI7GvyiLn1o+pgz+02/smUYo7/xlvqfZZ
FSJ1N1kbLx+CZMNvEbb0lMtlWesHJbkVOtev1LFO5xhrfXJecFBdG4wB9QCNftehW3CM0/SiyJSK
4rtIscHfAwoChiwd7kENjvXHolrsYjs10LWNknkmPzKc5Ru8fhD9MUrrCIVtXYzqYE2K8zSGG75r
HGmN2z501d6do6zdh7iC+T91rzTui2MUMHrIIzOwjgp9lwhSEHZwm5wb6lLnUPfhmu6oJNif9P7y
1xjo3kH9GHXiOFCrfvecCbkCazeT2z5CP0a6tu6pDoN63jskakIKoLKwt+6g5BE8V2X0bAtT9RCz
JGfLvCjeczQk830/qMi/mtdGXoxO3L9o38f0CpHx1N35AXdwQxzfXsWRv8NYK+H1nFnY22ogGCkl
mmfBKDgbm5sJMV5KykOcD0dslmiFpbsM14uVLt2V20Kduy16rJ9fnKmPbkihndKjCwq74mwQzlW7
laBfEx7a2O1u4iSv7ta8VcMTk6MhfhnQ51BldO4TbPjIInZpxlruuo8bvKQ7N2qd93CMdLuNkWWt
+17JqLuKFtc99JHxO7IcK7zPq3ZQxxH/F2frdNDLNnHdYM5eFtHz6OrpQVEKkTYIKxHZcukoqA5T
8QweJuYrSdKQg1TfHZmFgqlClMO9rvCYev8oljglG5ocG+S+3urcerlHsF16Rif+l1b9D7RqNzwZ
4Py/adWfuoBJ/J+U6uWvhOo/f/Y/CdWO94eNdi8KPR++NBDef/Orvf8mVAfxH8ArIX4u2Iy4NgOR
/yJUM7X6j/9D4HX6s3k4M3TIsv7bf/+N0fx38yoY1A4DFl49gs0TgyP+Bh5GjvQwSrFd5K6CQfCZ
w2LjdJnuvbiJsdYQWKQmNzHKuS9y8IkQ8rA/bC98NY8SykKEBdu/RtzgEP3GvGGb8VmxHBJMgHCQ
MpjcXzCvpG/BphFuvOfkeqJmzffZabG3doHR7Zx79WtgNkJhtgTmG+yOFEmfZP4hxTfZz8Sh1m1w
FERXPI+NHEjpPG21RCfiMJEc+bSq0H5rmRNjgWq2JtaZMtisczIyDTT7FjpeNu2AwLQNJSLtvS0n
XHyLrXcWAsvgQr0NlevNP7N5jnHRxZDcqdr1he/DOpIfwxlBnIhst53y1XeswXAVN0mpPS8YF9E2
ZvY4XbcTo/WNgVQfUW4EKc4FQ5l8wNMd06PjZfhUBsGKoQcucPG9dzq1MtzquqvMHGbJ6VzDooQz
bj6ddwwqh+Ym9cJu2RFyEVyqsbY24RRQH5oOX247c3JKII19vzjNYcVlvbujquCQDeu5fymFlBdR
y9D0CuULB/Jozmbs9bOnesgEwLoYR2eP7xxn+EoMwBGPL3Oyn075egXGJG0zrF8CkIFuT0iLczuY
K6EkmE5u/dNNMUOZ/Q7ehLkmrgPtHZGiAbSJ87UibM9ANuq2G1HjbtfFWihFQUa4iFrnxjrdTozq
cQEMF5nsEBZiWmKfLjAXPVq/7aZ+usPKz5hYenLhSlIlNn7MCo2ZisSamtmV4mw3VyFDSIUy1lyQ
Rke1W2s8yemlivi6cOLcogtAR78dciuSP0AKuWYDc+PWp8t3Pl3E+KdzKbfmfgZ8mxC5WZO377rc
r1+XcCYc1Vzo8/luP93z4+nORx3M/Y83I7VAc6oLJisK+qO0VHYfFyTXmgnZ+FqrRpOLcCooQJya
b7mpMrpTwSFn6x3EwbvBrYdShO+MsqTtJr1sY1Z1dY0yv+wvIhvomo7AlDHWqaRZhMJbFJjC+o4x
C/UOfqTUPmgg1DvWRcGXqLX9lbaCzJFtCBf51jlVSzwU8T3DS5LEcFNODZmtkT+5Y7Nr8Q4jjTSe
L7FypPqKIXfhaji6r3VFjblxtK5+NaZQK/pIY3VrDSmS8yLN7tWpnptMaTebIi+IWB4bWgcGgkxI
91AuwgQ79QXFlykN4aVhIzEO6skyRaN3qh/hsFFLMuhrr/3Em79Zp1qTMSB1Z8Zg41rUZDINpiwN
g2He+0EvsR2ziugBClV3nZ8q2AJ2L/uaslaZAhdLXP8qNkVvxOBqv1qMNw9FWrRP9qk0rk2V3Jh6
WSX2tWIqCHIgIWVtUp0Nt6r2cTTHNByBPtOuLW4wIWJZi6eFafsAMtObclxZLckos6rqi/JUr8t5
8vFBZKK4lx1plbuGoJrD3K1vWLa2r/QBVPrQ1TkdCF0kuSd0o3xXO95TYjoDBsbLgeimDxTH/tbN
AvuVTrPEc9OLLmbTVQSmvwhPrUZzajvSFWmziREUe6liXDQ84N9NG2BfseGbdpLt2rr297RlzHxL
YkwZbB2cmID2LSoy8Apniw1wMOzgBdDvTKfeJ9ajtfPcyb6e0tp6gtlOoBNlJimtikkt7xd5wpot
oCerRp5Whd7NQn4ixqyOl34WJV3TplnTeesQebYcghiNzR52O30M1PDmE7S6IrlrzsajZhffycYH
qiTZI6e1I5oD1hhIZBr33mFC1nAIq2z5qMhSv5ZN6f109MTMTA85Fvxk1MEkVN7PNh/H45JZ+qLE
Cn1v0uCTHeqD8XvrKXUVE3371lA4Y74yFaXYJkyJhsuiJLcFSwQfgSOoEtUy5g8TtyTjjEdmz853
aIoENy7OY+7l2QczT+K3vLBhCn9qkfvYqX50AlNarDiLV9S3FPCwV4In23TXUVf1V7iP0P72Qyxv
UWfJj4hx8juH9pRfz6f23J98n41junahfPr3Uys/n9r6CRcNItKCb8Du5QZ5V3QnglWALWX6E3QZ
XEBXPgDhCS3gi5IwkORq8g1OgEJY9mm4G8K0rXYLZmas2BiDUOaw3C8ilvGrUoaQRStlq01n49RG
hE8d3CeONXzv3LDzDRW1f+BFgTNgnXj1m2dQDlweATyQ/Uz3QjDI3JCRHbubwnLbGAEk6Aj54+Sk
TBN5enFXhDvBuCC+KGGM3kwGWGFZgLFEBm5hnBmvGwJJ5HcnHqZDNY8ARdUJpUFLlhF7UdCXb8Ex
5ntxQnOWE7LTRU3p7zoZtDRy6DFw980LAUVDq2fbgEFu8TWOi3VDPmIx71OhiPmkupo2axoTWWKP
jUpRpCqAlKYp9bWsdblDvr8+LgZyCpqJJz5hrb/CmA0S7P9ApsLcCV9FmOdgmnBlgdAdTPQJ/7yE
LJSmW8v39E8AN61vfWAYYh0N1tUDmW5WvweRRTcAHFYaZCzzfeeS5Vh86TDJgc451dWXEFGNjaA9
r7ItscdqT79ZYqrpg7TBLL/G20RjNm5AuNXgcWPambS4oTH3s0HsMrymARBEdCM4Nu81NI3o2JLF
cgs+PT87MTTarbat+W6URdddjIVeGc/0xREZrxXt6n7Kn2fAw9Cp6oNtz86d7fbDkUWqugsSSKtw
6yFVQkhE/vQGA9eU2zPUu8Ae4nJXlWH3zTnBk9znwQeEGkDL+QRglqiOiDYc/RLvASZMb1XLNwMb
iwD1fam7gDDsvEX4SnUTXq5xG36ijc4PwmCj0xAVn+4JMM1yfBR4owZIbZs4ZZtWd/YJYoWX3+DY
K3BLIKd67K4bCM54mGJNAambvKxthTkfbtUVpdEmM/AtXGc6X8aLmOyknRU8IZcG5U1yv2l3NsTP
6lKSEof/HadrcJyTCqgAE3D72sWQMQJHSq2XDMfTh2gZ3XvcYtcbjLUAmWUGD30/nMBnbHoa8p8W
a/yOv5G8dU4gNScYWbkIvBbylAblkj1eKiDtOliPZLkWt4EBu5PAr7xtuQ795TDnNjQyykN7Pyc4
I+16b1Tc5u3Y3vac8Nc6iw1ZJY3nx0K18i4Hwntcox6DG9BhSto0+sSrD/gdSz3xAp4XXLcYK6id
YD5A0ZXn3R6rApD6TPQwEvDjzTeytuMOMF+64oDjtHgOVlxNSzUNxWUzpJAm1/RybZ36B9u+TDfB
MobFEVM9rLKb0WdssAZ99x5Ywr4oTnOFcJ4mQGZOOJ/TxykP2Pa52LPrvPYOcD1EcBmakURMqqKL
i0xUO89ZxQRVNfV4yM9TjNLDy8l9k6cBR34adjSnwYfb9fLVxxMRuvzcNhxzpwnJMmaiQv9Pnqws
CvJNVzwmmg1c0BwTm9OERQzRR+LVzhd2F/OX0IxiutNUhslo2h7mOcu+4JbfXFSptK8mM8VJolng
2GdGO3M+BIfWzHssM/lRZgY0ncZBQdvoAqaRlc03E45IOCmfJ0freY6Un6dKI24DwSZiamLfCtkT
mt2ArcJUORniLYnxMutcG+sSnLhwK4G7xsTKGTxm0HbBaP+n68XM06Ow5mfPnDSSt1Clp1A6jV4H
pIwxZSmN+BI7IfpEQaLf3aTt/LnHnn0+LB72W4dKjosDEoWfDu3BXD90rYBpVsMM+S7EIKML9BWR
/42JB4whZy57pifO3NYvXoVN3VHgg13v2wQLSZ6XhePmmVrbBib69+TcNNeN/TgQ3R79iGfsSF/b
kzIjCavIfQnTAC58W3tl+IoRgUaN2VUp+ZOIKOKecNskq6q1088ONFrTn4wBF7e3Mynv+VXlBFVw
N1DDlKjXHIbREZkicGzyIy1t/un33aopaANkaGcN7f+CLf8Atniorf+1hl3XX0c9/BVk+fNn/gRZ
AvEH5JEAfCM02EkUIngzmvd//zcLc+o/wB/AGQQmKGwboIbaaOL//d8i9w/hQhEOQgRONjWb81+Y
iy/+gI8TeLZAlGWD2/x/idgdl9/0NzUVCAeJcNQPIQbBDjrNv+MduWoEM/jCfR5y040foHJCbbgW
SBAtf7+ChfaflDiL/glrTVTXAnJDYO+begqptQgx6NEBtITgzI8ekoRQHZK4jKyQ+8cJ2KNjEaZF
cZywsa6t4xQ00AeowIv5UfcTNAWXAc78GHL/9w7Z7X1b7ElBTAZ4AAt/aZajYSS6GclXb3gXgRMN
dJrYlJCkCysQgzmbKGlKDSZVRFlkWbW+iRx76F8WZCTmUCGjP9eG9RxB6RIIbmYUNKQj8FGGBNMK
TvPcVzmFAbU8tAqbEcBP0cU5/4vzMsOXam7disSF2Fe6u2TIn+OQFreU+tcK+7kZNyWXQCHjcbEa
miZ1dpnsW6wiiaRCRl9dh2FVhXd4ni/rRVA6bjceJAPh5oNZsJholTpBkAHJsNjA/snS1vlYN/cF
5gP9ISgCOD3d0Pp80hoPI+IU7XC1vtYzpkOkkuqc7wVTq2p+bP2wbe4JucKtd1MuSBzkxibBb1EX
QeYv2UPQLmn7A+4Z70s6asg+qmEZvGCjQ5x4j3GHr9R26ha+x6iqbGb9heI9tG1glFawhtVnltg8
y6hSxmgDVUYY82OMpe+J8Rtz6H0lT1GxNvLtkgd6ek3GOle/nDrw+LDtnDpdcFiW0KewLbIy/r42
sBqzPcBDvTZb7mrzk2IMuBxTJrvzowUNAV4J3s0pRfzpj3QDIIgmj4y9bOuMRQFRI5sH6CcdCD8r
p84Fz3OIVr6VuB/7bIZVS7QL9FA0bfNjomxDntJOZp47lLXA6o+Y9eEXt0MHNfL3z4rBP59IE/UT
f+YhtuAfSP3dRd5rxB3BsKfkl5C5oPTC4d10lA3sETshfe+TOGWzgmcfa8t64w6DcFoqxJqBECaf
fKdTnfIJO6gcpC9bU4I4zWJLSuKFsknLbzUExOrSj6xGfom7NCJ8bkiXJSofbO1X/aejIARNGwJ0
PB65UqpY3/oWTwesU72i/4xS/DvfXOSC5m0gfR/0oQfqiaptU9ceyp2hCPBjjZd80FdUpk57WftD
l3xKgE1ComERZx9ENEUEK7axEtdw0Jduq6YoqL91gLjeZ5ItRCvx1REXMWWSXxpiIayvJkyN/I2F
u019EQ9zXx9nlcOoB3YK3QkO/dTZsh3snU1fP+yhBjQHTHoXu7rwej9mhqsd9yK3bVVe1jkHzIYY
GRvGK4JgJoe9it7KjFGc3Q+jTbUwtJ+x8HN/p+YFp7zGGlW+bUX/Dj2heY8WsJZVdPoeWn8JNV5H
7UXAdJmGKWh4NWm5yR2Rn95XPUcWrXeIG1UqFUkOA2GrUSN0R9Rbslrro2evClerayH9HG3AWSiw
2JjbfMQefoA3dQeyiI2alsFwlyDxy8TjgAOji+N84bmYxOZDHRPdJHLASX9Thw1p1IdszhXnFb5E
fIOb84P0zdn8k+ybpX6Z1qoXFow0Levjv0a/T+D2X6S1CGoxU+G2CnHLiO3wfzi3k9RDfpeXP68E
29ZHrPZscbfgmcNZmJ3IZ0vBsVYRXpkOnNccpxRmTnLSwIIjUsZtOlh9cJ8HR6b3CWQMWkia0cp+
sAqb0ySbOiJx/bUmYv4fZHFcpX+9yjiyUPQRikW8o+Oir/ltnoAgjEjmLi9f51h1YXIkMtcTI62h
46fOs1N2cGn/QSrym37cnJK2zWu6yLl5wVMaxV+mBV7rB7AZu+xVgxSvxIwEUVIz+kLGAzW5KIYp
ADHI4vXtH57U7yroSND4udQIUK9DrGhic6//5ZUxAwdRCPrhxYtyvRxUwsH2kXaJDqDERXlff8rJ
Cg3FpFvxWoqykb3HqJo0XE+hLAQY4orHhRmpZXKjImTGL1MyJBl+X5h5JZ+BM/EjsGJsayvXulF3
wNu5syusWZDNF0xh8+i24eLexeRHQXWAeWOVuLr3npi/VnogUBOHYI6Lyg/X6iGHiFDDBKjcibdY
WxS6W6ojTsANYYycLTNhRKAUgtSaTzlX/EnA0IEDuh2kOqxRvoZPqDQrSdIp4+m7tq7nFRIRSEIR
7SI7xebkarQtvzHc36J5ww+BXxKFYd284dQeNI9llDkkrquIz4f2gUPJqnA/QUdq3k3ntqPkc3Q6
0/V2BJxYf2VAqiVVQV3r+livvP6ud+AJE1jqxa0PVQCyVljsC5AHcb0itlYHjSpJ71Nki/XjXHbB
iMMvBAuOJ0qaXTK7Q/KpU3fgtc4vbFdC6SunqPmcleOurtpCbeOP+kwh29vMYeLkt7bbaXFLVmAO
OxhJA6/BrTPVx9AHuN5WUqf+48T+bh6hnvCpytydfpC0HkdfZct59hymSiG06md/uFE1uoBnLCel
DXEPWW8G2FYE9rVTm+Zu4+ZxmN75ZGWoTRMOiyaNfh6bBbF2XfJ9pjNJDqKUvBoXw1xfFL5u9RWm
YWbesihhFYCaAW8j54D0sDGNpXmkiXLIARuHnqBobUHJwmsbgMbZeToCFx6UYNXlxNeHTw1xSaI8
BKiE5C+JGn1+BLdQ0NH+9Wb6nWbv2NTlIaU2dPvYh975961ENTePIx3Y4zgz3m8oGZjNAAf60f+l
7Mya20aSLfyLEIF9eSWphVosy4ss9QvCatvYUYV9+fX3S4I3oi3fkOPGzLTGbYoEgaqszJMnz/Gu
lW6r7GsGnTW4SBKZCv5/fzYh1xSlQBLw4G0PlGwatla2ho9+1E3RTRZVdfeYDJH7dUKyxXnWi9EQ
ghuY+rv3P1k0sn4Ll7YZ4DViAqwxXwDn9024JOtrHM6z4LEbo8BAszFu6QeahVc+Zd0CrcEyev4v
jPx2N/ah+WoOtBJph0JEu7Qq5haRZ0N87nr7/3auneUWDkFuf3PC0jZxns90e9cXBvTUCdGB+KVe
hrG4nguag4Db8TwdsskYwnXn2dpPb2ww6fJG0d5wfoJ1a2bGelPB/Os6rgEeJ/+0u4W69/1b8TaK
IzSCHoeHllhI0wRzg98XQBqoueu07z+W9FwTRPOHBcnXXWpj3aV2dImVNg9ub2n17f0P/mPCwrIJ
4C7KGh5VIMTBN1oW9LFHArnffFbeWLb1ATeINVqusDlrUbt2sy4sbqnKGlMf9ICQEAliBRy00k9d
JdsrcKil1nr/qpy3Uz1clRd4lk+fNfId8+RT9J+zBXXsJVtHa/rc1MLWU2kL8HZhtyjYPzLQR/gy
DSPNITiWk6OP+VKy830nXqOPmDdOhohSSRjKnFQ3H9zVHL07U1snpIN0n/O/VSFNgUumpMv0lzm2
LRbn/Eb8kmN7MFF4MWIF0u3k/oztUtivzbxDCnvMh11tVab1hEqS175aZp13t5jg9uprAN9eHQOr
W4KXxpu6/gikROSPU4Z5lr+smD9CBhxe+BBocyAeE4ZvbXr6fsZ51Y37xyTwYAFiAGn739JiMbI7
CpJq3jMe6xe3nJJjenz/6fyxWKn56RME7FpygD9GrrpM9yiuu9EjYFlJ3bCl/amiPfKCKTnFG6wL
g5m59z/2jeIAGwMMI7RB2pBss+CD/L5HimmgoK1W49NsrLJEq6CEKHHdVoCfwV6pCIEmrDxd+eFK
rd1TyyjAqL8sTuvt97fgvzjccYIlzUNkEH6/kNlqak7ISX1m5EBzEmZ9qtOYFceD/mgwWojwuhEX
jgIjrnn+mt45eY5mSQfWntkv2IG0I8qgujOXGXK3avzZqmmMuLn60g+Tx6vNJKpZ3+/fwreLxkLR
SMYAbZQDcdN662MVDsNgoj6ffFoKLRMcYWoKgtEsCOUBpZSraMG1IWY9zeWoXIq29z9fxrX+m91L
XgxmBBDFrCAP8k3AX/o8a2t+4XG1c2YiHJr1oAbrula3U+uAxbhGKKWqr3qAei/MaaAf4HtQY75/
IcGfVxLBdHUhMxPzOIPePMNFZ70FkT3+VA5ZPKdf5qi1K5QEKip69KuleF6zdTVwYAOgxz4xRfyr
Py7ozdKQTi0ZmUWSorqlxzeyxDZg6PybQ5Mg+7PDTIYaaZcgZIio2mkuxSBLR8dsaeqyzF4ZmIDs
eeklaPA90dp3u8sNdNkGvQJsN8BOIOj2wQNSgQxO4YliNoF/4SSMdiU71AF4ZnTAeFdeaZ/uJ4Ms
zOvMoyjAIcSb8Cxbmqj8vVujboG50En5L4IEDBmZjKt5pReD/hj9hBQkbPJcmZHlXlDAM1UgawJV
yyW8W/t6VIwwTaJohSTcirct7IIFLAVrS27MQLuLP7QQaJD4FTbMeBNZMTos1zEySJRtWcXo5CXf
SETlmHpbUqZ0Cl1MXzIvZXSlMIEubuN5xCsFToiryuxHlA2Kss4dFnEyVlUncz4pUjos3al3EZ7G
rrwQMBDOo6BRQzCPBAh6My0logGxm6/QDME6wPlUMvmFoIbisJvcUn68v7aEqfb7KpcjyyFEgGd6
RKy3qxxngRiVvvYTjTQJRn0GfmG80hYxpn9ip80zGquty9Jnqjox9wgFO+ZFtMVMF8oTX8FBdABj
0UXJfUhs+IyKJRjZ9JUrE2m44FbgC1FCCztLtjBMGhQ0LA3rf9n7eZe2NsSnZZpv4aI0cBP6CBwK
22ez0zzChnHVq6AYM0EnYlgK+R5HekN/rFIEnb9mKVXsl6UrVjRxakYeBFvNi2k9VKfJu7mmrkSN
iEq78a4YXJEQrHsUr7HxZCyUan0GDZw+l92q/xZFrLcnAdPiDB0ykApPzoEW+CZdngKzzzuopY84
kIbWjwE1j3y6cDMmbBgIWRlb3GPJ5Zvzwar12oHX4VIMNGvQOofNaqERJU4sA/2f4i6jTTn8NOJV
9jwinEnnX44iyAJLBQLPqGB5ZE08XCL45LV/dVyU/Oq/IZGZg8gHNrAFPJDk7/fDhLiBVskQZo/1
YBmoFaFQwjBbUMQys+yEWLtWF17AracvPEUMJO8Wz3Lyf3Apx0PrwnYsqDiXHu1kvvVJHvM7zGvN
H1K7FRWa9xc35/vbC+YygTY8mgp0CP5Y3SR7tBQIevR0sUsp9WHAxM1+HP2V3Hg2o0Tm6xHCXuGc
uwKp+xAKOsjwK7mCYaYEdhQV1qDlAtF0Bi+MJj3/BBRbYfl7tXagpCdLBYxqIgA6P/qYTaFlmVS8
SwRXYIBfrX2GtZY4q5kBcXNG8lHwLvLqLs0dtaqLzHEEca/wnOlI9SiP0z0exBE5CaFXguo2aohZ
jsS4fghQ2FBZOxoYWUg3IHMwTO12KAoQKHbM7qXAYwKGSHSpZlkcQ2YW4/Xq53HU3CHzNNXfi44+
h7+DTEazInImuQayBQvUf4P2AStAq4YhGQSc5aHKYzrlTRWEL950qcYTtIt4XGdcY1TSzk9mm+eK
1ac8oz7MjS/fAlLWyoWdI+PkJtwnGxMhQmHoqoBYXoeg1/3F7A7gdt5UyQYN0OThR6FEJ2PHLBR8
JonznHnb+Ze4iXztnPFBPA/xNcino2ctSZ5e+Q5VwMe58EuvOJSjfToiBkd2euNmmlUqQ134E0c2
LqKYy0grAG44OSFlC4CutcZkNLveX/3KuA7oZwxH+OnBsCC6oA3/OExxbf6gPE/N5qNTtSyAbGnD
Prhai2XWX6ssLgcErzy2a5wyP+MdWDkA11mosEM7GAxLcE+QuOXmXdPTZQluL+A4Fnw6Du1e4HOv
EJJOhXryckQZI1XfG9QkkVNTTdZxbqC4KWPFUZYHrfUhDyx5MmchkSGnl18fcptRoJe4ZL4EJ1kM
c/hR+pXkVDhg0KxY9Ey6EFkz/r+QMWb9lxz8j7rNpmXnQV3mhAH1+2Mbqm5ukN6IucenO2UOHZ+K
KtRsvdaW18T3izkY3T7trMV+TUEwrGsGZYKBZvtih3/BEN74xrqSVnoceERl+GiM8L2pIl3m0tMc
AYJPMi1IwtHZQ0BVyOmsaL1t6cyKElDNSJBenE8h2GvZHUJvkQWEMVnO7TfypmLJRn3qspzej1tv
8z3bRipbYBbO5f+D6W1XftlVxPvH3DKz6SkpRtRuOsuXbDNLyjx+Tr3IHu7jU1eqqzQtrNot6HH8
JTsI3pa2tu348LVPla2E/je3Sk+i1eI79aMRYUv6caGdIAp+AyTl5zAr1HCFSNe4WGgXuHLqZ62/
BnuTGYzkOM8YqV1XuGzgYYLpZHQZnBpzJNtWdPDz1r9o7NFgGhbNf7qCkFRLvJjM2K7+cVATWq7w
qU6aehdY2AL+SHotY94pYaD6WSJEUQpEyLw2E+CrY0OHwe1ldq4TD7kaZpbqFke8dCaBy8B1RgbX
+7H4Byo7qOEANIBdxYgt8SPWngbC4Ea4xi/jSQ2EZiYKQTFABspgzHNpWJOBae7dUSNK1LuWMf/b
lvEyHHTYtt6+M3DDvCytGOzFSbukuNGac+ewwUIJtttse29BB4FRYYCiOR9POZ5ZIqoyarCm67Ct
/foYR+ZiXzUq4KILbyYtpZUFMlStXkQ6j5yme+0zbpnfzG4AIWmMxc2CGMTqbWlNtXf4vvFvMNBu
x88hamT18pe61nqbL9o2JzajDcA/nP9/lPLMYXJEtm73mA8WH9gxXhdfugGyxmi7pSY3OqpjrjbN
5LaagKAmvtHgL91F6maor6S6zLqv72+Yt0Wu7QS+K7p+ER0ZB6n03/OSmeH0sExg7g1GjKvTnnNH
yCh2OSZQq0236dpHO6i8/vn9z7XMPz85pDaFmUSZiv7H2yK1MfIJhMkcHs3ZyNHWq7cSZEgNIhw+
NxIczm3lCrIZpyFwPqn9OuuKBHXwW8SY9mEOFe+zCxpkHvSUGMM32mR2W+zRlk5XjQWzW1hPEboj
9Usz5XX/4HGmkBZWfdSjAu3V4o6DJ4YR7qGcT159iIsS7aGdOUWy1mheMDgWgdCVl6bbJlhIrbEB
E2qtu+QDSFNoXaZY3nUvPhA+igUZ7tJkD6E7W3rfmHOffQBHl3plqw23Rr1dVeX6BGQqredOM3m6
HhSWpxxBfAYd83G1pd+rODo57XvUm/LlyEEh12QpxambtR0rFk0COZwouEU2M0cgUT2YUNNIz+bT
/QLDkLYzkbeSUqhQs+de2Hpyje5jMLqSRceKggPj1jWo1lvDS2LKPvLk3PxmZGbeJHdDukrOkUQU
yeMNJ1/jX3eLmOVebg+lNLCnFBeQNct+sAt9EvDKtTrMvdbtPhr9IsfmNDWiv7Q1yy3YobQljQQ9
lW4fkR/P3RHLtN545oiwQxzfVp+R6B7+BsnEBlVsBc50brpvFI10YdokYALCpyQOfBq6zJRiT4+1
SxyUWgVH3J0nfcl0t5ffDK4/ZveMSqI4HiJAUlzpKoBEtQtoLaBZFY6SYCxZ5K8fGJKjwirVqHl7
yzf15/f3gf/HOeG5UhhQ6VgUOeFbyWuSGc/AWWT4GDiK2ww3s/GNW3XipywORjVn+grTxJJJhYor
1CRNpn1YbI1ZLrnX2q97czGN8SMwB5DFhi7Y7cJvcCis7ncfYVhacRFdE25Nh5BZdcs6kOxupaEs
i9MKWb1hmXJgOgWmXZ9rxKlh+2L9B5y8Y0akne4jizGhF4/WTWCiXOyazGGuns22RBjE6I/0wZDf
vGRYXkBjnIQ81nWiT5V5CIUCgYJpkLreQKu/uMfbFUjEPXFumrgQlS+Qf6RHmj41eYMg1wvXey6W
09pYhmsrWnAmXZfAUtkubT0vQfbWtJfbcVsL552wMW9sdL4oLTiM16dhauSiPDNBo7RGG80chCFN
Z4jIwgwFbi0u1VV/QX0wNtZfBr7eYnJ2AJSJrYaD8AECD2+fc98v5WKvpvUQqEWjOWVNKGRs4iPD
DDp+k57kexQ9IXX7/hr78+RBE4f/EmoBwUAGJRT/B2Ynb1WopgzdI9wZHb+6WhnJP47jz+OFQpl8
vfRVng//zrj3/ohThCieENYiomlvwCfAMHBxTf9yGv5xO1xUpiwkD2n+R7ikvAFPhr6dWw9W9WMT
FPCCoXXbNPDNNutSdUgSg7U4Joi+fvZTK9B/q27l3X+rxl1B05H35jS2/mzgK3N1GbJq9GNdoQe4
QPTB0IIhLAdi0A+leqfBcggR2/DzijchxWs5dvKjt2BaM1w3Qcr69v5DYiD8zUUBdYQ+PSH+B670
B6tgWLJ0zJJ1/VA7UW8nx2I1qG9vyGQHIwfoG1zOu7Iq5ce5MJpnpHanHXbfDrsOx/mZQzNDg4p1
3s+2gAoOPhL8AqHNJYKPti3FaDb6M3VVxgCUFxyFSUxMVnGC/jKu027UHBwosorRjqzFrns39ZO8
JQymiV+jzx/lBZKRgXyAzgp5kzy2wJFrH70nb9e5a9eAU3iYc6G/nMmJiAMk1vSV0ZV+cKQgbzhJ
INrGWfNNF6tcY7/OGTpNJoLp1M2OEfZ8WN1X5APgfQvT/bFrohh6WflrbibXQ1WpPvvsZ3WhrYt6
wLMcpcQe+bnsajLTvsh3nWI+8DNWDxp2nRPS/PqUxVPlmofSyhcovZmLgHx4B9EZi8ZLs4Gok146
lQGxFptALy7tK6eZRVkAZryYWiB9gLZRiJoCKlV+r7L5q7YMTvtPmyLkWkToDw01v5N+WiNLgYCs
epmMuw5WF9qSa8QxN32bi6qqigscYuQJRm458xk9CorNF/wp4pByaoaOdx1ADSu/WxXnJoc4qCnq
nXya/1QmceIe4KMJUICs1zCpW5wMMBfBSkcOQDrmhBVUqRVq4QDa8nX7kT5nsg8XXHTbXd50fsXU
IU7i88840QEjo0xOIAJohi6UYuYGTunG9n50+gV85bInZIMAcLiUxSom9GMbXEW5fJUY8qOLO5Mf
mzh4Pigrh4CRVysDOeQqiE1i3Omnvzxg2+Zrm0IWR9LhZJXTweIrfPiPQVwUexwuxEtj8ZfTLaoZ
1PMh0ssJFzmzqGjPJ3XFBocM/oDCCV1zq+EB3XTo/+a/5tDMcRJHHXjEz6XHhi7FYCwj8EYFpL5X
hFQShXI4jYzqcl4HA+L/Zmq0Oh7Zwa4J2S0PRW6M8iUZzfNv2qRGLMu0armmHKNeSjiIRqnAeOTw
8WU5xtw6GlRrP8LGH1bu9xIZwO9ORgfIvKitTOSdzJRpuuem93Rw5xjp1NRXc2ZPXnitUWpquyMV
oY9WV9A1bYzCM/b0HkSzJmcNJ0y8c4d12VNCDLnNBxb9IFJkIRovLD+nL1hqru+IeGgOGw2p0j6S
P8C5WbiwBMTRe+60NsbxDoVP1mxIJsR32h5sxU1pXhkrdfqvI+KX5lfohWH54lO/Lo8exiz+1yS3
5dt3WS66bkvVDXdKx3mEWoHZyhMJ7AL9LRkOkCXe9Wll3TG8GHvWPuishnXWjrTfX1tjHngjTihE
ObFTp95LTiu9N5OMX7WLnj3H05dFW/kt69RGK5pv2K1NXeTPhR/wULciqsbhzXvevt9QJbKt0NxB
SaukhcibzemK+KnJOAzdmgwVenXB3ECeXyoPt+pil8EfIFx5DTNw+mAXIHvfm2DOxn9Dx0zq71vD
ZMviHZKv7gV1ZXL50QMtu98ItmTZUfspXb2s/YEuMSlIUTHi/Dg7jZ32dN1tJ/1SupyrLsLtMRbX
rHn02wjsmiHun+d11czuSQtflayU88rUObw9pqtqRjPUReKXc/Jt9D3R8USRDm02uxpT4ptfWhIx
feZ5wvoafbukR1kHJVhWoJWn3HW4y9k03iXFKvixoew6/9WMjJdlMCizuMeVPgSnVLeQhUkDdGqW
0Kq09vKk2yWdTeRbIBLzwVXrVbycFrKcC4ZRcxI0CDkBO7Z9UZLV6Sgj3Zsg8EEQjZk2e/J62tcP
hrvSvmK+EnxvwtB6OK4jVgwPGw3bJc/kXIhC7B7ovRW9iQiwM8McvVzGIQL+NCtYlWSYHcydQ7jW
sr84Gzsz/J7kYD/5ZYXg+RTe4XXiRV/UxEwzLhy9Vz+NHEHp1TTAAUExEsOJ9YUx3ETdO36dla9Z
XlnWvyZxd5xumOib225v6bT0743UZb0dz0VbPbSnFPWUVeZuUSpG+ySV7qMVefXbLkCD1Lwbykgt
r8yntOmHqPDj4dUJKtRZL0JodYzWm3RgRF5qNpt0zzh7RCGax0SN/kDblAPpenaGqol3aCgZqIBC
wi0GbEMhoxH9p151dM6sTscgk6Ub6HuPUe/oa5gOkf8LIAHThx1QgxQ2Y6DI192yEWg5XF06tIjl
Sc3HuNWpv1jgRWLvzyWWFxvCD4XmzXPJ0Qkdftobn30sMynpFjeUd6LL1LZ32I8t+jbLpyW9qxuG
/e/pYKjhIYHd1x+tE4i5OGtOtQbDVTYabD7eOB5NjhMHh5XwR+Nlif+9mx3AnI4JXPUQTROAOn0r
Qcpox0HvRIgWovaZWQ/SK5zjTS4yQupBz4gYczIWuwafTZvXDZFV3p17VjqaWP8lmiqSGZ36Fg2u
tSxXDLbllltD2JF79CdqPH/j8u/ctBMOLRNorNitoliZBgJpnrEzqG57FVlgjSdIkdlHKcqXea7l
B18XnGnMYbEdvDxkrYc4p8l3n6X/MUAFpzTHqWObdDAp4Vd4hLRTz33Z1g6Epl1G9kSuDFtYKrZI
9wQfDQmdFrsRC16tGQzvXiTFhEHvIw13GDoNjn5+RD6+OdxAT2Ud3zX2ptZ+cky768vr5gRnt9Rb
03M+NOvFiuUmZmdVVPr/UhIk7d4vTMJcaAISPIE9II6DImDeBzcVo+12eUGiIiUdckjV7blzwKBr
ZmZ7WjZmOB5rJ8Uc4VAPKaPbu74hdj1OxUmuHHHJ7oWPGt0P1aK1+zCeZjbA6uAEkJUrYFqvl9U2
KohMV8rHr+2phEHI8rcy2L/1QUFTIaf0m5y5RIx5GlHoRLfGtf07b7Q4XI4wOdgQVyYpn+S9xpDl
jw6mEaS45+4G2jayR1o/qrlF/TJqte5Uvjiq+WfEwdO7rIfQ4Gl25AGOf+fCHyUAUYEmPOl17iY6
72eEu5pqw1huDYQiwuKoI5+t42KBnl20DFXk+Jc4zCR2NJLKgER6ciane6aGqwwLZaqlms17viCt
NtCkgOGy/Va6GjZz0s2Vh0EE9yMyOElfV+z8uN4MnJed5RFC+VMdNbJOzrraKTNfwcAsCvs02zOv
gTED34wK+IqxZxIKYnXaVheda2B3dxVkfuYgpxgDUzKUf2rGT4E01BGh8BSXDZPBzx5mRJOXV7BY
qvbcKISRfcIDSkuxOskNpNNUM/pz25hlUV/1ZpbgsXya46FTobufpiggvbJBCRBbKzBALUM9BMUi
cN/p3bbRhWqklrlvt/dcy4GNhKopWzki22YfOQ6LoupJEPPLtAS74pxCEMv8sEIurD+v2z4kiotW
fKhHxcnkWTC81NGHNBbbt3qNGyd4CJnpcPvXBCmvKrzi/KNNeLEhCoU5SBDSrajL0/mnW1nE+ek+
e0qmkiCKSUPwzG2wey9gU/T1qRUYc8IFV3GHcud8V9cIwkbXxUJH/thvzai5zeknaXT6ZFE5ndAW
Gnwym+IWBUDyixQXeyJBsA0jFT2WdNk+t1aT5WHoZpITD1lDFmFYGZU4p7QhowmXMQ4pCZkQtXZ1
hRo1Ma1D1qsLZhi9wFJ5OYYiS5eIUnIKJXmcEdqyNVO9zqFIc0Nkltez7HKrhgZyXIED9WoW6DP7
IRMPSGEtSPhGQ3T9fmnMGNpvpTFwiU9jBx6T7zgefLjoDYABTWiMiyQJP/r45IQWYRqXHSgSGTXx
vTla0t7ws4AkEThPagZCY5n/yp1g6dmVHqzneyOccNTb664b/GfIIYsvmX+dqGtcIUx+Z1aLvXxU
KD9mX3EXIkkEIu35iyZAxTfal1Fto4KqtWUrfbsuBbXodzqyErSjuDao1VfICE30QDeI77hz7IlJ
BWE1SkmFWMRE4q3ToiRxRVzFz8trn04kZMISShwJKpIW+XrlDl1PIztcVSbckdSStB3TbvJ6a6vE
cK4WY0TH7FALvma2jIQ4RbiM1zmlYVjufYuwogxY9wpZ4n5ELGi/+m0uQgVWllAGaTeLkCkoAJcN
+aIp9y5gYCXLX7KqC8vpmKOPTUtibU18rfKqRhI2XxrgUM4KHxH96y1RX7B6HT/piQ3IR82jaN8H
IyfsV1XWXL+rq8G8J112oweL9d6tVzHDrbyqxqQDww8DPUbGchIGe6pDdvKAcgTpvd+K3RquEacv
ky5u2z55BmouvwrsbfjiDcyO+oAORhdQNA3NhBoSrbClRznJzWTDOZCH+eU+TzAAYKQ85c5rG5Ex
9x5eEYVU6iDN0pEQU1l0R99PWs/6kjaGFH+ZTnP/meYvpj1qMukgOVkrKMH/Win42BbsHdwKGqdC
YWakFkvaiEYVK7NcqBIrKn2+FN5RPk/ejTy56tq2UONfT/XHuW7unVksh0q7Ipahe5D5z3UV61Nt
lSB2dv4CPqYJPOLRKUUAe2Mc4L2RcEmTKBAZZIBF6dQ7r/ekDkf+bpEieXJXfjRLSfywo9TieTK+
hmnB1fa1mBfCi/e+hdFnkGBywAX55USJMn91GDMTb61ikgcfqCbNioc6Thi9OjLML261JSg1V+AA
Q/NQw7QqZi6kSa0+OrRMnPdI3Q52srINxZxs69ph+pNadzCLwzM7cAZilGWgRqk4ksWFP1IaLcLB
0mmm2TfSdOmuUIHya/vD+/HFFWWx/+CBxBdo6cQWNIki4EjXfdOsjUrLp0ZUKcYzYdkGhyIoxzrd
+91oy5xl208R8NE8lBNGpxmKMTgWe2atma+jXnF6SFVZ7aMWkwuQy4AiewHeyMTuR0QNFIh50cIi
+mwbXbuBIABL00hhbNRIUH31rQJBkymnS/ILFQwIIbmx6vlLLd7TN+Wcy6PENlMaYSiDzKzu8GRq
imrHKQmqMZfLqVTQp8DAJIq5gaCcvP7BGdMZfA9RZjFihV+jeZZdfHLEW5g6wooUaQflfc1Mspf1
YUKgvor2w7w6mJ74U19OPz2mdMfPpq68RKQ9CqlBVdGRs5cBbogQbmafDOB8MZt2fdyNApIRq9nN
rOcM47Yly3u2xAJYx96y2wwtGeynynk9ahRYbJKXmkl8Y+8DD/BbaQgAsy2BOoPbx4RAntcVNU/A
RNAnhinkW4fVJNgOkm4Fkdad80Dpiyi30uIf9Dr65meUx2JhbCGFhYXU4khUiJt2Arbr6Plwx5Kh
6sgXnd6euLUDHTtu9Bwzm/y8AVnOydIuTCYnW65mJKmXO91wDdixzPDnX5k9Ukl4mzGPlDLCSzPA
vwFsitg+FiQYE88yxKulnqehsijGHSstdIh6muXEQtBnoi+59ybtFUzagrH6N4ZwfJB1LZC2LB7O
cu2NQUXz4OWqJNChOjA7j4xLGfZLOEyAbfj7NbLw9DyMBBX0K2Wns+sl+JWhjw7NBb5BCzavFkRl
DVh2gkfOL8xJb1vSP59hpuyuXbFgNfZxUqE5satJH6KHLgS88Q4TqAVPkqFGid/47yQ864hBDaT8
N4AhQ6+OV5yx0jDRti0JPJMnKPcQqojCU9wVvL9TO+IAU7SwGt29CSpJ8Nziynasp2GYcyMYYADH
vjRyU846mksav5kwQSm9+BCnKc6BVy1NyuQKun9pPyucLwrj6IMftb+mDs1d52DmVgDgO4xW17VP
Z6iSaHzC8SJNcdwhNzwlJRPdVsC+Xp/mfsRj6MVC6haaFUJWYVpXB4pqI/GvF49NUR/BG4f4Awoe
gruZqDAs/g55pTSej+OQyUWHNbpMy4G9GNefE1HTaK9nOEO8PlSuZDC9lQvCmela1jniSZ2eP4Nm
wRnZbYY1QLAT5sOjanlBrLm4aRegHi7b2pnlOEIJZV7njy1UAu95TpDnjfaYI6BehAqZYR2nE/0B
PlPNUQTrzcuiF5gG5P+7vC7QAaWuzED0qw9T49h1ci3yqvGzKlsS9Ity7iFwH/HKjNr2PtADzFa9
zyGFcFZhWhpkA5JCpAyh/aVAv8wu0RXslAeYeBFMoZyqrYUiz/O8Npmq91a4oIW2L6ygGe2bCpye
As6Fqu2Yh6RMpFeZaUZTrEuyH+aInqyglSTKiE/tAJthONlBrovFwJJgkYgAHoCMoN9FwvAJei9m
zWz9McZozspeFAS2KvvYT2jsrZ/Z17I7o6kTlBhNeiPPn7uVSNBep0ElMcKJlZThNukzmw3VOpcw
WTaQCw5+usxB+MkMe5f3On+7zfODLMmRrdHlgpQvsbLYc0wSdN0PGnB99UiShE3XIV/4D00KYWjo
A3vMw2bAicMxjWALZy6/NeUVaQqD1/Kdznmf79cVu8U+wc0gCER6wA0C23b+0G1oCHLuhIDEYWXC
jUWyifZP1Ct8YfxLCSCd9hbUSEKYPN3FkJTjYlxqBEOi5L4/eVxbdS17HzBFDBUsu6dBV0ZGkEzf
tlXELNNMugQGCsfwqNocT5YbvB909XPLn1N/SaEwOdOaq1uM8QTkTTx6VkjLjGs85AG9f8+mKU3y
bcoBh2XkmgPl9YXNY28P+TRWsk0JdQYzY6tlSKJEq4JW5bijZhBLu7wse3P5JqYtgb4uDQY4PyUQ
FHv3dqPZOhTkrN45aefBsncw0MmzNlPIetHyV9sSqk49DbOqXd9XV6Xj5ewDKFfSzWC3j2y6mo4O
9x43A0nPVNAYZKXnRMt0l7nrcRaXeRDrFW16o0Ccx/VqU/0YAqySPvmQInFWOTnDrLGqtHfptsj1
IfDCTpysJ7gtPs+Dsad+DpuLaSJ1YuYEXUGQ3RPv3x17trZNqsoORqygIiOjA0a6SZ/2tPKD3MA7
ckvPeTMJz1t2CnYvQVpaNkSdM5LM2ClIOJS/QqBeNOKQZtrnBumIiwzdKeOUGo9nVg3aCwEYjYLy
s77oo1hD1EElCpIu6EzPQ9+R/IkZK/29cn6NGliNCFNy07mD55QWfx/sMb66q6YlguZZxBOsJ8Sm
UA1XI/4YuwhBZe5xWvbicwtYKG6gnkE1Wly4S0pRAUO052FgPyGhj0Eio0CSyuOOqgNy6NpFbrJc
EvNKlx0HODpWHKbhuYGkkX7sDxmY1lgBXi7AHnsR6uayoX2BeX+wdFP66qO7GP3wQ0Wxp+61OxnY
o4+bY4pfpy5haFQGySQ6JI3DnyD+yF0i15QpGyhX8o7LKSXMmULnO2BUKTsKTgl5U26jGffY1rS3
aOwZivFEEoR+mlEImSZEya8iaunGu4DTCIZ6ZEHQzaAxqzGLwbqDVlNmNLG2yT+EP9A6AJoPjd3L
AdxB7aXz0ipSfqa4JA1bRhfdjx3tAQlsES1G77lMulPuo0qJuNxHcZxHO1raMKk7cMmb55lGzJra
2vSknBmyEMui3fYkHADO8riqUi/H7NRnwveKPq+RIK7/y40GyqYtUBXKqnmcWI7JMWDE4iq+U36D
1+H+XJWUW2vRLVNpALuAgvkvJwfqfuiD2u/riwqVgiRBVtxz6u7TUENSCrG2qQIal6cbPXuh8PuT
dpRVX7YDstLYQa1rhy5FsiTHYW4SO2CiZtJNtUeesnP6HZLX0KsuI+0OUYTCAqY0t+uIdshTdOqK
5EZFfb8/J6Bb0bSe2ndsL3hZO1xAFLPmQ5NSVt3EFpbU7a6YEgHnO3g/rI7aa4bpLyTTP8oW37MI
4sgKIPHjMINCWfMfXgcSavY0R437McKecf2CMmYXmgfCluFGMK36KXzNmJVkPVTEXiDGFmqVgdZ/
xRT9+zUU0fFtDYUXJgMxProIDiKSbxkd4WRhCdM38QOtydxgF5NcQORpyjj5gPlqq/W+Z7WwgGKG
vLk/9slMCp0VOZO6yRL05tSD3lwGmcOmXEThzePuba3VOBp5EfYcHF8RcqaEwd7EiAvTw8nmXIiI
ebRUkT5hfY7lbFDTRxTk+PhWCmNpyPBDJj34rZULciDxEhBb+oJTNLAr8aIBZ6moTBWZpb0G03qR
lokU3BkzOOQJSD5I2VAAgMXtboKT/oMpHoYJsLtdiuZQu5aUGm6dsAHAMWSZt1k4ErzKbUWArfl2
QiZkTlZ7OXipnC85CsvjJxyFBbcK0EbtjmqGjwj7iZY8EslbrlBlFrKjn885vk+HpfIo0bI4iP4t
8mVgtKWpQ8OhX2xnVX9rTnGYI7yS9tC/4kRJVIekCrg1Z7l8+zQg7ykRoAlo/+lhALfYYYtVuTfw
tRRHzMZUMmqP6LJloTaqSmwy3K7J5KzZ4J9cllM4oDRrGSGefILinETJvdYGmma7BrI0YNB2x/uk
GZf6IkWranhWbCQsFAuLhxpvkT8DbbSdQ4dwZoxrYmAT6wIo76W6JR12UDZee6ss06uGPKC9AIyK
4vRaB85iP1cr049XOsQOBDHT1OVTh66ou/6y75wxTi4dyKQmjyQtQ07JOl6lRrGSTvr0FiqLFEsB
2gc8kqqPxXBZDRHq4Z/g9dJdrfBxpy4yBj1yb0DUJHUM11bwuFwKEoxLtsh/7rVuN85DcmC9N7sI
zYqjdyptNzjESx3Je0Y4PjyMeNsMjcX8zPM5fqR8gpTA02A6FHV4t4f7QLf8O6o3gRlrgg/LswoT
qR4wkP0f5s6sN24r28J/xeh3+nIegJsAt0qyZVmynMROnH4hZEnhWJznX3+/zUMnqnJaDqBGdwR0
O7Yk1uEZ9tnDWmvXkr4/uNL3NB1K/EKVc+lBnPBzYA04RLNZ40WE48huV97D4LVyKql7if/V1PwQ
uS2J87cqur3CZ6BApN5N3Zdtdk7VRwIRZeU1qqLU5fuJXwdQ7iFlmB4oWDXnrjlJWJcqaMUQEuBe
qwgRPN/CA6I2k0s9phkDR3S9a5Q5p2Chme4+Ep4UDKPMHB9czUWm9nKYbDllfWOMYkriXgYiGgrc
dApJJz1ZzRuvqNieUHDEmVZ5wLAMyGw589JZP37DCB7jyhwT3XrUHTzaDxAJfE03xS13FvRHw3fK
nIFhSFoyZOA0IV+alaRfisyvGXi+ZrW6CLTzpw26AQqXI/j0iMxTqwzi3BPQn+dawLu/ApURk7VL
Go3ZO687ECiiGIiuRfI6zXoxYqgpizUJp0ONxfTdxsIXxi+RxMGGvtmCzXYJBTYzBNSPPkBnpX55
OcYmSfVXht6Blf01UhETF6LDhTNRL3AvD9OwBtuNJwGLS0mTBY7sWZyhqgsrPu3p9z0hbbMCXIZ2
ANpc9xw/gL59fCX2nPCITjPWu5JUqX6pO12inRncwek/g7QTW6zYyAXscl7SgurHxhlNUHXXsZP0
9rhzwCTkFwOIpegVLJOp/GcdBJH5qjbclp8lCcqbPT3s04vcoLRBjMoFCs0RkPLJRT75LhNLx7jr
SqDu3qXGYoK4QIwDx0bjgkp3yvx09WHNA1pFTL8LyEfuh6dHckK6ZAIdqD2WDjZfAJKo+h5PoMHN
1/tlOlz7bixHywqFBA0HVRIVWxqtXNEcpM3w4AdzCJyzxTcIBLZBtnrbkKUwItwyUiX8N12q8ANV
h+9ixe8ECwqBlyr2ePoNjomL8gLcXiaChohLITl4qilBW6aqCa2uuq5WpNeh04HR7IM8wKmtYnTw
viXqcQxldUz2XMDKBawgqi5Q/45n7ECDmKrv/Op6ihzJg5iAN8d539Q5bduAv5eYoZxOpc4nH0oe
P/D0+3615U3o9jbYXvxIls47pZYSqghZ0uuvsATiyEQh0HwxdtLrAuQWq4BPLhGfWgDsgRjLuTfB
Bu6HRdp82weXkFixJVXIAsJtKvtdrJdh8FNrOzzlG+M2TxxGOatApoiGYErprndS1INQTuMAVPuv
x2KomodxlLZQO2PF72Vrh0JzrQNlsdY73h7AXQYgtdYo3+HjM+gUBiJRMeqH35xU/3QXuaZlCmYa
tS3HdL/S2wrtoNUP+jBe05mbatPFhgF0XHoNMmmHgTAebiJ7OxpG8RISMilMfjB0cier682eyZ3g
W9UhR0hf4Yl5Xq/ZhNVrUm5o0uEoEefGCXTMvcUND+p+i8dTPRR3YySlQ2ZM1QICzaCaATFF1xfr
jTb7lWGdjUSm/e1MURPjS85MsA8hyE/3U5c0sitDZyWIbHlgmDnEVmjkxmuU31Z4MfmSeGZ9vbms
zhp9eVkv1TeCYrm7qqUj0dZVplYdXikvJgUyQGF4Le1MqixgMGaWZcXsVcrMzpazVtSkBe3FFkM3
642iHBTNoUBEDWEkWUKuU93mSxFVtD+JewAsCgYUKso5ACdrOa9Md6zHV4kLVL2+4DoHj0aZmqJB
DPiYDY7SsNgsoATcXGEY2u6NDpUS4WfCd7DCN1SnUFs6Q8oidAB51qlx7zhgzeg1UODSAZ6bSol0
UbMSKB3E8IBQZHNjsiLEgUKUUQjcSHmDxvgWSl1M7R8odbadhcKA5bGYto9k6ukBAYTlmvTxS681
bB4nukL+nlly58QjYqLETKL2Rp2UUqEC+5j0AQnFYBZ3p8lQf2xff0kXKlxgvyBhiCwiCnx0vITS
InfaYmRzivipAfWc3sGrh/aN035qJTnfWCjiQmgQmMtTsww1winjPGuvqpBECVGN3k5IodlIy6Xt
bhs40MzOPQuTaVqWXdPqckXXayrDYe+xFONSdow3rnuJ5kJgJcOPh6Hn/4cJLx3ssQ3d4NPoVGzv
p99AzNHRanjILtBtChU+uK/ckMdmXtNsckR+lV2Bk22d+iwYDHxsEPIe7LFdYNKxgCz8Wq17+oO/
MkXCkYAoh203XR+C6/EHwzCltWhjm29rHx78Z8oIvJsZ9gKARhYWQ/T0550o/rHvxCCz4/BjSdS7
gRjuR2mFzGnQsSk958pOOymSDHUsp589jvz33pjol9HtqRJZoFbtkPhiQw43TROT3irDRC7ZbcXi
mc42Uklri4eg8ryF7jj2IP/UpY7UFLRR90hikVrqaD3qjlwXOyOK9PGh0gv78BrYqcexe/odTxeT
bYiT4wYGviLX0OnRmmiRXbqHpr0CayElOThYjUUlg1pr/jrNdbFWtbUIUeDpDz490yih0emMW8VG
m8flZB/PrQbLnyYzWn5ldVwBJB9gm0n7X1OmDLq0JDsWpMDZ6xbNVRjGpODvTw/j1OH08BQcjw3F
xf0ntM+ADDAd35L6SsVZ/LfOUsDMkFwMULMDMuDxWred3FCGNgLXLj/TcmFsPz89lFPD4HFb2Xgw
wo1CovqUKE3X7ilBXlZ/m9W5XKRgIiVahB7ONk/aigBJ5eXtyhMcw9Of/tV64Lf5CFsiNUKYFJwq
skWh2xt6U7aXcxZDsb/olx5PJ4ipBUHvEH7Wp82+wHJm06q85tNjsGTRH5sW3yAyEyosuTz25Kk4
W0Q2k27t5fC2bIbWuZpNTy+Sc+QTA+2uiluLHkAZjed9vPEmH7K7JA1C/kJaI0vic38CwIadbKfU
uT1EEGtjNDfWyDxa+0l3bi+ZgXYMyS2pd2orD1jLmRmRzLuhuQOh0VmLysvwS1fVtPh6NQ2WXt31
AfmiX9IikEuuWskQwepQ0lWznH+tQEuO3vkyFEREdLeRTOOY9IN5Vvpz541nFJy4e5+erdOtiwXk
LiHzCToOBtfp0Q0HaoB1dkjfDvRSSoRHneh1DZDZnXSoWRTvDjOtHVpHM3eDltTRTNqYDizulWse
OppePT2cU0vi4yjCnvZFqQy26il0ZCynCClMO36rYjaFiy9VDTJZI5AR28f0Pf2xp5eCz2ZlIoyV
LAYf5sRGV6A+NQ0zfkm6J4E0RTMH/J9VUzuFzoZ78y13hKvueJtC0uOkOL5jYbdopXe6TVEAbSDD
1cUlnYuETEQXGT6TpkXQPyqKOl4+UXgYo3I4N0nD44EU/SJxxxAU4hR7U+/Wwz6aAMgX55ofLkKR
QiwMA9zQ81koBHXj45nBRIHRfTa3seTdNbNqG3RS64r8MNXstjBvIFFK3U75mtnCbDV7LUDB+yOc
M0lfqCwPmGwp13kq86AKFNRaBD3QtnXIL6ns4nBAfAZ4TmH0uBe+rpEKDlSaegh1DJEiqkAPlBeJ
QZPwB+1g5Wba7JZZJBk9i9DC1eIQErdAVX0bKgGtuFq3SX5VKU4VXZnaxL29aUEtbSoD0mk7ZFIv
iE1Ssnvym0MLCC0ArXbp1cSY8Q+bG77FEK5VSpkhWXmjtJfIi26HACFiNujLLJH7qV9BjAWHYPHJ
atDC9HbbGZQBPVIwpmHkGSIuUVcYdKIaNM35JaINsD3u0xmJ43kXggWjH5meBXF+HtO6Gnpsm9Is
74dlXCL7Hvkp/J+doiD5Le2q2tdFTdkleb1hFfuCvCx0lKBaI5i5IEmI2ip8+ys3QRL4Y29Tr8j3
Dk3Qpo9bckAyC93ZVBqI6+wSTwNVussdgDLGrpg5y8CDFMAvNyNtunAJuoZhd7DKZPxpXGB3aBvq
SGEjVd0ABJss1wRkhtlW9Zt5xSHNwSwWFCqxmcOHqRey83VrT6wxQrxSQFxzGUNhHVy8zmq2zfoC
ajr0l105gesCDaKq2yZJMH7LavuF7Q8IIGpRoiVop1u2ctFThPTL8v1SFcAivoD47IVagVlA3Puo
+G3UpUiHKxDQIawp0HIkre4Xv0sb9/0CAIwz08WaXEkbArNdwJLsO/cgVXbQRgIVTKxF/kjNXrJG
mWZyt1F/JSExlJS3+ScFUkMrgclfHEqcgP1gRJNUVwy3wTXwOVvHEjDFoGhlGw4pnE0H6eXF8sbi
KldFZxWSu5XVop/R6E2G9e17TMRHlYht1yLlwUSc9yaAIEOv6aSY27MxHHoa8qSjG77NQGM6aCqA
hrigKC640sy3JExx1uJvQZTCMFWUokrpG2KTFlX9cGOCgHNgQ8VupN8g2UnIWhYki38zS7rXwCZb
cRNA4lq8q8ZpxPzkcwxmAgiIHH+6Lwl2a+g4FkA/ZvSWdl0CT49MtcnBN3dkM5wBvbEGdWVYVYax
BBeb84bCGMVYALquD5B7bEbvxikiCVpGYDjpb2MI3Ks9L0s368m/dlaUvwGzWhvoMbUkN6sz154y
jea5UW/jbs+RT5OB66hcCEZ3jULtgbWWbabl2sSDNXj2/LGx/brGxbQktItkO6R2MCbeK1B78VDv
AVrk3fmBZgwzzeC5MOkf1jA31Q+k1A7NJXxdrwNrc5hrtrQCGnCNY8jwDmUBFPsQgeUMukBQu6Vt
AU4Tcp6nQEM0TBVThp4jKQBX052w2hVUmW3k7xRCTCsbeZ4NbeVz2YHc+Rldtk6ogKMrhTrFn1U4
4ILbhM282JrjtPcqR9UObHHjbCjNjtide7kGtpDSsZoxoKpjBeeD1kcjkAcyI+LDRQfWIzbLSSJi
e6UpDLEY+8z1BWagDikNzQkZBOJQ5fl7mqIJYkHVtrbyh2IXJiuptqOpAg2M5r4bKWUXuLbDpVp4
hD5aEjaRI8WQQwrrFjhYnprVVQOPagrPLFY1tC96MHzTvA3IRmE1PlNXxpbu9RRDV4H+1S2XaFCP
PgIQkdeKrBXnrmrkS+wt2QXNwebsVi0RGTMxDQYNVNnkpD4n4Gx0NYjLz4omi2EqmVrueQkj3Xzh
lChczFZEGRRrc1bWEsreUHwoydl7d5Ux28PrXK+xCC0BQYdE6woBVZgCra8lB7FNoeOOBIjhALyI
TwtcQUj0a96s7gtzuadYV1avNSvPg+BMq11v+RCL4hEc0hXmeAgGCYIiv8OGwC4WjmtnzeHyafYQ
A6KtZdBjJ6aIji3uDl4qSZmUhtAtfBsrSOo9qWrJhmYzqqQ8Z6W9QsyT2EIXcSMDTRPWaFTVL6pb
c/bONkvd6NngaTvRslE3IUreEPqP9o1lpqV+o2pLPpxtbmUlfeRl0Nqm90tOQocavEu3G9i4niPz
3yBtxx9wvNmK7Xo+S8dac4frXJntQNpKlVjUWtNyi/Q4Z1KuPLXzqhVti7fLSlUN3JFLm1IHHncM
Mc35VBmobPw2VynSZTtEjyWRtmEt4nbgdVWmTQFiDlZMXZTExYHxz2CqHPprgTCWMStNCiwbY1Vw
5a1qW5qOOFbqrghV0RzEnsdN3ZvAKqXmWHQo58S23TDsspyFudCncBJ+Bzv3dbIS0BVgF+MkIV+A
JtX4sY1ssb56PEp1WdUEN+A5/aikmlkqBHDiUNa6NhBxINdXEpl+dmlyVZifkjIF9YLCTWe70ebF
qRxR3WuyENPqF2UzHeWSKxA0IdhhkFP80mGa4YHCmrRpyPimmog+aCaT+sFhB7cKINA+Omh+Y+4V
7L6tBgl24MLmjY/+/TiYCNav+Je5IPpH0akKRWtui96hXLPcWWvYcCXKrs/P8RqD2HnHBXEAcm0v
NC2ghhsAlAC4TxmOpL2qvqYjdAjjbVI0ONu6nvP/5uBiCSBuwnh95baRMXdXoD06oI0q8bxdkeQi
JJ9gBEsQJvuhOViMe7chHMl/SBK0A9oCj0UB4PgLyAB6p7Kh6H6IDafxAjALa2GhKdmt26440DT2
fENZbFY9m6XethVyo5DOATuKH8DaI7tz2CAR1XjQGuaEX0230nV96q14vqIRyeGiiX6RoFQs9wws
FeqMsAEk8bS9Bq2ABLQazblQOwqlNaDZNp5u4DUBRR7XNmUHt1Uq2WR6Zkju2l0TCePKLefyli2m
sGfOQLXw1cZpUVPelVVOr0EQ7+lwEfgpNZG66AlvNjsLaW+oftFDfL43Nh2rqmHcWVAFqaGOixFw
C8CG4Pbdku2WmYjZ89eCc10HkpWu8jHVp/dAu8SNdRZDUroWrZymj9mavV6ikmqBymMqZ5CmoeKr
Hcq0MIz9lHQDesXb7TXErsVGLEDOMSnDSCb5U4qg57oDXQmRgsWSbxElCFGpdDWvTX6aMOHUHBKY
G0K0GUIS/8aoC7hy8AyWCiQ9N+oGTG5XAnrQlcL32A6hqv5tkCjqzry1EJoPOo2Hs6h7tb0ZN58s
oXq1IaRrEsBVVbFpx9zMf14Ovae/NZNOLlx3RUZgi9v0tw2CD2JIbODi51IvJBDgWusrjuelE0fy
nW0jpqsEQAbBlIoGlRHeq1oG8fR1dQlSj/PNaa/D85g/O3oqaP+5JDn5sQjisPm4gR1axxdEkR4f
ijJ6VSNFk9+iICXreFirThQf2f7bHtvSzeYilYGcVrJM4Mb/aNfavtN32Kcl4ZCzzP1sMqnrvvL1
kn2FNedEIJwqA1XwBMepWf85scTFVzocCqBBRM0t4UVL7P9UNWMBBR19JOYzpFsmn4tjKWnVVMl+
9pWo42k+NbRoj8XT3R8atOZpmbHgDZaffaOyNaT3aLt6MaPoy/HWktzpol2MmLFzr0CFipaNF991
l8YUV7cuOQIaXm5mV08F7GlAhWP4jTsIU0r5bBuy0C+NjDPLqZKSBXS7DJuo2bXZ0OS6H4af4RqU
7E7cxZoSlLH6khvwBQIAm0rdh7pjdfzm9hzCaqEjbagPAl5s60HLpOaxJb42LKZR62lYXswxhPwM
/CJOKuZkrU+1eZwB50k9wZgqp6ni1HNCN9reoK36b7UyJuDocCjeDFN5YJzlQuUBcQO7RtJ3NzVB
Hfx4QBmGTVAgK+p1ON64vjdJauLmxj0dZaSkN+EyUf4y65KjiloCNxI02zWcReCbvzVRAuYtdAIE
3vY+OrN+Q4jYFVA1V+AwaA9SPumKjNsYUwZ0a3g1W4gHWyydPtRaEkwufW6WfqB3RtFP2IFEq4Cd
n7sKhl9lumDTlXVzGjIRzb7LDYRWz7PWJ125B9Gkt9cNCF7tLU63Ft4rDuKCyAE35UGjvgYTY8Zw
kbWUQ64ShJPHHfYWSZmkqF4rQZq5XoS8paRTMjpi2e1rFh5dBLJA6wa1A2SMuT/AkjXNz0hY5eNy
mS8UaKfzhlzXwbtBoL2InHO69ZZDe9aItPiPnquxiE9n1k7UsigLkJx3HXSaLSr6tF44qef30PVp
qx7Fl8i1IGS5X6Cro44SlnKSmsIUUzC3rCHUS5UPolmaeNvb+yspoUAdynVs/7H2mPJBd2U1Q6tC
BOP7/90++Oy2uz36yzk3Vjf/0D80848PQGS7p7/Lk3hw9FDKg94TsXcfyq8e8Zd+6OkHvXhYx/WN
XpqmzfI9WvPfB7W+z1PPyG957f7+4bt/OPpLHUwHxRFqYPIFriovi2j7NvIAL33T59q1HPV9cqX/
czRJ/2oann7DL7P91HQevcFd2RedrBJgzOJxd1CLvDkjOnnQ11Nw8oA/psA1X5KXgneM0vL6xSs+
noLAfYmxRzHUIf8tX/+tKbi9PyQFkrCwAe66x1NApZBKy1+ZhJNH/DEJjv2SfA676fGbIxr30qAc
S02easB/ZdlPBqzOxZv77/4hnVoxWM996QBANUWFkxcPvJdSLNTZFmrJ1TF7ZEX+Q7v+X76+sdaD
nvf2LC4VcJ0+XRAs+KJkeLT6BnvCMGjjJKXKv9nqSx/fZ66+7b60DfjQFlGe+jp+f9d6qZtokUNX
V99mfv5ms0DPCHUwv2n9TjbS0cGnaRy9J6ztAkDN+WgX6NwAtCiyV+vwN3t/qvtqUZ7x/qyyjuA7
kduf7gJPfwlS1aZSB+hx/frb7QKO8L/hLDgBTjU4LGXwTtwA131pgM2hHr3N0t/OIMKAlMY1z7KI
tsNeAJtB05g/nwULTwB0VxCA7firR+EvXBq/e4z7OMnvV4cyeWgfeaXf/IEv/s/XD9icKLky8ZSO
fk7cS/XkP9zN748Mxeo3P/rmFz96/Zjt17f3+/qTjz7ry0t9+ceL5KG5be7ief3GvI3y3e0Bn/T/
8s8PTXf72MNR190fI/nuH0fjfLTuTz0Y+lGHru6LvbTH/ZwcfYLyoZ77Cde3RdKVn4+evHkqz330
u4fxxU56WI3JXfZ4bkx1/v8Nz/8NH/s+vy3uX8j/rm4/N7f3ZXP8WXTG+PIPfxqe/H4An1qIdyVc
0/Gh7V58eGhYlLJhv3957OrdodbPzfbsdyqH2xc/3SGOe7wiylY89+n0tL4la/NlmOu4VUj23Ce/
b5Li7uHF+f1429y/eNPKmhx9jHJ/nvsxWJjPD3dHD1Y36nMf/NNtm912d/HDeHsUq5nKYXnu439F
S6b4fevMj1+AopMwOZ77Ce/64nbouy8PkqWFfypyXE8/+c+M4e/R8tcm8ksU/Ge/dmz+5Sfu8ofb
5vv/BwAA//8=</cx:binary>
              </cx:geoCache>
            </cx:geography>
          </cx:layoutPr>
        </cx:series>
      </cx:plotAreaRegion>
    </cx:plotArea>
  </cx:chart>
  <cx:spPr>
    <a:ln>
      <a:noFill/>
    </a:ln>
  </cx:spPr>
  <cx:clrMapOvr bg1="lt1" tx1="dk1" bg2="lt2" tx2="dk2" accent1="accent1" accent2="accent2" accent3="accent3" accent4="accent4" accent5="accent5" accent6="accent6" hlink="hlink" folHlink="folHlink"/>
</cx:chartSpace>
</file>

<file path=xl/charts/colors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406400</xdr:colOff>
      <xdr:row>26</xdr:row>
      <xdr:rowOff>101600</xdr:rowOff>
    </xdr:from>
    <xdr:to>
      <xdr:col>13</xdr:col>
      <xdr:colOff>44450</xdr:colOff>
      <xdr:row>34</xdr:row>
      <xdr:rowOff>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6FA4688D-55CC-7EB4-4678-713F785BB079}"/>
            </a:ext>
          </a:extLst>
        </xdr:cNvPr>
        <xdr:cNvSpPr/>
      </xdr:nvSpPr>
      <xdr:spPr>
        <a:xfrm>
          <a:off x="9569450" y="5130800"/>
          <a:ext cx="2889250" cy="137160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GB" sz="2000" b="1"/>
            <a:t>Claim Count</a:t>
          </a:r>
        </a:p>
      </xdr:txBody>
    </xdr:sp>
    <xdr:clientData/>
  </xdr:twoCellAnchor>
  <xdr:twoCellAnchor>
    <xdr:from>
      <xdr:col>5</xdr:col>
      <xdr:colOff>0</xdr:colOff>
      <xdr:row>26</xdr:row>
      <xdr:rowOff>133350</xdr:rowOff>
    </xdr:from>
    <xdr:to>
      <xdr:col>6</xdr:col>
      <xdr:colOff>1314450</xdr:colOff>
      <xdr:row>33</xdr:row>
      <xdr:rowOff>165100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32A4D0C8-1171-26A4-20E5-D6B63C07CE24}"/>
            </a:ext>
          </a:extLst>
        </xdr:cNvPr>
        <xdr:cNvSpPr/>
      </xdr:nvSpPr>
      <xdr:spPr>
        <a:xfrm>
          <a:off x="4718050" y="5162550"/>
          <a:ext cx="3213100" cy="132080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GB" sz="1600" b="1"/>
            <a:t>Average Family Dr. Wait in months</a:t>
          </a:r>
        </a:p>
      </xdr:txBody>
    </xdr:sp>
    <xdr:clientData/>
  </xdr:twoCellAnchor>
  <xdr:twoCellAnchor>
    <xdr:from>
      <xdr:col>1</xdr:col>
      <xdr:colOff>196850</xdr:colOff>
      <xdr:row>26</xdr:row>
      <xdr:rowOff>165100</xdr:rowOff>
    </xdr:from>
    <xdr:to>
      <xdr:col>3</xdr:col>
      <xdr:colOff>254000</xdr:colOff>
      <xdr:row>33</xdr:row>
      <xdr:rowOff>177800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7D62B333-230B-E9C0-9B49-E35233A91EF3}"/>
            </a:ext>
          </a:extLst>
        </xdr:cNvPr>
        <xdr:cNvSpPr/>
      </xdr:nvSpPr>
      <xdr:spPr>
        <a:xfrm>
          <a:off x="806450" y="5194300"/>
          <a:ext cx="2946400" cy="130175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GB" sz="2000" b="1"/>
            <a:t>Median Claims</a:t>
          </a:r>
        </a:p>
        <a:p>
          <a:pPr algn="l"/>
          <a:endParaRPr lang="en-GB" sz="1100"/>
        </a:p>
      </xdr:txBody>
    </xdr:sp>
    <xdr:clientData/>
  </xdr:twoCellAnchor>
  <xdr:twoCellAnchor>
    <xdr:from>
      <xdr:col>4</xdr:col>
      <xdr:colOff>57150</xdr:colOff>
      <xdr:row>7</xdr:row>
      <xdr:rowOff>158750</xdr:rowOff>
    </xdr:from>
    <xdr:to>
      <xdr:col>7</xdr:col>
      <xdr:colOff>431800</xdr:colOff>
      <xdr:row>22</xdr:row>
      <xdr:rowOff>133350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B33DA58C-C4F4-4E28-B0BB-138436B3287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165600" y="1689100"/>
              <a:ext cx="4210050" cy="27368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527050</xdr:colOff>
      <xdr:row>7</xdr:row>
      <xdr:rowOff>171450</xdr:rowOff>
    </xdr:from>
    <xdr:to>
      <xdr:col>4</xdr:col>
      <xdr:colOff>6350</xdr:colOff>
      <xdr:row>22</xdr:row>
      <xdr:rowOff>158750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D7C0230-6513-491B-B69F-401178817C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215900</xdr:colOff>
      <xdr:row>29</xdr:row>
      <xdr:rowOff>44450</xdr:rowOff>
    </xdr:from>
    <xdr:to>
      <xdr:col>3</xdr:col>
      <xdr:colOff>234950</xdr:colOff>
      <xdr:row>33</xdr:row>
      <xdr:rowOff>69850</xdr:rowOff>
    </xdr:to>
    <xdr:sp macro="" textlink="median_claim">
      <xdr:nvSpPr>
        <xdr:cNvPr id="6" name="TextBox 5">
          <a:extLst>
            <a:ext uri="{FF2B5EF4-FFF2-40B4-BE49-F238E27FC236}">
              <a16:creationId xmlns:a16="http://schemas.microsoft.com/office/drawing/2014/main" id="{6DE78E62-4A8A-3EA1-C192-0E03F68E14D7}"/>
            </a:ext>
          </a:extLst>
        </xdr:cNvPr>
        <xdr:cNvSpPr txBox="1"/>
      </xdr:nvSpPr>
      <xdr:spPr>
        <a:xfrm>
          <a:off x="825500" y="5626100"/>
          <a:ext cx="2908300" cy="7620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57D39FD9-8900-47A4-A158-A5E20895DEB1}" type="TxLink">
            <a:rPr lang="en-US" sz="2400" b="1" i="0" u="none" strike="noStrike">
              <a:ln>
                <a:noFill/>
              </a:ln>
              <a:solidFill>
                <a:srgbClr val="000000"/>
              </a:solidFill>
              <a:latin typeface="Aptos Narrow"/>
            </a:rPr>
            <a:pPr algn="ctr"/>
            <a:t> $142 </a:t>
          </a:fld>
          <a:endParaRPr lang="en-GB" sz="2400" b="1">
            <a:ln>
              <a:noFill/>
            </a:ln>
          </a:endParaRPr>
        </a:p>
      </xdr:txBody>
    </xdr:sp>
    <xdr:clientData/>
  </xdr:twoCellAnchor>
  <xdr:twoCellAnchor>
    <xdr:from>
      <xdr:col>5</xdr:col>
      <xdr:colOff>31750</xdr:colOff>
      <xdr:row>29</xdr:row>
      <xdr:rowOff>25400</xdr:rowOff>
    </xdr:from>
    <xdr:to>
      <xdr:col>6</xdr:col>
      <xdr:colOff>1263650</xdr:colOff>
      <xdr:row>33</xdr:row>
      <xdr:rowOff>120650</xdr:rowOff>
    </xdr:to>
    <xdr:sp macro="" textlink="wait_period">
      <xdr:nvSpPr>
        <xdr:cNvPr id="7" name="TextBox 6">
          <a:extLst>
            <a:ext uri="{FF2B5EF4-FFF2-40B4-BE49-F238E27FC236}">
              <a16:creationId xmlns:a16="http://schemas.microsoft.com/office/drawing/2014/main" id="{1034C0F6-7DC6-33F2-3727-F60B8391F5EC}"/>
            </a:ext>
          </a:extLst>
        </xdr:cNvPr>
        <xdr:cNvSpPr txBox="1"/>
      </xdr:nvSpPr>
      <xdr:spPr>
        <a:xfrm>
          <a:off x="4749800" y="5607050"/>
          <a:ext cx="3130550" cy="8318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AD1C6D7A-F915-4250-8DF9-9AC737C0FA2E}" type="TxLink">
            <a:rPr lang="en-US" sz="2400" b="1" i="0" u="none" strike="noStrike">
              <a:solidFill>
                <a:srgbClr val="000000"/>
              </a:solidFill>
              <a:latin typeface="Aptos Narrow"/>
            </a:rPr>
            <a:pPr algn="ctr"/>
            <a:t>30.9</a:t>
          </a:fld>
          <a:endParaRPr lang="en-GB" sz="2400" b="1"/>
        </a:p>
      </xdr:txBody>
    </xdr:sp>
    <xdr:clientData/>
  </xdr:twoCellAnchor>
  <xdr:twoCellAnchor>
    <xdr:from>
      <xdr:col>9</xdr:col>
      <xdr:colOff>450850</xdr:colOff>
      <xdr:row>28</xdr:row>
      <xdr:rowOff>127000</xdr:rowOff>
    </xdr:from>
    <xdr:to>
      <xdr:col>13</xdr:col>
      <xdr:colOff>6350</xdr:colOff>
      <xdr:row>32</xdr:row>
      <xdr:rowOff>171450</xdr:rowOff>
    </xdr:to>
    <xdr:sp macro="" textlink="claim_count">
      <xdr:nvSpPr>
        <xdr:cNvPr id="8" name="TextBox 7">
          <a:extLst>
            <a:ext uri="{FF2B5EF4-FFF2-40B4-BE49-F238E27FC236}">
              <a16:creationId xmlns:a16="http://schemas.microsoft.com/office/drawing/2014/main" id="{1DEE7C10-252D-601C-E14B-B40D73F8BF89}"/>
            </a:ext>
          </a:extLst>
        </xdr:cNvPr>
        <xdr:cNvSpPr txBox="1"/>
      </xdr:nvSpPr>
      <xdr:spPr>
        <a:xfrm>
          <a:off x="9613900" y="5524500"/>
          <a:ext cx="2806700" cy="7810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76DDB427-C9A2-49B4-AA0E-D4C70A88CFAE}" type="TxLink">
            <a:rPr lang="en-US" sz="2400" b="1" i="0" u="none" strike="noStrike">
              <a:solidFill>
                <a:srgbClr val="000000"/>
              </a:solidFill>
              <a:latin typeface="Aptos Narrow"/>
            </a:rPr>
            <a:pPr algn="ctr"/>
            <a:t>52</a:t>
          </a:fld>
          <a:endParaRPr lang="en-GB" sz="2400" b="1"/>
        </a:p>
      </xdr:txBody>
    </xdr:sp>
    <xdr:clientData/>
  </xdr:twoCellAnchor>
  <xdr:twoCellAnchor>
    <xdr:from>
      <xdr:col>8</xdr:col>
      <xdr:colOff>323850</xdr:colOff>
      <xdr:row>7</xdr:row>
      <xdr:rowOff>19050</xdr:rowOff>
    </xdr:from>
    <xdr:to>
      <xdr:col>13</xdr:col>
      <xdr:colOff>234950</xdr:colOff>
      <xdr:row>22</xdr:row>
      <xdr:rowOff>177800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55A77E96-A7B5-44BB-8D21-E83EBD4736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AFCF5F6-59EA-464C-9565-1DF5F07A859A}" autoFormatId="16" applyNumberFormats="0" applyBorderFormats="0" applyFontFormats="0" applyPatternFormats="0" applyAlignmentFormats="0" applyWidthHeightFormats="0">
  <queryTableRefresh nextId="12">
    <queryTableFields count="11">
      <queryTableField id="1" name="Patient_ID" tableColumnId="1"/>
      <queryTableField id="2" name="Age" tableColumnId="2"/>
      <queryTableField id="3" name="Gender" tableColumnId="3"/>
      <queryTableField id="4" name="Province" tableColumnId="4"/>
      <queryTableField id="5" name="Family_Doctor_Wait_Months" tableColumnId="5"/>
      <queryTableField id="6" name="Insurance_Provider" tableColumnId="6"/>
      <queryTableField id="7" name="Claim_Type" tableColumnId="7"/>
      <queryTableField id="8" name="Claim_Amount_CAD" tableColumnId="8"/>
      <queryTableField id="9" name="Claim_Status" tableColumnId="9"/>
      <queryTableField id="10" name="ER_Visits_Past_Year" tableColumnId="10"/>
      <queryTableField id="11" name="Healthcare_Satisfaction_Score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1934FA-A599-4533-AB68-E8672EB27F7F}" name="data_table" displayName="data_table" ref="A1:K5001" tableType="queryTable" totalsRowShown="0">
  <autoFilter ref="A1:K5001" xr:uid="{F61934FA-A599-4533-AB68-E8672EB27F7F}"/>
  <tableColumns count="11">
    <tableColumn id="1" xr3:uid="{ABC29505-D2FF-4C51-8119-BFF8A563ECAF}" uniqueName="1" name="Patient_ID" queryTableFieldId="1" dataDxfId="6"/>
    <tableColumn id="2" xr3:uid="{AB70CBBF-C55A-4A2C-842B-7ACF2740D4B0}" uniqueName="2" name="Age" queryTableFieldId="2"/>
    <tableColumn id="3" xr3:uid="{AF8B5460-7246-44D2-8DF0-B66725D4C628}" uniqueName="3" name="Gender" queryTableFieldId="3" dataDxfId="5"/>
    <tableColumn id="4" xr3:uid="{7DBAA328-AF25-4A8A-94A8-B32528E35721}" uniqueName="4" name="Province" queryTableFieldId="4" dataDxfId="4"/>
    <tableColumn id="5" xr3:uid="{B66E5345-81F8-4601-8F97-B224BB633AF9}" uniqueName="5" name="Family_Doctor_Wait_Months" queryTableFieldId="5"/>
    <tableColumn id="6" xr3:uid="{93973E05-DB9A-4745-B0B5-791AC03C7691}" uniqueName="6" name="Insurance_Provider" queryTableFieldId="6" dataDxfId="3"/>
    <tableColumn id="7" xr3:uid="{CBA68C10-0486-46F7-83E5-E32289851827}" uniqueName="7" name="Claim_Type" queryTableFieldId="7" dataDxfId="2"/>
    <tableColumn id="8" xr3:uid="{37BE3183-C468-4AD4-9D8A-35770AC8E248}" uniqueName="8" name="Claim_Amount_CAD" queryTableFieldId="8" dataDxfId="0" dataCellStyle="Currency"/>
    <tableColumn id="9" xr3:uid="{9FD5F0C4-90EC-42D0-8B0D-7BC6A20E5FDE}" uniqueName="9" name="Claim_Status" queryTableFieldId="9" dataDxfId="1"/>
    <tableColumn id="10" xr3:uid="{1F04CA9A-AB51-4368-B6E4-AD5BAD6DCB69}" uniqueName="10" name="ER_Visits_Past_Year" queryTableFieldId="10"/>
    <tableColumn id="11" xr3:uid="{CCE4DF8D-4369-45AF-93C0-BD7957B1F794}" uniqueName="11" name="Healthcare_Satisfaction_Score" queryTableFieldId="1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14BE8-FE13-42DA-A9C0-9905FF66556D}">
  <dimension ref="A1:K5001"/>
  <sheetViews>
    <sheetView topLeftCell="C1" workbookViewId="0">
      <selection activeCell="H34" sqref="H34"/>
    </sheetView>
  </sheetViews>
  <sheetFormatPr defaultRowHeight="14.5" x14ac:dyDescent="0.35"/>
  <cols>
    <col min="1" max="1" width="13.36328125" bestFit="1" customWidth="1"/>
    <col min="2" max="2" width="6.08984375" bestFit="1" customWidth="1"/>
    <col min="3" max="3" width="18" bestFit="1" customWidth="1"/>
    <col min="4" max="4" width="23.54296875" bestFit="1" customWidth="1"/>
    <col min="5" max="5" width="27" bestFit="1" customWidth="1"/>
    <col min="6" max="6" width="19.36328125" bestFit="1" customWidth="1"/>
    <col min="7" max="7" width="19" bestFit="1" customWidth="1"/>
    <col min="8" max="8" width="21.36328125" style="1" bestFit="1" customWidth="1"/>
    <col min="9" max="9" width="14.26953125" bestFit="1" customWidth="1"/>
    <col min="10" max="10" width="19.90625" bestFit="1" customWidth="1"/>
    <col min="11" max="11" width="29.0898437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>
        <v>78</v>
      </c>
      <c r="C2" t="s">
        <v>12</v>
      </c>
      <c r="D2" t="s">
        <v>13</v>
      </c>
      <c r="E2">
        <v>20</v>
      </c>
      <c r="F2" t="s">
        <v>14</v>
      </c>
      <c r="G2" t="s">
        <v>15</v>
      </c>
      <c r="H2" s="1">
        <v>0</v>
      </c>
      <c r="I2" t="s">
        <v>16</v>
      </c>
      <c r="J2">
        <v>0</v>
      </c>
      <c r="K2">
        <v>3</v>
      </c>
    </row>
    <row r="3" spans="1:11" x14ac:dyDescent="0.35">
      <c r="A3" t="s">
        <v>17</v>
      </c>
      <c r="B3">
        <v>37</v>
      </c>
      <c r="C3" t="s">
        <v>18</v>
      </c>
      <c r="D3" t="s">
        <v>19</v>
      </c>
      <c r="E3">
        <v>15</v>
      </c>
      <c r="F3" t="s">
        <v>14</v>
      </c>
      <c r="G3" t="s">
        <v>15</v>
      </c>
      <c r="H3" s="1">
        <v>0</v>
      </c>
      <c r="I3" t="s">
        <v>16</v>
      </c>
      <c r="J3">
        <v>0</v>
      </c>
      <c r="K3">
        <v>6</v>
      </c>
    </row>
    <row r="4" spans="1:11" x14ac:dyDescent="0.35">
      <c r="A4" t="s">
        <v>20</v>
      </c>
      <c r="B4">
        <v>26</v>
      </c>
      <c r="C4" t="s">
        <v>12</v>
      </c>
      <c r="D4" t="s">
        <v>21</v>
      </c>
      <c r="E4">
        <v>29</v>
      </c>
      <c r="F4" t="s">
        <v>22</v>
      </c>
      <c r="G4" t="s">
        <v>23</v>
      </c>
      <c r="H4" s="1">
        <v>519.75</v>
      </c>
      <c r="I4" t="s">
        <v>24</v>
      </c>
      <c r="J4">
        <v>2</v>
      </c>
      <c r="K4">
        <v>5</v>
      </c>
    </row>
    <row r="5" spans="1:11" x14ac:dyDescent="0.35">
      <c r="A5" t="s">
        <v>25</v>
      </c>
      <c r="B5">
        <v>19</v>
      </c>
      <c r="C5" t="s">
        <v>18</v>
      </c>
      <c r="D5" t="s">
        <v>13</v>
      </c>
      <c r="E5">
        <v>21</v>
      </c>
      <c r="F5" t="s">
        <v>26</v>
      </c>
      <c r="G5" t="s">
        <v>27</v>
      </c>
      <c r="H5" s="1">
        <v>170.47</v>
      </c>
      <c r="I5" t="s">
        <v>28</v>
      </c>
      <c r="J5">
        <v>2</v>
      </c>
      <c r="K5">
        <v>1</v>
      </c>
    </row>
    <row r="6" spans="1:11" x14ac:dyDescent="0.35">
      <c r="A6" t="s">
        <v>29</v>
      </c>
      <c r="B6">
        <v>20</v>
      </c>
      <c r="C6" t="s">
        <v>18</v>
      </c>
      <c r="D6" t="s">
        <v>30</v>
      </c>
      <c r="E6">
        <v>10</v>
      </c>
      <c r="F6" t="s">
        <v>31</v>
      </c>
      <c r="G6" t="s">
        <v>15</v>
      </c>
      <c r="H6" s="1">
        <v>291.93</v>
      </c>
      <c r="I6" t="s">
        <v>24</v>
      </c>
      <c r="J6">
        <v>3</v>
      </c>
      <c r="K6">
        <v>6</v>
      </c>
    </row>
    <row r="7" spans="1:11" x14ac:dyDescent="0.35">
      <c r="A7" t="s">
        <v>32</v>
      </c>
      <c r="B7">
        <v>30</v>
      </c>
      <c r="C7" t="s">
        <v>18</v>
      </c>
      <c r="D7" t="s">
        <v>21</v>
      </c>
      <c r="E7">
        <v>26</v>
      </c>
      <c r="F7" t="s">
        <v>33</v>
      </c>
      <c r="G7" t="s">
        <v>34</v>
      </c>
      <c r="H7" s="1">
        <v>169.94</v>
      </c>
      <c r="I7" t="s">
        <v>24</v>
      </c>
      <c r="J7">
        <v>2</v>
      </c>
      <c r="K7">
        <v>2</v>
      </c>
    </row>
    <row r="8" spans="1:11" x14ac:dyDescent="0.35">
      <c r="A8" t="s">
        <v>35</v>
      </c>
      <c r="B8">
        <v>57</v>
      </c>
      <c r="C8" t="s">
        <v>12</v>
      </c>
      <c r="D8" t="s">
        <v>19</v>
      </c>
      <c r="E8">
        <v>8</v>
      </c>
      <c r="F8" t="s">
        <v>31</v>
      </c>
      <c r="G8" t="s">
        <v>34</v>
      </c>
      <c r="H8" s="1">
        <v>101.68</v>
      </c>
      <c r="I8" t="s">
        <v>24</v>
      </c>
      <c r="J8">
        <v>0</v>
      </c>
      <c r="K8">
        <v>8</v>
      </c>
    </row>
    <row r="9" spans="1:11" x14ac:dyDescent="0.35">
      <c r="A9" t="s">
        <v>36</v>
      </c>
      <c r="B9">
        <v>84</v>
      </c>
      <c r="C9" t="s">
        <v>18</v>
      </c>
      <c r="D9" t="s">
        <v>13</v>
      </c>
      <c r="E9">
        <v>13</v>
      </c>
      <c r="F9" t="s">
        <v>14</v>
      </c>
      <c r="G9" t="s">
        <v>37</v>
      </c>
      <c r="H9" s="1">
        <v>0</v>
      </c>
      <c r="I9" t="s">
        <v>16</v>
      </c>
      <c r="J9">
        <v>1</v>
      </c>
      <c r="K9">
        <v>8</v>
      </c>
    </row>
    <row r="10" spans="1:11" x14ac:dyDescent="0.35">
      <c r="A10" t="s">
        <v>38</v>
      </c>
      <c r="B10">
        <v>18</v>
      </c>
      <c r="C10" t="s">
        <v>18</v>
      </c>
      <c r="D10" t="s">
        <v>19</v>
      </c>
      <c r="E10">
        <v>10</v>
      </c>
      <c r="F10" t="s">
        <v>14</v>
      </c>
      <c r="G10" t="s">
        <v>37</v>
      </c>
      <c r="H10" s="1">
        <v>0</v>
      </c>
      <c r="I10" t="s">
        <v>16</v>
      </c>
      <c r="J10">
        <v>1</v>
      </c>
      <c r="K10">
        <v>8</v>
      </c>
    </row>
    <row r="11" spans="1:11" x14ac:dyDescent="0.35">
      <c r="A11" t="s">
        <v>39</v>
      </c>
      <c r="B11">
        <v>72</v>
      </c>
      <c r="C11" t="s">
        <v>18</v>
      </c>
      <c r="D11" t="s">
        <v>19</v>
      </c>
      <c r="E11">
        <v>19</v>
      </c>
      <c r="F11" t="s">
        <v>22</v>
      </c>
      <c r="G11" t="s">
        <v>15</v>
      </c>
      <c r="H11" s="1">
        <v>410.17</v>
      </c>
      <c r="I11" t="s">
        <v>24</v>
      </c>
      <c r="J11">
        <v>0</v>
      </c>
      <c r="K11">
        <v>1</v>
      </c>
    </row>
    <row r="12" spans="1:11" x14ac:dyDescent="0.35">
      <c r="A12" t="s">
        <v>40</v>
      </c>
      <c r="B12">
        <v>60</v>
      </c>
      <c r="C12" t="s">
        <v>18</v>
      </c>
      <c r="D12" t="s">
        <v>41</v>
      </c>
      <c r="E12">
        <v>13</v>
      </c>
      <c r="F12" t="s">
        <v>26</v>
      </c>
      <c r="G12" t="s">
        <v>37</v>
      </c>
      <c r="H12" s="1">
        <v>141.69999999999999</v>
      </c>
      <c r="I12" t="s">
        <v>24</v>
      </c>
      <c r="J12">
        <v>3</v>
      </c>
      <c r="K12">
        <v>7</v>
      </c>
    </row>
    <row r="13" spans="1:11" x14ac:dyDescent="0.35">
      <c r="A13" t="s">
        <v>42</v>
      </c>
      <c r="B13">
        <v>32</v>
      </c>
      <c r="C13" t="s">
        <v>18</v>
      </c>
      <c r="D13" t="s">
        <v>19</v>
      </c>
      <c r="E13">
        <v>15</v>
      </c>
      <c r="F13" t="s">
        <v>33</v>
      </c>
      <c r="G13" t="s">
        <v>34</v>
      </c>
      <c r="H13" s="1">
        <v>125.77</v>
      </c>
      <c r="I13" t="s">
        <v>43</v>
      </c>
      <c r="J13">
        <v>1</v>
      </c>
      <c r="K13">
        <v>5</v>
      </c>
    </row>
    <row r="14" spans="1:11" x14ac:dyDescent="0.35">
      <c r="A14" t="s">
        <v>44</v>
      </c>
      <c r="B14">
        <v>28</v>
      </c>
      <c r="C14" t="s">
        <v>12</v>
      </c>
      <c r="D14" t="s">
        <v>21</v>
      </c>
      <c r="E14">
        <v>15</v>
      </c>
      <c r="F14" t="s">
        <v>22</v>
      </c>
      <c r="G14" t="s">
        <v>23</v>
      </c>
      <c r="H14" s="1">
        <v>580.09</v>
      </c>
      <c r="I14" t="s">
        <v>24</v>
      </c>
      <c r="J14">
        <v>0</v>
      </c>
      <c r="K14">
        <v>5</v>
      </c>
    </row>
    <row r="15" spans="1:11" x14ac:dyDescent="0.35">
      <c r="A15" t="s">
        <v>45</v>
      </c>
      <c r="B15">
        <v>64</v>
      </c>
      <c r="C15" t="s">
        <v>18</v>
      </c>
      <c r="D15" t="s">
        <v>19</v>
      </c>
      <c r="E15">
        <v>14</v>
      </c>
      <c r="F15" t="s">
        <v>31</v>
      </c>
      <c r="G15" t="s">
        <v>23</v>
      </c>
      <c r="H15" s="1">
        <v>313.85000000000002</v>
      </c>
      <c r="I15" t="s">
        <v>24</v>
      </c>
      <c r="J15">
        <v>1</v>
      </c>
      <c r="K15">
        <v>7</v>
      </c>
    </row>
    <row r="16" spans="1:11" x14ac:dyDescent="0.35">
      <c r="A16" t="s">
        <v>46</v>
      </c>
      <c r="B16">
        <v>68</v>
      </c>
      <c r="C16" t="s">
        <v>18</v>
      </c>
      <c r="D16" t="s">
        <v>47</v>
      </c>
      <c r="E16">
        <v>11</v>
      </c>
      <c r="F16" t="s">
        <v>14</v>
      </c>
      <c r="G16" t="s">
        <v>15</v>
      </c>
      <c r="H16" s="1">
        <v>0</v>
      </c>
      <c r="I16" t="s">
        <v>16</v>
      </c>
      <c r="J16">
        <v>0</v>
      </c>
      <c r="K16">
        <v>6</v>
      </c>
    </row>
    <row r="17" spans="1:11" x14ac:dyDescent="0.35">
      <c r="A17" t="s">
        <v>48</v>
      </c>
      <c r="B17">
        <v>33</v>
      </c>
      <c r="C17" t="s">
        <v>12</v>
      </c>
      <c r="D17" t="s">
        <v>19</v>
      </c>
      <c r="E17">
        <v>11</v>
      </c>
      <c r="F17" t="s">
        <v>31</v>
      </c>
      <c r="G17" t="s">
        <v>27</v>
      </c>
      <c r="H17" s="1">
        <v>112.62</v>
      </c>
      <c r="I17" t="s">
        <v>24</v>
      </c>
      <c r="J17">
        <v>0</v>
      </c>
      <c r="K17">
        <v>6</v>
      </c>
    </row>
    <row r="18" spans="1:11" x14ac:dyDescent="0.35">
      <c r="A18" t="s">
        <v>49</v>
      </c>
      <c r="B18">
        <v>79</v>
      </c>
      <c r="C18" t="s">
        <v>12</v>
      </c>
      <c r="D18" t="s">
        <v>13</v>
      </c>
      <c r="E18">
        <v>7</v>
      </c>
      <c r="F18" t="s">
        <v>22</v>
      </c>
      <c r="G18" t="s">
        <v>15</v>
      </c>
      <c r="H18" s="1">
        <v>267.61</v>
      </c>
      <c r="I18" t="s">
        <v>24</v>
      </c>
      <c r="J18">
        <v>0</v>
      </c>
      <c r="K18">
        <v>7</v>
      </c>
    </row>
    <row r="19" spans="1:11" x14ac:dyDescent="0.35">
      <c r="A19" t="s">
        <v>50</v>
      </c>
      <c r="B19">
        <v>26</v>
      </c>
      <c r="C19" t="s">
        <v>12</v>
      </c>
      <c r="D19" t="s">
        <v>30</v>
      </c>
      <c r="E19">
        <v>13</v>
      </c>
      <c r="F19" t="s">
        <v>26</v>
      </c>
      <c r="G19" t="s">
        <v>37</v>
      </c>
      <c r="H19" s="1">
        <v>156.57</v>
      </c>
      <c r="I19" t="s">
        <v>24</v>
      </c>
      <c r="J19">
        <v>0</v>
      </c>
      <c r="K19">
        <v>5</v>
      </c>
    </row>
    <row r="20" spans="1:11" x14ac:dyDescent="0.35">
      <c r="A20" t="s">
        <v>51</v>
      </c>
      <c r="B20">
        <v>53</v>
      </c>
      <c r="C20" t="s">
        <v>18</v>
      </c>
      <c r="D20" t="s">
        <v>21</v>
      </c>
      <c r="E20">
        <v>21</v>
      </c>
      <c r="F20" t="s">
        <v>22</v>
      </c>
      <c r="G20" t="s">
        <v>23</v>
      </c>
      <c r="H20" s="1">
        <v>68.900000000000006</v>
      </c>
      <c r="I20" t="s">
        <v>24</v>
      </c>
      <c r="J20">
        <v>3</v>
      </c>
      <c r="K20">
        <v>1</v>
      </c>
    </row>
    <row r="21" spans="1:11" x14ac:dyDescent="0.35">
      <c r="A21" t="s">
        <v>52</v>
      </c>
      <c r="B21">
        <v>38</v>
      </c>
      <c r="C21" t="s">
        <v>18</v>
      </c>
      <c r="D21" t="s">
        <v>19</v>
      </c>
      <c r="E21">
        <v>12</v>
      </c>
      <c r="F21" t="s">
        <v>33</v>
      </c>
      <c r="G21" t="s">
        <v>27</v>
      </c>
      <c r="H21" s="1">
        <v>170.29</v>
      </c>
      <c r="I21" t="s">
        <v>24</v>
      </c>
      <c r="J21">
        <v>1</v>
      </c>
      <c r="K21">
        <v>6</v>
      </c>
    </row>
    <row r="22" spans="1:11" x14ac:dyDescent="0.35">
      <c r="A22" t="s">
        <v>53</v>
      </c>
      <c r="B22">
        <v>78</v>
      </c>
      <c r="C22" t="s">
        <v>12</v>
      </c>
      <c r="D22" t="s">
        <v>21</v>
      </c>
      <c r="E22">
        <v>14</v>
      </c>
      <c r="F22" t="s">
        <v>26</v>
      </c>
      <c r="G22" t="s">
        <v>15</v>
      </c>
      <c r="H22" s="1">
        <v>346.54</v>
      </c>
      <c r="I22" t="s">
        <v>24</v>
      </c>
      <c r="J22">
        <v>3</v>
      </c>
      <c r="K22">
        <v>4</v>
      </c>
    </row>
    <row r="23" spans="1:11" x14ac:dyDescent="0.35">
      <c r="A23" t="s">
        <v>54</v>
      </c>
      <c r="B23">
        <v>61</v>
      </c>
      <c r="C23" t="s">
        <v>18</v>
      </c>
      <c r="D23" t="s">
        <v>21</v>
      </c>
      <c r="E23">
        <v>33</v>
      </c>
      <c r="F23" t="s">
        <v>31</v>
      </c>
      <c r="G23" t="s">
        <v>37</v>
      </c>
      <c r="H23" s="1">
        <v>133.06</v>
      </c>
      <c r="I23" t="s">
        <v>43</v>
      </c>
      <c r="J23">
        <v>0</v>
      </c>
      <c r="K23">
        <v>2</v>
      </c>
    </row>
    <row r="24" spans="1:11" x14ac:dyDescent="0.35">
      <c r="A24" t="s">
        <v>55</v>
      </c>
      <c r="B24">
        <v>81</v>
      </c>
      <c r="C24" t="s">
        <v>12</v>
      </c>
      <c r="D24" t="s">
        <v>13</v>
      </c>
      <c r="E24">
        <v>18</v>
      </c>
      <c r="F24" t="s">
        <v>26</v>
      </c>
      <c r="G24" t="s">
        <v>34</v>
      </c>
      <c r="H24" s="1">
        <v>179.4</v>
      </c>
      <c r="I24" t="s">
        <v>24</v>
      </c>
      <c r="J24">
        <v>0</v>
      </c>
      <c r="K24">
        <v>6</v>
      </c>
    </row>
    <row r="25" spans="1:11" x14ac:dyDescent="0.35">
      <c r="A25" t="s">
        <v>56</v>
      </c>
      <c r="B25">
        <v>42</v>
      </c>
      <c r="C25" t="s">
        <v>12</v>
      </c>
      <c r="D25" t="s">
        <v>57</v>
      </c>
      <c r="E25">
        <v>30</v>
      </c>
      <c r="F25" t="s">
        <v>33</v>
      </c>
      <c r="G25" t="s">
        <v>23</v>
      </c>
      <c r="H25" s="1">
        <v>519.84</v>
      </c>
      <c r="I25" t="s">
        <v>24</v>
      </c>
      <c r="J25">
        <v>1</v>
      </c>
      <c r="K25">
        <v>1</v>
      </c>
    </row>
    <row r="26" spans="1:11" x14ac:dyDescent="0.35">
      <c r="A26" t="s">
        <v>58</v>
      </c>
      <c r="B26">
        <v>77</v>
      </c>
      <c r="C26" t="s">
        <v>18</v>
      </c>
      <c r="D26" t="s">
        <v>41</v>
      </c>
      <c r="E26">
        <v>3</v>
      </c>
      <c r="F26" t="s">
        <v>33</v>
      </c>
      <c r="G26" t="s">
        <v>34</v>
      </c>
      <c r="H26" s="1">
        <v>190.08</v>
      </c>
      <c r="I26" t="s">
        <v>24</v>
      </c>
      <c r="J26">
        <v>0</v>
      </c>
      <c r="K26">
        <v>8</v>
      </c>
    </row>
    <row r="27" spans="1:11" x14ac:dyDescent="0.35">
      <c r="A27" t="s">
        <v>59</v>
      </c>
      <c r="B27">
        <v>80</v>
      </c>
      <c r="C27" t="s">
        <v>12</v>
      </c>
      <c r="D27" t="s">
        <v>13</v>
      </c>
      <c r="E27">
        <v>12</v>
      </c>
      <c r="F27" t="s">
        <v>31</v>
      </c>
      <c r="G27" t="s">
        <v>15</v>
      </c>
      <c r="H27" s="1">
        <v>228.04</v>
      </c>
      <c r="I27" t="s">
        <v>24</v>
      </c>
      <c r="J27">
        <v>3</v>
      </c>
      <c r="K27">
        <v>6</v>
      </c>
    </row>
    <row r="28" spans="1:11" x14ac:dyDescent="0.35">
      <c r="A28" t="s">
        <v>60</v>
      </c>
      <c r="B28">
        <v>40</v>
      </c>
      <c r="C28" t="s">
        <v>18</v>
      </c>
      <c r="D28" t="s">
        <v>13</v>
      </c>
      <c r="E28">
        <v>18</v>
      </c>
      <c r="F28" t="s">
        <v>33</v>
      </c>
      <c r="G28" t="s">
        <v>27</v>
      </c>
      <c r="H28" s="1">
        <v>64.62</v>
      </c>
      <c r="I28" t="s">
        <v>24</v>
      </c>
      <c r="J28">
        <v>1</v>
      </c>
      <c r="K28">
        <v>8</v>
      </c>
    </row>
    <row r="29" spans="1:11" x14ac:dyDescent="0.35">
      <c r="A29" t="s">
        <v>61</v>
      </c>
      <c r="B29">
        <v>25</v>
      </c>
      <c r="C29" t="s">
        <v>18</v>
      </c>
      <c r="D29" t="s">
        <v>30</v>
      </c>
      <c r="E29">
        <v>7</v>
      </c>
      <c r="F29" t="s">
        <v>33</v>
      </c>
      <c r="G29" t="s">
        <v>27</v>
      </c>
      <c r="H29" s="1">
        <v>173.46</v>
      </c>
      <c r="I29" t="s">
        <v>24</v>
      </c>
      <c r="J29">
        <v>0</v>
      </c>
      <c r="K29">
        <v>9</v>
      </c>
    </row>
    <row r="30" spans="1:11" x14ac:dyDescent="0.35">
      <c r="A30" t="s">
        <v>62</v>
      </c>
      <c r="B30">
        <v>27</v>
      </c>
      <c r="C30" t="s">
        <v>18</v>
      </c>
      <c r="D30" t="s">
        <v>21</v>
      </c>
      <c r="E30">
        <v>36</v>
      </c>
      <c r="F30" t="s">
        <v>26</v>
      </c>
      <c r="G30" t="s">
        <v>15</v>
      </c>
      <c r="H30" s="1">
        <v>163.28</v>
      </c>
      <c r="I30" t="s">
        <v>43</v>
      </c>
      <c r="J30">
        <v>0</v>
      </c>
      <c r="K30">
        <v>3</v>
      </c>
    </row>
    <row r="31" spans="1:11" x14ac:dyDescent="0.35">
      <c r="A31" t="s">
        <v>63</v>
      </c>
      <c r="B31">
        <v>29</v>
      </c>
      <c r="C31" t="s">
        <v>12</v>
      </c>
      <c r="D31" t="s">
        <v>30</v>
      </c>
      <c r="E31">
        <v>14</v>
      </c>
      <c r="F31" t="s">
        <v>22</v>
      </c>
      <c r="G31" t="s">
        <v>34</v>
      </c>
      <c r="H31" s="1">
        <v>214.47</v>
      </c>
      <c r="I31" t="s">
        <v>24</v>
      </c>
      <c r="J31">
        <v>1</v>
      </c>
      <c r="K31">
        <v>4</v>
      </c>
    </row>
    <row r="32" spans="1:11" x14ac:dyDescent="0.35">
      <c r="A32" t="s">
        <v>64</v>
      </c>
      <c r="B32">
        <v>30</v>
      </c>
      <c r="C32" t="s">
        <v>12</v>
      </c>
      <c r="D32" t="s">
        <v>19</v>
      </c>
      <c r="E32">
        <v>20</v>
      </c>
      <c r="F32" t="s">
        <v>22</v>
      </c>
      <c r="G32" t="s">
        <v>23</v>
      </c>
      <c r="H32" s="1">
        <v>428.51</v>
      </c>
      <c r="I32" t="s">
        <v>24</v>
      </c>
      <c r="J32">
        <v>0</v>
      </c>
      <c r="K32">
        <v>1</v>
      </c>
    </row>
    <row r="33" spans="1:11" x14ac:dyDescent="0.35">
      <c r="A33" t="s">
        <v>65</v>
      </c>
      <c r="B33">
        <v>36</v>
      </c>
      <c r="C33" t="s">
        <v>18</v>
      </c>
      <c r="D33" t="s">
        <v>19</v>
      </c>
      <c r="E33">
        <v>11</v>
      </c>
      <c r="F33" t="s">
        <v>22</v>
      </c>
      <c r="G33" t="s">
        <v>37</v>
      </c>
      <c r="H33" s="1">
        <v>91.69</v>
      </c>
      <c r="I33" t="s">
        <v>24</v>
      </c>
      <c r="J33">
        <v>1</v>
      </c>
      <c r="K33">
        <v>7</v>
      </c>
    </row>
    <row r="34" spans="1:11" x14ac:dyDescent="0.35">
      <c r="A34" t="s">
        <v>66</v>
      </c>
      <c r="B34">
        <v>68</v>
      </c>
      <c r="C34" t="s">
        <v>12</v>
      </c>
      <c r="D34" t="s">
        <v>13</v>
      </c>
      <c r="E34">
        <v>18</v>
      </c>
      <c r="F34" t="s">
        <v>22</v>
      </c>
      <c r="G34" t="s">
        <v>27</v>
      </c>
      <c r="H34" s="1">
        <v>108.3</v>
      </c>
      <c r="I34" t="s">
        <v>24</v>
      </c>
      <c r="J34">
        <v>0</v>
      </c>
      <c r="K34">
        <v>5</v>
      </c>
    </row>
    <row r="35" spans="1:11" x14ac:dyDescent="0.35">
      <c r="A35" t="s">
        <v>67</v>
      </c>
      <c r="B35">
        <v>52</v>
      </c>
      <c r="C35" t="s">
        <v>18</v>
      </c>
      <c r="D35" t="s">
        <v>19</v>
      </c>
      <c r="E35">
        <v>15</v>
      </c>
      <c r="F35" t="s">
        <v>33</v>
      </c>
      <c r="G35" t="s">
        <v>15</v>
      </c>
      <c r="H35" s="1">
        <v>222.58</v>
      </c>
      <c r="I35" t="s">
        <v>43</v>
      </c>
      <c r="J35">
        <v>3</v>
      </c>
      <c r="K35">
        <v>4</v>
      </c>
    </row>
    <row r="36" spans="1:11" x14ac:dyDescent="0.35">
      <c r="A36" t="s">
        <v>68</v>
      </c>
      <c r="B36">
        <v>85</v>
      </c>
      <c r="C36" t="s">
        <v>12</v>
      </c>
      <c r="D36" t="s">
        <v>30</v>
      </c>
      <c r="E36">
        <v>4</v>
      </c>
      <c r="F36" t="s">
        <v>31</v>
      </c>
      <c r="G36" t="s">
        <v>23</v>
      </c>
      <c r="H36" s="1">
        <v>440.65</v>
      </c>
      <c r="I36" t="s">
        <v>24</v>
      </c>
      <c r="J36">
        <v>0</v>
      </c>
      <c r="K36">
        <v>10</v>
      </c>
    </row>
    <row r="37" spans="1:11" x14ac:dyDescent="0.35">
      <c r="A37" t="s">
        <v>69</v>
      </c>
      <c r="B37">
        <v>69</v>
      </c>
      <c r="C37" t="s">
        <v>12</v>
      </c>
      <c r="D37" t="s">
        <v>19</v>
      </c>
      <c r="E37">
        <v>8</v>
      </c>
      <c r="F37" t="s">
        <v>26</v>
      </c>
      <c r="G37" t="s">
        <v>23</v>
      </c>
      <c r="H37" s="1">
        <v>415.22</v>
      </c>
      <c r="I37" t="s">
        <v>24</v>
      </c>
      <c r="J37">
        <v>0</v>
      </c>
      <c r="K37">
        <v>8</v>
      </c>
    </row>
    <row r="38" spans="1:11" x14ac:dyDescent="0.35">
      <c r="A38" t="s">
        <v>70</v>
      </c>
      <c r="B38">
        <v>53</v>
      </c>
      <c r="C38" t="s">
        <v>18</v>
      </c>
      <c r="D38" t="s">
        <v>19</v>
      </c>
      <c r="E38">
        <v>20</v>
      </c>
      <c r="F38" t="s">
        <v>14</v>
      </c>
      <c r="G38" t="s">
        <v>37</v>
      </c>
      <c r="H38" s="1">
        <v>0</v>
      </c>
      <c r="I38" t="s">
        <v>16</v>
      </c>
      <c r="J38">
        <v>0</v>
      </c>
      <c r="K38">
        <v>1</v>
      </c>
    </row>
    <row r="39" spans="1:11" x14ac:dyDescent="0.35">
      <c r="A39" t="s">
        <v>71</v>
      </c>
      <c r="B39">
        <v>81</v>
      </c>
      <c r="C39" t="s">
        <v>12</v>
      </c>
      <c r="D39" t="s">
        <v>13</v>
      </c>
      <c r="E39">
        <v>15</v>
      </c>
      <c r="F39" t="s">
        <v>31</v>
      </c>
      <c r="G39" t="s">
        <v>27</v>
      </c>
      <c r="H39" s="1">
        <v>103.31</v>
      </c>
      <c r="I39" t="s">
        <v>24</v>
      </c>
      <c r="J39">
        <v>3</v>
      </c>
      <c r="K39">
        <v>7</v>
      </c>
    </row>
    <row r="40" spans="1:11" x14ac:dyDescent="0.35">
      <c r="A40" t="s">
        <v>72</v>
      </c>
      <c r="B40">
        <v>73</v>
      </c>
      <c r="C40" t="s">
        <v>12</v>
      </c>
      <c r="D40" t="s">
        <v>30</v>
      </c>
      <c r="E40">
        <v>6</v>
      </c>
      <c r="F40" t="s">
        <v>22</v>
      </c>
      <c r="G40" t="s">
        <v>23</v>
      </c>
      <c r="H40" s="1">
        <v>459.04</v>
      </c>
      <c r="I40" t="s">
        <v>24</v>
      </c>
      <c r="J40">
        <v>1</v>
      </c>
      <c r="K40">
        <v>9</v>
      </c>
    </row>
    <row r="41" spans="1:11" x14ac:dyDescent="0.35">
      <c r="A41" t="s">
        <v>73</v>
      </c>
      <c r="B41">
        <v>52</v>
      </c>
      <c r="C41" t="s">
        <v>18</v>
      </c>
      <c r="D41" t="s">
        <v>41</v>
      </c>
      <c r="E41">
        <v>3</v>
      </c>
      <c r="F41" t="s">
        <v>31</v>
      </c>
      <c r="G41" t="s">
        <v>27</v>
      </c>
      <c r="H41" s="1">
        <v>24.51</v>
      </c>
      <c r="I41" t="s">
        <v>24</v>
      </c>
      <c r="J41">
        <v>2</v>
      </c>
      <c r="K41">
        <v>8</v>
      </c>
    </row>
    <row r="42" spans="1:11" x14ac:dyDescent="0.35">
      <c r="A42" t="s">
        <v>74</v>
      </c>
      <c r="B42">
        <v>33</v>
      </c>
      <c r="C42" t="s">
        <v>18</v>
      </c>
      <c r="D42" t="s">
        <v>47</v>
      </c>
      <c r="E42">
        <v>8</v>
      </c>
      <c r="F42" t="s">
        <v>22</v>
      </c>
      <c r="G42" t="s">
        <v>37</v>
      </c>
      <c r="H42" s="1">
        <v>154.01</v>
      </c>
      <c r="I42" t="s">
        <v>43</v>
      </c>
      <c r="J42">
        <v>0</v>
      </c>
      <c r="K42">
        <v>8</v>
      </c>
    </row>
    <row r="43" spans="1:11" x14ac:dyDescent="0.35">
      <c r="A43" t="s">
        <v>75</v>
      </c>
      <c r="B43">
        <v>71</v>
      </c>
      <c r="C43" t="s">
        <v>12</v>
      </c>
      <c r="D43" t="s">
        <v>30</v>
      </c>
      <c r="E43">
        <v>7</v>
      </c>
      <c r="F43" t="s">
        <v>22</v>
      </c>
      <c r="G43" t="s">
        <v>37</v>
      </c>
      <c r="H43" s="1">
        <v>170.42</v>
      </c>
      <c r="I43" t="s">
        <v>24</v>
      </c>
      <c r="J43">
        <v>2</v>
      </c>
      <c r="K43">
        <v>7</v>
      </c>
    </row>
    <row r="44" spans="1:11" x14ac:dyDescent="0.35">
      <c r="A44" t="s">
        <v>76</v>
      </c>
      <c r="B44">
        <v>18</v>
      </c>
      <c r="C44" t="s">
        <v>18</v>
      </c>
      <c r="D44" t="s">
        <v>21</v>
      </c>
      <c r="E44">
        <v>35</v>
      </c>
      <c r="F44" t="s">
        <v>22</v>
      </c>
      <c r="G44" t="s">
        <v>37</v>
      </c>
      <c r="H44" s="1">
        <v>122.66</v>
      </c>
      <c r="I44" t="s">
        <v>43</v>
      </c>
      <c r="J44">
        <v>4</v>
      </c>
      <c r="K44">
        <v>5</v>
      </c>
    </row>
    <row r="45" spans="1:11" x14ac:dyDescent="0.35">
      <c r="A45" t="s">
        <v>77</v>
      </c>
      <c r="B45">
        <v>45</v>
      </c>
      <c r="C45" t="s">
        <v>18</v>
      </c>
      <c r="D45" t="s">
        <v>19</v>
      </c>
      <c r="E45">
        <v>21</v>
      </c>
      <c r="F45" t="s">
        <v>33</v>
      </c>
      <c r="G45" t="s">
        <v>23</v>
      </c>
      <c r="H45" s="1">
        <v>555.61</v>
      </c>
      <c r="I45" t="s">
        <v>28</v>
      </c>
      <c r="J45">
        <v>3</v>
      </c>
      <c r="K45">
        <v>1</v>
      </c>
    </row>
    <row r="46" spans="1:11" x14ac:dyDescent="0.35">
      <c r="A46" t="s">
        <v>78</v>
      </c>
      <c r="B46">
        <v>32</v>
      </c>
      <c r="C46" t="s">
        <v>12</v>
      </c>
      <c r="D46" t="s">
        <v>21</v>
      </c>
      <c r="E46">
        <v>29</v>
      </c>
      <c r="F46" t="s">
        <v>14</v>
      </c>
      <c r="G46" t="s">
        <v>15</v>
      </c>
      <c r="H46" s="1">
        <v>0</v>
      </c>
      <c r="I46" t="s">
        <v>16</v>
      </c>
      <c r="J46">
        <v>1</v>
      </c>
      <c r="K46">
        <v>1</v>
      </c>
    </row>
    <row r="47" spans="1:11" x14ac:dyDescent="0.35">
      <c r="A47" t="s">
        <v>79</v>
      </c>
      <c r="B47">
        <v>34</v>
      </c>
      <c r="C47" t="s">
        <v>18</v>
      </c>
      <c r="D47" t="s">
        <v>21</v>
      </c>
      <c r="E47">
        <v>28</v>
      </c>
      <c r="F47" t="s">
        <v>31</v>
      </c>
      <c r="G47" t="s">
        <v>37</v>
      </c>
      <c r="H47" s="1">
        <v>206.31</v>
      </c>
      <c r="I47" t="s">
        <v>43</v>
      </c>
      <c r="J47">
        <v>2</v>
      </c>
      <c r="K47">
        <v>4</v>
      </c>
    </row>
    <row r="48" spans="1:11" x14ac:dyDescent="0.35">
      <c r="A48" t="s">
        <v>80</v>
      </c>
      <c r="B48">
        <v>32</v>
      </c>
      <c r="C48" t="s">
        <v>12</v>
      </c>
      <c r="D48" t="s">
        <v>19</v>
      </c>
      <c r="E48">
        <v>22</v>
      </c>
      <c r="F48" t="s">
        <v>33</v>
      </c>
      <c r="G48" t="s">
        <v>23</v>
      </c>
      <c r="H48" s="1">
        <v>132.35</v>
      </c>
      <c r="I48" t="s">
        <v>24</v>
      </c>
      <c r="J48">
        <v>4</v>
      </c>
      <c r="K48">
        <v>4</v>
      </c>
    </row>
    <row r="49" spans="1:11" x14ac:dyDescent="0.35">
      <c r="A49" t="s">
        <v>81</v>
      </c>
      <c r="B49">
        <v>48</v>
      </c>
      <c r="C49" t="s">
        <v>12</v>
      </c>
      <c r="D49" t="s">
        <v>19</v>
      </c>
      <c r="E49">
        <v>10</v>
      </c>
      <c r="F49" t="s">
        <v>33</v>
      </c>
      <c r="G49" t="s">
        <v>15</v>
      </c>
      <c r="H49" s="1">
        <v>269.39999999999998</v>
      </c>
      <c r="I49" t="s">
        <v>24</v>
      </c>
      <c r="J49">
        <v>1</v>
      </c>
      <c r="K49">
        <v>5</v>
      </c>
    </row>
    <row r="50" spans="1:11" x14ac:dyDescent="0.35">
      <c r="A50" t="s">
        <v>82</v>
      </c>
      <c r="B50">
        <v>19</v>
      </c>
      <c r="C50" t="s">
        <v>18</v>
      </c>
      <c r="D50" t="s">
        <v>19</v>
      </c>
      <c r="E50">
        <v>17</v>
      </c>
      <c r="F50" t="s">
        <v>26</v>
      </c>
      <c r="G50" t="s">
        <v>23</v>
      </c>
      <c r="H50" s="1">
        <v>74.84</v>
      </c>
      <c r="I50" t="s">
        <v>24</v>
      </c>
      <c r="J50">
        <v>1</v>
      </c>
      <c r="K50">
        <v>7</v>
      </c>
    </row>
    <row r="51" spans="1:11" x14ac:dyDescent="0.35">
      <c r="A51" t="s">
        <v>83</v>
      </c>
      <c r="B51">
        <v>23</v>
      </c>
      <c r="C51" t="s">
        <v>12</v>
      </c>
      <c r="D51" t="s">
        <v>19</v>
      </c>
      <c r="E51">
        <v>24</v>
      </c>
      <c r="F51" t="s">
        <v>26</v>
      </c>
      <c r="G51" t="s">
        <v>15</v>
      </c>
      <c r="H51" s="1">
        <v>299.62</v>
      </c>
      <c r="I51" t="s">
        <v>24</v>
      </c>
      <c r="J51">
        <v>3</v>
      </c>
      <c r="K51">
        <v>2</v>
      </c>
    </row>
    <row r="52" spans="1:11" x14ac:dyDescent="0.35">
      <c r="A52" t="s">
        <v>84</v>
      </c>
      <c r="B52">
        <v>81</v>
      </c>
      <c r="C52" t="s">
        <v>12</v>
      </c>
      <c r="D52" t="s">
        <v>19</v>
      </c>
      <c r="E52">
        <v>13</v>
      </c>
      <c r="F52" t="s">
        <v>26</v>
      </c>
      <c r="G52" t="s">
        <v>37</v>
      </c>
      <c r="H52" s="1">
        <v>111.6</v>
      </c>
      <c r="I52" t="s">
        <v>24</v>
      </c>
      <c r="J52">
        <v>3</v>
      </c>
      <c r="K52">
        <v>8</v>
      </c>
    </row>
    <row r="53" spans="1:11" x14ac:dyDescent="0.35">
      <c r="A53" t="s">
        <v>85</v>
      </c>
      <c r="B53">
        <v>61</v>
      </c>
      <c r="C53" t="s">
        <v>18</v>
      </c>
      <c r="D53" t="s">
        <v>21</v>
      </c>
      <c r="E53">
        <v>35</v>
      </c>
      <c r="F53" t="s">
        <v>22</v>
      </c>
      <c r="G53" t="s">
        <v>15</v>
      </c>
      <c r="H53" s="1">
        <v>204.05</v>
      </c>
      <c r="I53" t="s">
        <v>24</v>
      </c>
      <c r="J53">
        <v>3</v>
      </c>
      <c r="K53">
        <v>1</v>
      </c>
    </row>
    <row r="54" spans="1:11" x14ac:dyDescent="0.35">
      <c r="A54" t="s">
        <v>86</v>
      </c>
      <c r="B54">
        <v>58</v>
      </c>
      <c r="C54" t="s">
        <v>12</v>
      </c>
      <c r="D54" t="s">
        <v>13</v>
      </c>
      <c r="E54">
        <v>13</v>
      </c>
      <c r="F54" t="s">
        <v>22</v>
      </c>
      <c r="G54" t="s">
        <v>15</v>
      </c>
      <c r="H54" s="1">
        <v>101.68</v>
      </c>
      <c r="I54" t="s">
        <v>43</v>
      </c>
      <c r="J54">
        <v>0</v>
      </c>
      <c r="K54">
        <v>7</v>
      </c>
    </row>
    <row r="55" spans="1:11" x14ac:dyDescent="0.35">
      <c r="A55" t="s">
        <v>87</v>
      </c>
      <c r="B55">
        <v>47</v>
      </c>
      <c r="C55" t="s">
        <v>18</v>
      </c>
      <c r="D55" t="s">
        <v>19</v>
      </c>
      <c r="E55">
        <v>10</v>
      </c>
      <c r="F55" t="s">
        <v>26</v>
      </c>
      <c r="G55" t="s">
        <v>37</v>
      </c>
      <c r="H55" s="1">
        <v>158.63</v>
      </c>
      <c r="I55" t="s">
        <v>28</v>
      </c>
      <c r="J55">
        <v>0</v>
      </c>
      <c r="K55">
        <v>6</v>
      </c>
    </row>
    <row r="56" spans="1:11" x14ac:dyDescent="0.35">
      <c r="A56" t="s">
        <v>88</v>
      </c>
      <c r="B56">
        <v>39</v>
      </c>
      <c r="C56" t="s">
        <v>18</v>
      </c>
      <c r="D56" t="s">
        <v>19</v>
      </c>
      <c r="E56">
        <v>12</v>
      </c>
      <c r="F56" t="s">
        <v>14</v>
      </c>
      <c r="G56" t="s">
        <v>34</v>
      </c>
      <c r="H56" s="1">
        <v>0</v>
      </c>
      <c r="I56" t="s">
        <v>16</v>
      </c>
      <c r="J56">
        <v>0</v>
      </c>
      <c r="K56">
        <v>7</v>
      </c>
    </row>
    <row r="57" spans="1:11" x14ac:dyDescent="0.35">
      <c r="A57" t="s">
        <v>89</v>
      </c>
      <c r="B57">
        <v>23</v>
      </c>
      <c r="C57" t="s">
        <v>18</v>
      </c>
      <c r="D57" t="s">
        <v>19</v>
      </c>
      <c r="E57">
        <v>6</v>
      </c>
      <c r="F57" t="s">
        <v>22</v>
      </c>
      <c r="G57" t="s">
        <v>27</v>
      </c>
      <c r="H57" s="1">
        <v>96.17</v>
      </c>
      <c r="I57" t="s">
        <v>24</v>
      </c>
      <c r="J57">
        <v>0</v>
      </c>
      <c r="K57">
        <v>7</v>
      </c>
    </row>
    <row r="58" spans="1:11" x14ac:dyDescent="0.35">
      <c r="A58" t="s">
        <v>90</v>
      </c>
      <c r="B58">
        <v>36</v>
      </c>
      <c r="C58" t="s">
        <v>12</v>
      </c>
      <c r="D58" t="s">
        <v>19</v>
      </c>
      <c r="E58">
        <v>21</v>
      </c>
      <c r="F58" t="s">
        <v>22</v>
      </c>
      <c r="G58" t="s">
        <v>34</v>
      </c>
      <c r="H58" s="1">
        <v>109</v>
      </c>
      <c r="I58" t="s">
        <v>43</v>
      </c>
      <c r="J58">
        <v>1</v>
      </c>
      <c r="K58">
        <v>4</v>
      </c>
    </row>
    <row r="59" spans="1:11" x14ac:dyDescent="0.35">
      <c r="A59" t="s">
        <v>91</v>
      </c>
      <c r="B59">
        <v>57</v>
      </c>
      <c r="C59" t="s">
        <v>12</v>
      </c>
      <c r="D59" t="s">
        <v>30</v>
      </c>
      <c r="E59">
        <v>8</v>
      </c>
      <c r="F59" t="s">
        <v>26</v>
      </c>
      <c r="G59" t="s">
        <v>15</v>
      </c>
      <c r="H59" s="1">
        <v>224.32</v>
      </c>
      <c r="I59" t="s">
        <v>24</v>
      </c>
      <c r="J59">
        <v>1</v>
      </c>
      <c r="K59">
        <v>8</v>
      </c>
    </row>
    <row r="60" spans="1:11" x14ac:dyDescent="0.35">
      <c r="A60" t="s">
        <v>92</v>
      </c>
      <c r="B60">
        <v>76</v>
      </c>
      <c r="C60" t="s">
        <v>12</v>
      </c>
      <c r="D60" t="s">
        <v>41</v>
      </c>
      <c r="E60">
        <v>11</v>
      </c>
      <c r="F60" t="s">
        <v>22</v>
      </c>
      <c r="G60" t="s">
        <v>34</v>
      </c>
      <c r="H60" s="1">
        <v>190.28</v>
      </c>
      <c r="I60" t="s">
        <v>24</v>
      </c>
      <c r="J60">
        <v>3</v>
      </c>
      <c r="K60">
        <v>8</v>
      </c>
    </row>
    <row r="61" spans="1:11" x14ac:dyDescent="0.35">
      <c r="A61" t="s">
        <v>93</v>
      </c>
      <c r="B61">
        <v>79</v>
      </c>
      <c r="C61" t="s">
        <v>18</v>
      </c>
      <c r="D61" t="s">
        <v>19</v>
      </c>
      <c r="E61">
        <v>22</v>
      </c>
      <c r="F61" t="s">
        <v>22</v>
      </c>
      <c r="G61" t="s">
        <v>34</v>
      </c>
      <c r="H61" s="1">
        <v>91.67</v>
      </c>
      <c r="I61" t="s">
        <v>24</v>
      </c>
      <c r="J61">
        <v>1</v>
      </c>
      <c r="K61">
        <v>1</v>
      </c>
    </row>
    <row r="62" spans="1:11" x14ac:dyDescent="0.35">
      <c r="A62" t="s">
        <v>94</v>
      </c>
      <c r="B62">
        <v>72</v>
      </c>
      <c r="C62" t="s">
        <v>12</v>
      </c>
      <c r="D62" t="s">
        <v>19</v>
      </c>
      <c r="E62">
        <v>10</v>
      </c>
      <c r="F62" t="s">
        <v>22</v>
      </c>
      <c r="G62" t="s">
        <v>15</v>
      </c>
      <c r="H62" s="1">
        <v>282.11</v>
      </c>
      <c r="I62" t="s">
        <v>28</v>
      </c>
      <c r="J62">
        <v>3</v>
      </c>
      <c r="K62">
        <v>5</v>
      </c>
    </row>
    <row r="63" spans="1:11" x14ac:dyDescent="0.35">
      <c r="A63" t="s">
        <v>95</v>
      </c>
      <c r="B63">
        <v>39</v>
      </c>
      <c r="C63" t="s">
        <v>18</v>
      </c>
      <c r="D63" t="s">
        <v>21</v>
      </c>
      <c r="E63">
        <v>37</v>
      </c>
      <c r="F63" t="s">
        <v>31</v>
      </c>
      <c r="G63" t="s">
        <v>27</v>
      </c>
      <c r="H63" s="1">
        <v>143.13999999999999</v>
      </c>
      <c r="I63" t="s">
        <v>24</v>
      </c>
      <c r="J63">
        <v>1</v>
      </c>
      <c r="K63">
        <v>2</v>
      </c>
    </row>
    <row r="64" spans="1:11" x14ac:dyDescent="0.35">
      <c r="A64" t="s">
        <v>96</v>
      </c>
      <c r="B64">
        <v>46</v>
      </c>
      <c r="C64" t="s">
        <v>18</v>
      </c>
      <c r="D64" t="s">
        <v>30</v>
      </c>
      <c r="E64">
        <v>8</v>
      </c>
      <c r="F64" t="s">
        <v>33</v>
      </c>
      <c r="G64" t="s">
        <v>37</v>
      </c>
      <c r="H64" s="1">
        <v>98.69</v>
      </c>
      <c r="I64" t="s">
        <v>24</v>
      </c>
      <c r="J64">
        <v>0</v>
      </c>
      <c r="K64">
        <v>9</v>
      </c>
    </row>
    <row r="65" spans="1:11" x14ac:dyDescent="0.35">
      <c r="A65" t="s">
        <v>97</v>
      </c>
      <c r="B65">
        <v>37</v>
      </c>
      <c r="C65" t="s">
        <v>12</v>
      </c>
      <c r="D65" t="s">
        <v>41</v>
      </c>
      <c r="E65">
        <v>6</v>
      </c>
      <c r="F65" t="s">
        <v>22</v>
      </c>
      <c r="G65" t="s">
        <v>37</v>
      </c>
      <c r="H65" s="1">
        <v>167.12</v>
      </c>
      <c r="I65" t="s">
        <v>24</v>
      </c>
      <c r="J65">
        <v>1</v>
      </c>
      <c r="K65">
        <v>9</v>
      </c>
    </row>
    <row r="66" spans="1:11" x14ac:dyDescent="0.35">
      <c r="A66" t="s">
        <v>98</v>
      </c>
      <c r="B66">
        <v>57</v>
      </c>
      <c r="C66" t="s">
        <v>18</v>
      </c>
      <c r="D66" t="s">
        <v>57</v>
      </c>
      <c r="E66">
        <v>18</v>
      </c>
      <c r="F66" t="s">
        <v>26</v>
      </c>
      <c r="G66" t="s">
        <v>23</v>
      </c>
      <c r="H66" s="1">
        <v>377.3</v>
      </c>
      <c r="I66" t="s">
        <v>43</v>
      </c>
      <c r="J66">
        <v>1</v>
      </c>
      <c r="K66">
        <v>5</v>
      </c>
    </row>
    <row r="67" spans="1:11" x14ac:dyDescent="0.35">
      <c r="A67" t="s">
        <v>99</v>
      </c>
      <c r="B67">
        <v>42</v>
      </c>
      <c r="C67" t="s">
        <v>18</v>
      </c>
      <c r="D67" t="s">
        <v>21</v>
      </c>
      <c r="E67">
        <v>35</v>
      </c>
      <c r="F67" t="s">
        <v>31</v>
      </c>
      <c r="G67" t="s">
        <v>34</v>
      </c>
      <c r="H67" s="1">
        <v>169.02</v>
      </c>
      <c r="I67" t="s">
        <v>24</v>
      </c>
      <c r="J67">
        <v>2</v>
      </c>
      <c r="K67">
        <v>3</v>
      </c>
    </row>
    <row r="68" spans="1:11" x14ac:dyDescent="0.35">
      <c r="A68" t="s">
        <v>100</v>
      </c>
      <c r="B68">
        <v>26</v>
      </c>
      <c r="C68" t="s">
        <v>18</v>
      </c>
      <c r="D68" t="s">
        <v>19</v>
      </c>
      <c r="E68">
        <v>23</v>
      </c>
      <c r="F68" t="s">
        <v>22</v>
      </c>
      <c r="G68" t="s">
        <v>23</v>
      </c>
      <c r="H68" s="1">
        <v>402.07</v>
      </c>
      <c r="I68" t="s">
        <v>24</v>
      </c>
      <c r="J68">
        <v>3</v>
      </c>
      <c r="K68">
        <v>4</v>
      </c>
    </row>
    <row r="69" spans="1:11" x14ac:dyDescent="0.35">
      <c r="A69" t="s">
        <v>101</v>
      </c>
      <c r="B69">
        <v>84</v>
      </c>
      <c r="C69" t="s">
        <v>18</v>
      </c>
      <c r="D69" t="s">
        <v>13</v>
      </c>
      <c r="E69">
        <v>16</v>
      </c>
      <c r="F69" t="s">
        <v>33</v>
      </c>
      <c r="G69" t="s">
        <v>15</v>
      </c>
      <c r="H69" s="1">
        <v>183.39</v>
      </c>
      <c r="I69" t="s">
        <v>24</v>
      </c>
      <c r="J69">
        <v>2</v>
      </c>
      <c r="K69">
        <v>7</v>
      </c>
    </row>
    <row r="70" spans="1:11" x14ac:dyDescent="0.35">
      <c r="A70" t="s">
        <v>102</v>
      </c>
      <c r="B70">
        <v>73</v>
      </c>
      <c r="C70" t="s">
        <v>18</v>
      </c>
      <c r="D70" t="s">
        <v>13</v>
      </c>
      <c r="E70">
        <v>24</v>
      </c>
      <c r="F70" t="s">
        <v>22</v>
      </c>
      <c r="G70" t="s">
        <v>37</v>
      </c>
      <c r="H70" s="1">
        <v>108.37</v>
      </c>
      <c r="I70" t="s">
        <v>24</v>
      </c>
      <c r="J70">
        <v>0</v>
      </c>
      <c r="K70">
        <v>5</v>
      </c>
    </row>
    <row r="71" spans="1:11" x14ac:dyDescent="0.35">
      <c r="A71" t="s">
        <v>103</v>
      </c>
      <c r="B71">
        <v>70</v>
      </c>
      <c r="C71" t="s">
        <v>18</v>
      </c>
      <c r="D71" t="s">
        <v>13</v>
      </c>
      <c r="E71">
        <v>19</v>
      </c>
      <c r="F71" t="s">
        <v>22</v>
      </c>
      <c r="G71" t="s">
        <v>23</v>
      </c>
      <c r="H71" s="1">
        <v>552.9</v>
      </c>
      <c r="I71" t="s">
        <v>28</v>
      </c>
      <c r="J71">
        <v>2</v>
      </c>
      <c r="K71">
        <v>4</v>
      </c>
    </row>
    <row r="72" spans="1:11" x14ac:dyDescent="0.35">
      <c r="A72" t="s">
        <v>104</v>
      </c>
      <c r="B72">
        <v>41</v>
      </c>
      <c r="C72" t="s">
        <v>18</v>
      </c>
      <c r="D72" t="s">
        <v>19</v>
      </c>
      <c r="E72">
        <v>16</v>
      </c>
      <c r="F72" t="s">
        <v>31</v>
      </c>
      <c r="G72" t="s">
        <v>15</v>
      </c>
      <c r="H72" s="1">
        <v>92.47</v>
      </c>
      <c r="I72" t="s">
        <v>28</v>
      </c>
      <c r="J72">
        <v>1</v>
      </c>
      <c r="K72">
        <v>5</v>
      </c>
    </row>
    <row r="73" spans="1:11" x14ac:dyDescent="0.35">
      <c r="A73" t="s">
        <v>105</v>
      </c>
      <c r="B73">
        <v>29</v>
      </c>
      <c r="C73" t="s">
        <v>18</v>
      </c>
      <c r="D73" t="s">
        <v>30</v>
      </c>
      <c r="E73">
        <v>10</v>
      </c>
      <c r="F73" t="s">
        <v>26</v>
      </c>
      <c r="G73" t="s">
        <v>27</v>
      </c>
      <c r="H73" s="1">
        <v>96.13</v>
      </c>
      <c r="I73" t="s">
        <v>43</v>
      </c>
      <c r="J73">
        <v>0</v>
      </c>
      <c r="K73">
        <v>8</v>
      </c>
    </row>
    <row r="74" spans="1:11" x14ac:dyDescent="0.35">
      <c r="A74" t="s">
        <v>106</v>
      </c>
      <c r="B74">
        <v>53</v>
      </c>
      <c r="C74" t="s">
        <v>12</v>
      </c>
      <c r="D74" t="s">
        <v>30</v>
      </c>
      <c r="E74">
        <v>14</v>
      </c>
      <c r="F74" t="s">
        <v>33</v>
      </c>
      <c r="G74" t="s">
        <v>34</v>
      </c>
      <c r="H74" s="1">
        <v>145.19</v>
      </c>
      <c r="I74" t="s">
        <v>24</v>
      </c>
      <c r="J74">
        <v>2</v>
      </c>
      <c r="K74">
        <v>5</v>
      </c>
    </row>
    <row r="75" spans="1:11" x14ac:dyDescent="0.35">
      <c r="A75" t="s">
        <v>107</v>
      </c>
      <c r="B75">
        <v>84</v>
      </c>
      <c r="C75" t="s">
        <v>12</v>
      </c>
      <c r="D75" t="s">
        <v>19</v>
      </c>
      <c r="E75">
        <v>7</v>
      </c>
      <c r="F75" t="s">
        <v>26</v>
      </c>
      <c r="G75" t="s">
        <v>27</v>
      </c>
      <c r="H75" s="1">
        <v>15.04</v>
      </c>
      <c r="I75" t="s">
        <v>24</v>
      </c>
      <c r="J75">
        <v>2</v>
      </c>
      <c r="K75">
        <v>9</v>
      </c>
    </row>
    <row r="76" spans="1:11" x14ac:dyDescent="0.35">
      <c r="A76" t="s">
        <v>108</v>
      </c>
      <c r="B76">
        <v>65</v>
      </c>
      <c r="C76" t="s">
        <v>12</v>
      </c>
      <c r="D76" t="s">
        <v>21</v>
      </c>
      <c r="E76">
        <v>25</v>
      </c>
      <c r="F76" t="s">
        <v>31</v>
      </c>
      <c r="G76" t="s">
        <v>34</v>
      </c>
      <c r="H76" s="1">
        <v>172.11</v>
      </c>
      <c r="I76" t="s">
        <v>24</v>
      </c>
      <c r="J76">
        <v>3</v>
      </c>
      <c r="K76">
        <v>2</v>
      </c>
    </row>
    <row r="77" spans="1:11" x14ac:dyDescent="0.35">
      <c r="A77" t="s">
        <v>109</v>
      </c>
      <c r="B77">
        <v>73</v>
      </c>
      <c r="C77" t="s">
        <v>12</v>
      </c>
      <c r="D77" t="s">
        <v>21</v>
      </c>
      <c r="E77">
        <v>17</v>
      </c>
      <c r="F77" t="s">
        <v>26</v>
      </c>
      <c r="G77" t="s">
        <v>27</v>
      </c>
      <c r="H77" s="1">
        <v>45.36</v>
      </c>
      <c r="I77" t="s">
        <v>28</v>
      </c>
      <c r="J77">
        <v>0</v>
      </c>
      <c r="K77">
        <v>5</v>
      </c>
    </row>
    <row r="78" spans="1:11" x14ac:dyDescent="0.35">
      <c r="A78" t="s">
        <v>110</v>
      </c>
      <c r="B78">
        <v>68</v>
      </c>
      <c r="C78" t="s">
        <v>18</v>
      </c>
      <c r="D78" t="s">
        <v>21</v>
      </c>
      <c r="E78">
        <v>16</v>
      </c>
      <c r="F78" t="s">
        <v>31</v>
      </c>
      <c r="G78" t="s">
        <v>34</v>
      </c>
      <c r="H78" s="1">
        <v>218.86</v>
      </c>
      <c r="I78" t="s">
        <v>24</v>
      </c>
      <c r="J78">
        <v>1</v>
      </c>
      <c r="K78">
        <v>4</v>
      </c>
    </row>
    <row r="79" spans="1:11" x14ac:dyDescent="0.35">
      <c r="A79" t="s">
        <v>111</v>
      </c>
      <c r="B79">
        <v>39</v>
      </c>
      <c r="C79" t="s">
        <v>18</v>
      </c>
      <c r="D79" t="s">
        <v>30</v>
      </c>
      <c r="E79">
        <v>9</v>
      </c>
      <c r="F79" t="s">
        <v>26</v>
      </c>
      <c r="G79" t="s">
        <v>34</v>
      </c>
      <c r="H79" s="1">
        <v>112.17</v>
      </c>
      <c r="I79" t="s">
        <v>28</v>
      </c>
      <c r="J79">
        <v>0</v>
      </c>
      <c r="K79">
        <v>6</v>
      </c>
    </row>
    <row r="80" spans="1:11" x14ac:dyDescent="0.35">
      <c r="A80" t="s">
        <v>112</v>
      </c>
      <c r="B80">
        <v>44</v>
      </c>
      <c r="C80" t="s">
        <v>18</v>
      </c>
      <c r="D80" t="s">
        <v>19</v>
      </c>
      <c r="E80">
        <v>17</v>
      </c>
      <c r="F80" t="s">
        <v>22</v>
      </c>
      <c r="G80" t="s">
        <v>27</v>
      </c>
      <c r="H80" s="1">
        <v>88.23</v>
      </c>
      <c r="I80" t="s">
        <v>24</v>
      </c>
      <c r="J80">
        <v>0</v>
      </c>
      <c r="K80">
        <v>7</v>
      </c>
    </row>
    <row r="81" spans="1:11" x14ac:dyDescent="0.35">
      <c r="A81" t="s">
        <v>113</v>
      </c>
      <c r="B81">
        <v>39</v>
      </c>
      <c r="C81" t="s">
        <v>18</v>
      </c>
      <c r="D81" t="s">
        <v>21</v>
      </c>
      <c r="E81">
        <v>20</v>
      </c>
      <c r="F81" t="s">
        <v>31</v>
      </c>
      <c r="G81" t="s">
        <v>23</v>
      </c>
      <c r="H81" s="1">
        <v>441.47</v>
      </c>
      <c r="I81" t="s">
        <v>24</v>
      </c>
      <c r="J81">
        <v>4</v>
      </c>
      <c r="K81">
        <v>4</v>
      </c>
    </row>
    <row r="82" spans="1:11" x14ac:dyDescent="0.35">
      <c r="A82" t="s">
        <v>114</v>
      </c>
      <c r="B82">
        <v>57</v>
      </c>
      <c r="C82" t="s">
        <v>12</v>
      </c>
      <c r="D82" t="s">
        <v>21</v>
      </c>
      <c r="E82">
        <v>41</v>
      </c>
      <c r="F82" t="s">
        <v>33</v>
      </c>
      <c r="G82" t="s">
        <v>34</v>
      </c>
      <c r="H82" s="1">
        <v>91.29</v>
      </c>
      <c r="I82" t="s">
        <v>28</v>
      </c>
      <c r="J82">
        <v>3</v>
      </c>
      <c r="K82">
        <v>5</v>
      </c>
    </row>
    <row r="83" spans="1:11" x14ac:dyDescent="0.35">
      <c r="A83" t="s">
        <v>115</v>
      </c>
      <c r="B83">
        <v>61</v>
      </c>
      <c r="C83" t="s">
        <v>18</v>
      </c>
      <c r="D83" t="s">
        <v>19</v>
      </c>
      <c r="E83">
        <v>12</v>
      </c>
      <c r="F83" t="s">
        <v>33</v>
      </c>
      <c r="G83" t="s">
        <v>37</v>
      </c>
      <c r="H83" s="1">
        <v>206.99</v>
      </c>
      <c r="I83" t="s">
        <v>43</v>
      </c>
      <c r="J83">
        <v>1</v>
      </c>
      <c r="K83">
        <v>4</v>
      </c>
    </row>
    <row r="84" spans="1:11" x14ac:dyDescent="0.35">
      <c r="A84" t="s">
        <v>116</v>
      </c>
      <c r="B84">
        <v>55</v>
      </c>
      <c r="C84" t="s">
        <v>18</v>
      </c>
      <c r="D84" t="s">
        <v>21</v>
      </c>
      <c r="E84">
        <v>21</v>
      </c>
      <c r="F84" t="s">
        <v>22</v>
      </c>
      <c r="G84" t="s">
        <v>27</v>
      </c>
      <c r="H84" s="1">
        <v>53.2</v>
      </c>
      <c r="I84" t="s">
        <v>24</v>
      </c>
      <c r="J84">
        <v>2</v>
      </c>
      <c r="K84">
        <v>3</v>
      </c>
    </row>
    <row r="85" spans="1:11" x14ac:dyDescent="0.35">
      <c r="A85" t="s">
        <v>117</v>
      </c>
      <c r="B85">
        <v>21</v>
      </c>
      <c r="C85" t="s">
        <v>12</v>
      </c>
      <c r="D85" t="s">
        <v>19</v>
      </c>
      <c r="E85">
        <v>6</v>
      </c>
      <c r="F85" t="s">
        <v>22</v>
      </c>
      <c r="G85" t="s">
        <v>15</v>
      </c>
      <c r="H85" s="1">
        <v>336.49</v>
      </c>
      <c r="I85" t="s">
        <v>24</v>
      </c>
      <c r="J85">
        <v>0</v>
      </c>
      <c r="K85">
        <v>10</v>
      </c>
    </row>
    <row r="86" spans="1:11" x14ac:dyDescent="0.35">
      <c r="A86" t="s">
        <v>118</v>
      </c>
      <c r="B86">
        <v>63</v>
      </c>
      <c r="C86" t="s">
        <v>18</v>
      </c>
      <c r="D86" t="s">
        <v>13</v>
      </c>
      <c r="E86">
        <v>12</v>
      </c>
      <c r="F86" t="s">
        <v>22</v>
      </c>
      <c r="G86" t="s">
        <v>37</v>
      </c>
      <c r="H86" s="1">
        <v>216.3</v>
      </c>
      <c r="I86" t="s">
        <v>24</v>
      </c>
      <c r="J86">
        <v>1</v>
      </c>
      <c r="K86">
        <v>8</v>
      </c>
    </row>
    <row r="87" spans="1:11" x14ac:dyDescent="0.35">
      <c r="A87" t="s">
        <v>119</v>
      </c>
      <c r="B87">
        <v>58</v>
      </c>
      <c r="C87" t="s">
        <v>12</v>
      </c>
      <c r="D87" t="s">
        <v>120</v>
      </c>
      <c r="E87">
        <v>47</v>
      </c>
      <c r="F87" t="s">
        <v>26</v>
      </c>
      <c r="G87" t="s">
        <v>23</v>
      </c>
      <c r="H87" s="1">
        <v>358.68</v>
      </c>
      <c r="I87" t="s">
        <v>24</v>
      </c>
      <c r="J87">
        <v>1</v>
      </c>
      <c r="K87">
        <v>1</v>
      </c>
    </row>
    <row r="88" spans="1:11" x14ac:dyDescent="0.35">
      <c r="A88" t="s">
        <v>121</v>
      </c>
      <c r="B88">
        <v>18</v>
      </c>
      <c r="C88" t="s">
        <v>12</v>
      </c>
      <c r="D88" t="s">
        <v>13</v>
      </c>
      <c r="E88">
        <v>11</v>
      </c>
      <c r="F88" t="s">
        <v>31</v>
      </c>
      <c r="G88" t="s">
        <v>37</v>
      </c>
      <c r="H88" s="1">
        <v>135.35</v>
      </c>
      <c r="I88" t="s">
        <v>24</v>
      </c>
      <c r="J88">
        <v>3</v>
      </c>
      <c r="K88">
        <v>4</v>
      </c>
    </row>
    <row r="89" spans="1:11" x14ac:dyDescent="0.35">
      <c r="A89" t="s">
        <v>122</v>
      </c>
      <c r="B89">
        <v>37</v>
      </c>
      <c r="C89" t="s">
        <v>12</v>
      </c>
      <c r="D89" t="s">
        <v>21</v>
      </c>
      <c r="E89">
        <v>25</v>
      </c>
      <c r="F89" t="s">
        <v>22</v>
      </c>
      <c r="G89" t="s">
        <v>15</v>
      </c>
      <c r="H89" s="1">
        <v>316.58</v>
      </c>
      <c r="I89" t="s">
        <v>28</v>
      </c>
      <c r="J89">
        <v>2</v>
      </c>
      <c r="K89">
        <v>2</v>
      </c>
    </row>
    <row r="90" spans="1:11" x14ac:dyDescent="0.35">
      <c r="A90" t="s">
        <v>123</v>
      </c>
      <c r="B90">
        <v>74</v>
      </c>
      <c r="C90" t="s">
        <v>18</v>
      </c>
      <c r="D90" t="s">
        <v>19</v>
      </c>
      <c r="E90">
        <v>16</v>
      </c>
      <c r="F90" t="s">
        <v>33</v>
      </c>
      <c r="G90" t="s">
        <v>27</v>
      </c>
      <c r="H90" s="1">
        <v>39.049999999999997</v>
      </c>
      <c r="I90" t="s">
        <v>28</v>
      </c>
      <c r="J90">
        <v>3</v>
      </c>
      <c r="K90">
        <v>8</v>
      </c>
    </row>
    <row r="91" spans="1:11" x14ac:dyDescent="0.35">
      <c r="A91" t="s">
        <v>124</v>
      </c>
      <c r="B91">
        <v>81</v>
      </c>
      <c r="C91" t="s">
        <v>18</v>
      </c>
      <c r="D91" t="s">
        <v>30</v>
      </c>
      <c r="E91">
        <v>8</v>
      </c>
      <c r="F91" t="s">
        <v>22</v>
      </c>
      <c r="G91" t="s">
        <v>23</v>
      </c>
      <c r="H91" s="1">
        <v>325.95</v>
      </c>
      <c r="I91" t="s">
        <v>24</v>
      </c>
      <c r="J91">
        <v>2</v>
      </c>
      <c r="K91">
        <v>9</v>
      </c>
    </row>
    <row r="92" spans="1:11" x14ac:dyDescent="0.35">
      <c r="A92" t="s">
        <v>125</v>
      </c>
      <c r="B92">
        <v>21</v>
      </c>
      <c r="C92" t="s">
        <v>12</v>
      </c>
      <c r="D92" t="s">
        <v>21</v>
      </c>
      <c r="E92">
        <v>36</v>
      </c>
      <c r="F92" t="s">
        <v>33</v>
      </c>
      <c r="G92" t="s">
        <v>37</v>
      </c>
      <c r="H92" s="1">
        <v>143.85</v>
      </c>
      <c r="I92" t="s">
        <v>24</v>
      </c>
      <c r="J92">
        <v>4</v>
      </c>
      <c r="K92">
        <v>2</v>
      </c>
    </row>
    <row r="93" spans="1:11" x14ac:dyDescent="0.35">
      <c r="A93" t="s">
        <v>126</v>
      </c>
      <c r="B93">
        <v>23</v>
      </c>
      <c r="C93" t="s">
        <v>12</v>
      </c>
      <c r="D93" t="s">
        <v>30</v>
      </c>
      <c r="E93">
        <v>3</v>
      </c>
      <c r="F93" t="s">
        <v>14</v>
      </c>
      <c r="G93" t="s">
        <v>34</v>
      </c>
      <c r="H93" s="1">
        <v>0</v>
      </c>
      <c r="I93" t="s">
        <v>16</v>
      </c>
      <c r="J93">
        <v>0</v>
      </c>
      <c r="K93">
        <v>9</v>
      </c>
    </row>
    <row r="94" spans="1:11" x14ac:dyDescent="0.35">
      <c r="A94" t="s">
        <v>127</v>
      </c>
      <c r="B94">
        <v>70</v>
      </c>
      <c r="C94" t="s">
        <v>18</v>
      </c>
      <c r="D94" t="s">
        <v>19</v>
      </c>
      <c r="E94">
        <v>17</v>
      </c>
      <c r="F94" t="s">
        <v>22</v>
      </c>
      <c r="G94" t="s">
        <v>23</v>
      </c>
      <c r="H94" s="1">
        <v>540.66999999999996</v>
      </c>
      <c r="I94" t="s">
        <v>24</v>
      </c>
      <c r="J94">
        <v>0</v>
      </c>
      <c r="K94">
        <v>4</v>
      </c>
    </row>
    <row r="95" spans="1:11" x14ac:dyDescent="0.35">
      <c r="A95" t="s">
        <v>128</v>
      </c>
      <c r="B95">
        <v>79</v>
      </c>
      <c r="C95" t="s">
        <v>18</v>
      </c>
      <c r="D95" t="s">
        <v>30</v>
      </c>
      <c r="E95">
        <v>14</v>
      </c>
      <c r="F95" t="s">
        <v>31</v>
      </c>
      <c r="G95" t="s">
        <v>37</v>
      </c>
      <c r="H95" s="1">
        <v>127.14</v>
      </c>
      <c r="I95" t="s">
        <v>43</v>
      </c>
      <c r="J95">
        <v>3</v>
      </c>
      <c r="K95">
        <v>7</v>
      </c>
    </row>
    <row r="96" spans="1:11" x14ac:dyDescent="0.35">
      <c r="A96" t="s">
        <v>129</v>
      </c>
      <c r="B96">
        <v>57</v>
      </c>
      <c r="C96" t="s">
        <v>18</v>
      </c>
      <c r="D96" t="s">
        <v>13</v>
      </c>
      <c r="E96">
        <v>24</v>
      </c>
      <c r="F96" t="s">
        <v>26</v>
      </c>
      <c r="G96" t="s">
        <v>34</v>
      </c>
      <c r="H96" s="1">
        <v>115.32</v>
      </c>
      <c r="I96" t="s">
        <v>24</v>
      </c>
      <c r="J96">
        <v>2</v>
      </c>
      <c r="K96">
        <v>1</v>
      </c>
    </row>
    <row r="97" spans="1:11" x14ac:dyDescent="0.35">
      <c r="A97" t="s">
        <v>130</v>
      </c>
      <c r="B97">
        <v>22</v>
      </c>
      <c r="C97" t="s">
        <v>12</v>
      </c>
      <c r="D97" t="s">
        <v>19</v>
      </c>
      <c r="E97">
        <v>23</v>
      </c>
      <c r="F97" t="s">
        <v>33</v>
      </c>
      <c r="G97" t="s">
        <v>37</v>
      </c>
      <c r="H97" s="1">
        <v>159.38</v>
      </c>
      <c r="I97" t="s">
        <v>24</v>
      </c>
      <c r="J97">
        <v>4</v>
      </c>
      <c r="K97">
        <v>3</v>
      </c>
    </row>
    <row r="98" spans="1:11" x14ac:dyDescent="0.35">
      <c r="A98" t="s">
        <v>131</v>
      </c>
      <c r="B98">
        <v>85</v>
      </c>
      <c r="C98" t="s">
        <v>18</v>
      </c>
      <c r="D98" t="s">
        <v>30</v>
      </c>
      <c r="E98">
        <v>10</v>
      </c>
      <c r="F98" t="s">
        <v>22</v>
      </c>
      <c r="G98" t="s">
        <v>34</v>
      </c>
      <c r="H98" s="1">
        <v>212.54</v>
      </c>
      <c r="I98" t="s">
        <v>24</v>
      </c>
      <c r="J98">
        <v>3</v>
      </c>
      <c r="K98">
        <v>6</v>
      </c>
    </row>
    <row r="99" spans="1:11" x14ac:dyDescent="0.35">
      <c r="A99" t="s">
        <v>132</v>
      </c>
      <c r="B99">
        <v>21</v>
      </c>
      <c r="C99" t="s">
        <v>12</v>
      </c>
      <c r="D99" t="s">
        <v>21</v>
      </c>
      <c r="E99">
        <v>35</v>
      </c>
      <c r="F99" t="s">
        <v>33</v>
      </c>
      <c r="G99" t="s">
        <v>15</v>
      </c>
      <c r="H99" s="1">
        <v>97.8</v>
      </c>
      <c r="I99" t="s">
        <v>24</v>
      </c>
      <c r="J99">
        <v>0</v>
      </c>
      <c r="K99">
        <v>4</v>
      </c>
    </row>
    <row r="100" spans="1:11" x14ac:dyDescent="0.35">
      <c r="A100" t="s">
        <v>133</v>
      </c>
      <c r="B100">
        <v>27</v>
      </c>
      <c r="C100" t="s">
        <v>18</v>
      </c>
      <c r="D100" t="s">
        <v>19</v>
      </c>
      <c r="E100">
        <v>10</v>
      </c>
      <c r="F100" t="s">
        <v>33</v>
      </c>
      <c r="G100" t="s">
        <v>37</v>
      </c>
      <c r="H100" s="1">
        <v>173.92</v>
      </c>
      <c r="I100" t="s">
        <v>24</v>
      </c>
      <c r="J100">
        <v>1</v>
      </c>
      <c r="K100">
        <v>6</v>
      </c>
    </row>
    <row r="101" spans="1:11" x14ac:dyDescent="0.35">
      <c r="A101" t="s">
        <v>134</v>
      </c>
      <c r="B101">
        <v>83</v>
      </c>
      <c r="C101" t="s">
        <v>12</v>
      </c>
      <c r="D101" t="s">
        <v>19</v>
      </c>
      <c r="E101">
        <v>19</v>
      </c>
      <c r="F101" t="s">
        <v>26</v>
      </c>
      <c r="G101" t="s">
        <v>34</v>
      </c>
      <c r="H101" s="1">
        <v>166.55</v>
      </c>
      <c r="I101" t="s">
        <v>24</v>
      </c>
      <c r="J101">
        <v>3</v>
      </c>
      <c r="K101">
        <v>4</v>
      </c>
    </row>
    <row r="102" spans="1:11" x14ac:dyDescent="0.35">
      <c r="A102" t="s">
        <v>135</v>
      </c>
      <c r="B102">
        <v>68</v>
      </c>
      <c r="C102" t="s">
        <v>18</v>
      </c>
      <c r="D102" t="s">
        <v>21</v>
      </c>
      <c r="E102">
        <v>30</v>
      </c>
      <c r="F102" t="s">
        <v>31</v>
      </c>
      <c r="G102" t="s">
        <v>15</v>
      </c>
      <c r="H102" s="1">
        <v>266.3</v>
      </c>
      <c r="I102" t="s">
        <v>24</v>
      </c>
      <c r="J102">
        <v>3</v>
      </c>
      <c r="K102">
        <v>5</v>
      </c>
    </row>
    <row r="103" spans="1:11" x14ac:dyDescent="0.35">
      <c r="A103" t="s">
        <v>136</v>
      </c>
      <c r="B103">
        <v>84</v>
      </c>
      <c r="C103" t="s">
        <v>18</v>
      </c>
      <c r="D103" t="s">
        <v>19</v>
      </c>
      <c r="E103">
        <v>22</v>
      </c>
      <c r="F103" t="s">
        <v>33</v>
      </c>
      <c r="G103" t="s">
        <v>37</v>
      </c>
      <c r="H103" s="1">
        <v>126.86</v>
      </c>
      <c r="I103" t="s">
        <v>28</v>
      </c>
      <c r="J103">
        <v>2</v>
      </c>
      <c r="K103">
        <v>5</v>
      </c>
    </row>
    <row r="104" spans="1:11" x14ac:dyDescent="0.35">
      <c r="A104" t="s">
        <v>137</v>
      </c>
      <c r="B104">
        <v>62</v>
      </c>
      <c r="C104" t="s">
        <v>12</v>
      </c>
      <c r="D104" t="s">
        <v>19</v>
      </c>
      <c r="E104">
        <v>13</v>
      </c>
      <c r="F104" t="s">
        <v>26</v>
      </c>
      <c r="G104" t="s">
        <v>23</v>
      </c>
      <c r="H104" s="1">
        <v>369.64</v>
      </c>
      <c r="I104" t="s">
        <v>28</v>
      </c>
      <c r="J104">
        <v>2</v>
      </c>
      <c r="K104">
        <v>4</v>
      </c>
    </row>
    <row r="105" spans="1:11" x14ac:dyDescent="0.35">
      <c r="A105" t="s">
        <v>138</v>
      </c>
      <c r="B105">
        <v>58</v>
      </c>
      <c r="C105" t="s">
        <v>12</v>
      </c>
      <c r="D105" t="s">
        <v>57</v>
      </c>
      <c r="E105">
        <v>47</v>
      </c>
      <c r="F105" t="s">
        <v>33</v>
      </c>
      <c r="G105" t="s">
        <v>34</v>
      </c>
      <c r="H105" s="1">
        <v>136.01</v>
      </c>
      <c r="I105" t="s">
        <v>24</v>
      </c>
      <c r="J105">
        <v>3</v>
      </c>
      <c r="K105">
        <v>4</v>
      </c>
    </row>
    <row r="106" spans="1:11" x14ac:dyDescent="0.35">
      <c r="A106" t="s">
        <v>139</v>
      </c>
      <c r="B106">
        <v>47</v>
      </c>
      <c r="C106" t="s">
        <v>18</v>
      </c>
      <c r="D106" t="s">
        <v>21</v>
      </c>
      <c r="E106">
        <v>47</v>
      </c>
      <c r="F106" t="s">
        <v>22</v>
      </c>
      <c r="G106" t="s">
        <v>23</v>
      </c>
      <c r="H106" s="1">
        <v>336.4</v>
      </c>
      <c r="I106" t="s">
        <v>24</v>
      </c>
      <c r="J106">
        <v>2</v>
      </c>
      <c r="K106">
        <v>3</v>
      </c>
    </row>
    <row r="107" spans="1:11" x14ac:dyDescent="0.35">
      <c r="A107" t="s">
        <v>140</v>
      </c>
      <c r="B107">
        <v>19</v>
      </c>
      <c r="C107" t="s">
        <v>18</v>
      </c>
      <c r="D107" t="s">
        <v>57</v>
      </c>
      <c r="E107">
        <v>13</v>
      </c>
      <c r="F107" t="s">
        <v>33</v>
      </c>
      <c r="G107" t="s">
        <v>23</v>
      </c>
      <c r="H107" s="1">
        <v>514.89</v>
      </c>
      <c r="I107" t="s">
        <v>24</v>
      </c>
      <c r="J107">
        <v>0</v>
      </c>
      <c r="K107">
        <v>5</v>
      </c>
    </row>
    <row r="108" spans="1:11" x14ac:dyDescent="0.35">
      <c r="A108" t="s">
        <v>141</v>
      </c>
      <c r="B108">
        <v>74</v>
      </c>
      <c r="C108" t="s">
        <v>18</v>
      </c>
      <c r="D108" t="s">
        <v>19</v>
      </c>
      <c r="E108">
        <v>6</v>
      </c>
      <c r="F108" t="s">
        <v>33</v>
      </c>
      <c r="G108" t="s">
        <v>37</v>
      </c>
      <c r="H108" s="1">
        <v>103.62</v>
      </c>
      <c r="I108" t="s">
        <v>24</v>
      </c>
      <c r="J108">
        <v>0</v>
      </c>
      <c r="K108">
        <v>10</v>
      </c>
    </row>
    <row r="109" spans="1:11" x14ac:dyDescent="0.35">
      <c r="A109" t="s">
        <v>142</v>
      </c>
      <c r="B109">
        <v>59</v>
      </c>
      <c r="C109" t="s">
        <v>12</v>
      </c>
      <c r="D109" t="s">
        <v>21</v>
      </c>
      <c r="E109">
        <v>24</v>
      </c>
      <c r="F109" t="s">
        <v>14</v>
      </c>
      <c r="G109" t="s">
        <v>23</v>
      </c>
      <c r="H109" s="1">
        <v>0</v>
      </c>
      <c r="I109" t="s">
        <v>16</v>
      </c>
      <c r="J109">
        <v>4</v>
      </c>
      <c r="K109">
        <v>1</v>
      </c>
    </row>
    <row r="110" spans="1:11" x14ac:dyDescent="0.35">
      <c r="A110" t="s">
        <v>143</v>
      </c>
      <c r="B110">
        <v>77</v>
      </c>
      <c r="C110" t="s">
        <v>18</v>
      </c>
      <c r="D110" t="s">
        <v>13</v>
      </c>
      <c r="E110">
        <v>8</v>
      </c>
      <c r="F110" t="s">
        <v>33</v>
      </c>
      <c r="G110" t="s">
        <v>27</v>
      </c>
      <c r="H110" s="1">
        <v>70.650000000000006</v>
      </c>
      <c r="I110" t="s">
        <v>24</v>
      </c>
      <c r="J110">
        <v>1</v>
      </c>
      <c r="K110">
        <v>7</v>
      </c>
    </row>
    <row r="111" spans="1:11" x14ac:dyDescent="0.35">
      <c r="A111" t="s">
        <v>144</v>
      </c>
      <c r="B111">
        <v>70</v>
      </c>
      <c r="C111" t="s">
        <v>18</v>
      </c>
      <c r="D111" t="s">
        <v>21</v>
      </c>
      <c r="E111">
        <v>46</v>
      </c>
      <c r="F111" t="s">
        <v>26</v>
      </c>
      <c r="G111" t="s">
        <v>15</v>
      </c>
      <c r="H111" s="1">
        <v>162.6</v>
      </c>
      <c r="I111" t="s">
        <v>24</v>
      </c>
      <c r="J111">
        <v>2</v>
      </c>
      <c r="K111">
        <v>4</v>
      </c>
    </row>
    <row r="112" spans="1:11" x14ac:dyDescent="0.35">
      <c r="A112" t="s">
        <v>145</v>
      </c>
      <c r="B112">
        <v>36</v>
      </c>
      <c r="C112" t="s">
        <v>12</v>
      </c>
      <c r="D112" t="s">
        <v>19</v>
      </c>
      <c r="E112">
        <v>13</v>
      </c>
      <c r="F112" t="s">
        <v>31</v>
      </c>
      <c r="G112" t="s">
        <v>23</v>
      </c>
      <c r="H112" s="1">
        <v>446.85</v>
      </c>
      <c r="I112" t="s">
        <v>24</v>
      </c>
      <c r="J112">
        <v>0</v>
      </c>
      <c r="K112">
        <v>4</v>
      </c>
    </row>
    <row r="113" spans="1:11" x14ac:dyDescent="0.35">
      <c r="A113" t="s">
        <v>146</v>
      </c>
      <c r="B113">
        <v>27</v>
      </c>
      <c r="C113" t="s">
        <v>18</v>
      </c>
      <c r="D113" t="s">
        <v>19</v>
      </c>
      <c r="E113">
        <v>10</v>
      </c>
      <c r="F113" t="s">
        <v>33</v>
      </c>
      <c r="G113" t="s">
        <v>27</v>
      </c>
      <c r="H113" s="1">
        <v>87.97</v>
      </c>
      <c r="I113" t="s">
        <v>24</v>
      </c>
      <c r="J113">
        <v>1</v>
      </c>
      <c r="K113">
        <v>7</v>
      </c>
    </row>
    <row r="114" spans="1:11" x14ac:dyDescent="0.35">
      <c r="A114" t="s">
        <v>147</v>
      </c>
      <c r="B114">
        <v>22</v>
      </c>
      <c r="C114" t="s">
        <v>18</v>
      </c>
      <c r="D114" t="s">
        <v>13</v>
      </c>
      <c r="E114">
        <v>21</v>
      </c>
      <c r="F114" t="s">
        <v>26</v>
      </c>
      <c r="G114" t="s">
        <v>37</v>
      </c>
      <c r="H114" s="1">
        <v>138.94</v>
      </c>
      <c r="I114" t="s">
        <v>24</v>
      </c>
      <c r="J114">
        <v>3</v>
      </c>
      <c r="K114">
        <v>2</v>
      </c>
    </row>
    <row r="115" spans="1:11" x14ac:dyDescent="0.35">
      <c r="A115" t="s">
        <v>148</v>
      </c>
      <c r="B115">
        <v>22</v>
      </c>
      <c r="C115" t="s">
        <v>18</v>
      </c>
      <c r="D115" t="s">
        <v>13</v>
      </c>
      <c r="E115">
        <v>21</v>
      </c>
      <c r="F115" t="s">
        <v>22</v>
      </c>
      <c r="G115" t="s">
        <v>27</v>
      </c>
      <c r="H115" s="1">
        <v>52.03</v>
      </c>
      <c r="I115" t="s">
        <v>28</v>
      </c>
      <c r="J115">
        <v>2</v>
      </c>
      <c r="K115">
        <v>3</v>
      </c>
    </row>
    <row r="116" spans="1:11" x14ac:dyDescent="0.35">
      <c r="A116" t="s">
        <v>149</v>
      </c>
      <c r="B116">
        <v>47</v>
      </c>
      <c r="C116" t="s">
        <v>18</v>
      </c>
      <c r="D116" t="s">
        <v>57</v>
      </c>
      <c r="E116">
        <v>12</v>
      </c>
      <c r="F116" t="s">
        <v>14</v>
      </c>
      <c r="G116" t="s">
        <v>27</v>
      </c>
      <c r="H116" s="1">
        <v>0</v>
      </c>
      <c r="I116" t="s">
        <v>16</v>
      </c>
      <c r="J116">
        <v>3</v>
      </c>
      <c r="K116">
        <v>6</v>
      </c>
    </row>
    <row r="117" spans="1:11" x14ac:dyDescent="0.35">
      <c r="A117" t="s">
        <v>150</v>
      </c>
      <c r="B117">
        <v>72</v>
      </c>
      <c r="C117" t="s">
        <v>18</v>
      </c>
      <c r="D117" t="s">
        <v>19</v>
      </c>
      <c r="E117">
        <v>7</v>
      </c>
      <c r="F117" t="s">
        <v>33</v>
      </c>
      <c r="G117" t="s">
        <v>15</v>
      </c>
      <c r="H117" s="1">
        <v>304.48</v>
      </c>
      <c r="I117" t="s">
        <v>24</v>
      </c>
      <c r="J117">
        <v>1</v>
      </c>
      <c r="K117">
        <v>8</v>
      </c>
    </row>
    <row r="118" spans="1:11" x14ac:dyDescent="0.35">
      <c r="A118" t="s">
        <v>151</v>
      </c>
      <c r="B118">
        <v>56</v>
      </c>
      <c r="C118" t="s">
        <v>18</v>
      </c>
      <c r="D118" t="s">
        <v>19</v>
      </c>
      <c r="E118">
        <v>23</v>
      </c>
      <c r="F118" t="s">
        <v>33</v>
      </c>
      <c r="G118" t="s">
        <v>23</v>
      </c>
      <c r="H118" s="1">
        <v>475.17</v>
      </c>
      <c r="I118" t="s">
        <v>24</v>
      </c>
      <c r="J118">
        <v>2</v>
      </c>
      <c r="K118">
        <v>3</v>
      </c>
    </row>
    <row r="119" spans="1:11" x14ac:dyDescent="0.35">
      <c r="A119" t="s">
        <v>152</v>
      </c>
      <c r="B119">
        <v>62</v>
      </c>
      <c r="C119" t="s">
        <v>18</v>
      </c>
      <c r="D119" t="s">
        <v>21</v>
      </c>
      <c r="E119">
        <v>45</v>
      </c>
      <c r="F119" t="s">
        <v>33</v>
      </c>
      <c r="G119" t="s">
        <v>23</v>
      </c>
      <c r="H119" s="1">
        <v>295.04000000000002</v>
      </c>
      <c r="I119" t="s">
        <v>24</v>
      </c>
      <c r="J119">
        <v>1</v>
      </c>
      <c r="K119">
        <v>5</v>
      </c>
    </row>
    <row r="120" spans="1:11" x14ac:dyDescent="0.35">
      <c r="A120" t="s">
        <v>153</v>
      </c>
      <c r="B120">
        <v>27</v>
      </c>
      <c r="C120" t="s">
        <v>12</v>
      </c>
      <c r="D120" t="s">
        <v>19</v>
      </c>
      <c r="E120">
        <v>9</v>
      </c>
      <c r="F120" t="s">
        <v>31</v>
      </c>
      <c r="G120" t="s">
        <v>34</v>
      </c>
      <c r="H120" s="1">
        <v>128.57</v>
      </c>
      <c r="I120" t="s">
        <v>24</v>
      </c>
      <c r="J120">
        <v>0</v>
      </c>
      <c r="K120">
        <v>8</v>
      </c>
    </row>
    <row r="121" spans="1:11" x14ac:dyDescent="0.35">
      <c r="A121" t="s">
        <v>154</v>
      </c>
      <c r="B121">
        <v>57</v>
      </c>
      <c r="C121" t="s">
        <v>12</v>
      </c>
      <c r="D121" t="s">
        <v>19</v>
      </c>
      <c r="E121">
        <v>11</v>
      </c>
      <c r="F121" t="s">
        <v>22</v>
      </c>
      <c r="G121" t="s">
        <v>15</v>
      </c>
      <c r="H121" s="1">
        <v>142.46</v>
      </c>
      <c r="I121" t="s">
        <v>24</v>
      </c>
      <c r="J121">
        <v>1</v>
      </c>
      <c r="K121">
        <v>6</v>
      </c>
    </row>
    <row r="122" spans="1:11" x14ac:dyDescent="0.35">
      <c r="A122" t="s">
        <v>155</v>
      </c>
      <c r="B122">
        <v>81</v>
      </c>
      <c r="C122" t="s">
        <v>12</v>
      </c>
      <c r="D122" t="s">
        <v>21</v>
      </c>
      <c r="E122">
        <v>26</v>
      </c>
      <c r="F122" t="s">
        <v>33</v>
      </c>
      <c r="G122" t="s">
        <v>37</v>
      </c>
      <c r="H122" s="1">
        <v>170.37</v>
      </c>
      <c r="I122" t="s">
        <v>24</v>
      </c>
      <c r="J122">
        <v>4</v>
      </c>
      <c r="K122">
        <v>4</v>
      </c>
    </row>
    <row r="123" spans="1:11" x14ac:dyDescent="0.35">
      <c r="A123" t="s">
        <v>156</v>
      </c>
      <c r="B123">
        <v>69</v>
      </c>
      <c r="C123" t="s">
        <v>18</v>
      </c>
      <c r="D123" t="s">
        <v>21</v>
      </c>
      <c r="E123">
        <v>15</v>
      </c>
      <c r="F123" t="s">
        <v>31</v>
      </c>
      <c r="G123" t="s">
        <v>23</v>
      </c>
      <c r="H123" s="1">
        <v>439.98</v>
      </c>
      <c r="I123" t="s">
        <v>24</v>
      </c>
      <c r="J123">
        <v>2</v>
      </c>
      <c r="K123">
        <v>5</v>
      </c>
    </row>
    <row r="124" spans="1:11" x14ac:dyDescent="0.35">
      <c r="A124" t="s">
        <v>157</v>
      </c>
      <c r="B124">
        <v>54</v>
      </c>
      <c r="C124" t="s">
        <v>18</v>
      </c>
      <c r="D124" t="s">
        <v>13</v>
      </c>
      <c r="E124">
        <v>14</v>
      </c>
      <c r="F124" t="s">
        <v>33</v>
      </c>
      <c r="G124" t="s">
        <v>37</v>
      </c>
      <c r="H124" s="1">
        <v>99.6</v>
      </c>
      <c r="I124" t="s">
        <v>24</v>
      </c>
      <c r="J124">
        <v>3</v>
      </c>
      <c r="K124">
        <v>5</v>
      </c>
    </row>
    <row r="125" spans="1:11" x14ac:dyDescent="0.35">
      <c r="A125" t="s">
        <v>158</v>
      </c>
      <c r="B125">
        <v>66</v>
      </c>
      <c r="C125" t="s">
        <v>18</v>
      </c>
      <c r="D125" t="s">
        <v>19</v>
      </c>
      <c r="E125">
        <v>23</v>
      </c>
      <c r="F125" t="s">
        <v>26</v>
      </c>
      <c r="G125" t="s">
        <v>23</v>
      </c>
      <c r="H125" s="1">
        <v>251.95</v>
      </c>
      <c r="I125" t="s">
        <v>24</v>
      </c>
      <c r="J125">
        <v>4</v>
      </c>
      <c r="K125">
        <v>5</v>
      </c>
    </row>
    <row r="126" spans="1:11" x14ac:dyDescent="0.35">
      <c r="A126" t="s">
        <v>159</v>
      </c>
      <c r="B126">
        <v>19</v>
      </c>
      <c r="C126" t="s">
        <v>18</v>
      </c>
      <c r="D126" t="s">
        <v>120</v>
      </c>
      <c r="E126">
        <v>13</v>
      </c>
      <c r="F126" t="s">
        <v>31</v>
      </c>
      <c r="G126" t="s">
        <v>27</v>
      </c>
      <c r="H126" s="1">
        <v>75.790000000000006</v>
      </c>
      <c r="I126" t="s">
        <v>24</v>
      </c>
      <c r="J126">
        <v>0</v>
      </c>
      <c r="K126">
        <v>6</v>
      </c>
    </row>
    <row r="127" spans="1:11" x14ac:dyDescent="0.35">
      <c r="A127" t="s">
        <v>160</v>
      </c>
      <c r="B127">
        <v>51</v>
      </c>
      <c r="C127" t="s">
        <v>18</v>
      </c>
      <c r="D127" t="s">
        <v>19</v>
      </c>
      <c r="E127">
        <v>22</v>
      </c>
      <c r="F127" t="s">
        <v>33</v>
      </c>
      <c r="G127" t="s">
        <v>15</v>
      </c>
      <c r="H127" s="1">
        <v>313.85000000000002</v>
      </c>
      <c r="I127" t="s">
        <v>24</v>
      </c>
      <c r="J127">
        <v>1</v>
      </c>
      <c r="K127">
        <v>2</v>
      </c>
    </row>
    <row r="128" spans="1:11" x14ac:dyDescent="0.35">
      <c r="A128" t="s">
        <v>161</v>
      </c>
      <c r="B128">
        <v>24</v>
      </c>
      <c r="C128" t="s">
        <v>18</v>
      </c>
      <c r="D128" t="s">
        <v>21</v>
      </c>
      <c r="E128">
        <v>43</v>
      </c>
      <c r="F128" t="s">
        <v>33</v>
      </c>
      <c r="G128" t="s">
        <v>34</v>
      </c>
      <c r="H128" s="1">
        <v>162.94999999999999</v>
      </c>
      <c r="I128" t="s">
        <v>24</v>
      </c>
      <c r="J128">
        <v>3</v>
      </c>
      <c r="K128">
        <v>3</v>
      </c>
    </row>
    <row r="129" spans="1:11" x14ac:dyDescent="0.35">
      <c r="A129" t="s">
        <v>162</v>
      </c>
      <c r="B129">
        <v>38</v>
      </c>
      <c r="C129" t="s">
        <v>12</v>
      </c>
      <c r="D129" t="s">
        <v>30</v>
      </c>
      <c r="E129">
        <v>12</v>
      </c>
      <c r="F129" t="s">
        <v>14</v>
      </c>
      <c r="G129" t="s">
        <v>23</v>
      </c>
      <c r="H129" s="1">
        <v>0</v>
      </c>
      <c r="I129" t="s">
        <v>16</v>
      </c>
      <c r="J129">
        <v>0</v>
      </c>
      <c r="K129">
        <v>7</v>
      </c>
    </row>
    <row r="130" spans="1:11" x14ac:dyDescent="0.35">
      <c r="A130" t="s">
        <v>163</v>
      </c>
      <c r="B130">
        <v>85</v>
      </c>
      <c r="C130" t="s">
        <v>12</v>
      </c>
      <c r="D130" t="s">
        <v>19</v>
      </c>
      <c r="E130">
        <v>18</v>
      </c>
      <c r="F130" t="s">
        <v>31</v>
      </c>
      <c r="G130" t="s">
        <v>23</v>
      </c>
      <c r="H130" s="1">
        <v>250.43</v>
      </c>
      <c r="I130" t="s">
        <v>24</v>
      </c>
      <c r="J130">
        <v>1</v>
      </c>
      <c r="K130">
        <v>4</v>
      </c>
    </row>
    <row r="131" spans="1:11" x14ac:dyDescent="0.35">
      <c r="A131" t="s">
        <v>164</v>
      </c>
      <c r="B131">
        <v>44</v>
      </c>
      <c r="C131" t="s">
        <v>18</v>
      </c>
      <c r="D131" t="s">
        <v>41</v>
      </c>
      <c r="E131">
        <v>2</v>
      </c>
      <c r="F131" t="s">
        <v>26</v>
      </c>
      <c r="G131" t="s">
        <v>23</v>
      </c>
      <c r="H131" s="1">
        <v>399.66</v>
      </c>
      <c r="I131" t="s">
        <v>24</v>
      </c>
      <c r="J131">
        <v>2</v>
      </c>
      <c r="K131">
        <v>7</v>
      </c>
    </row>
    <row r="132" spans="1:11" x14ac:dyDescent="0.35">
      <c r="A132" t="s">
        <v>165</v>
      </c>
      <c r="B132">
        <v>60</v>
      </c>
      <c r="C132" t="s">
        <v>18</v>
      </c>
      <c r="D132" t="s">
        <v>21</v>
      </c>
      <c r="E132">
        <v>29</v>
      </c>
      <c r="F132" t="s">
        <v>31</v>
      </c>
      <c r="G132" t="s">
        <v>34</v>
      </c>
      <c r="H132" s="1">
        <v>113.71</v>
      </c>
      <c r="I132" t="s">
        <v>28</v>
      </c>
      <c r="J132">
        <v>1</v>
      </c>
      <c r="K132">
        <v>4</v>
      </c>
    </row>
    <row r="133" spans="1:11" x14ac:dyDescent="0.35">
      <c r="A133" t="s">
        <v>166</v>
      </c>
      <c r="B133">
        <v>57</v>
      </c>
      <c r="C133" t="s">
        <v>18</v>
      </c>
      <c r="D133" t="s">
        <v>21</v>
      </c>
      <c r="E133">
        <v>35</v>
      </c>
      <c r="F133" t="s">
        <v>31</v>
      </c>
      <c r="G133" t="s">
        <v>34</v>
      </c>
      <c r="H133" s="1">
        <v>119.03</v>
      </c>
      <c r="I133" t="s">
        <v>24</v>
      </c>
      <c r="J133">
        <v>1</v>
      </c>
      <c r="K133">
        <v>5</v>
      </c>
    </row>
    <row r="134" spans="1:11" x14ac:dyDescent="0.35">
      <c r="A134" t="s">
        <v>167</v>
      </c>
      <c r="B134">
        <v>71</v>
      </c>
      <c r="C134" t="s">
        <v>12</v>
      </c>
      <c r="D134" t="s">
        <v>30</v>
      </c>
      <c r="E134">
        <v>8</v>
      </c>
      <c r="F134" t="s">
        <v>22</v>
      </c>
      <c r="G134" t="s">
        <v>27</v>
      </c>
      <c r="H134" s="1">
        <v>134.26</v>
      </c>
      <c r="I134" t="s">
        <v>24</v>
      </c>
      <c r="J134">
        <v>0</v>
      </c>
      <c r="K134">
        <v>8</v>
      </c>
    </row>
    <row r="135" spans="1:11" x14ac:dyDescent="0.35">
      <c r="A135" t="s">
        <v>168</v>
      </c>
      <c r="B135">
        <v>39</v>
      </c>
      <c r="C135" t="s">
        <v>12</v>
      </c>
      <c r="D135" t="s">
        <v>19</v>
      </c>
      <c r="E135">
        <v>23</v>
      </c>
      <c r="F135" t="s">
        <v>33</v>
      </c>
      <c r="G135" t="s">
        <v>15</v>
      </c>
      <c r="H135" s="1">
        <v>173.66</v>
      </c>
      <c r="I135" t="s">
        <v>24</v>
      </c>
      <c r="J135">
        <v>2</v>
      </c>
      <c r="K135">
        <v>3</v>
      </c>
    </row>
    <row r="136" spans="1:11" x14ac:dyDescent="0.35">
      <c r="A136" t="s">
        <v>169</v>
      </c>
      <c r="B136">
        <v>84</v>
      </c>
      <c r="C136" t="s">
        <v>18</v>
      </c>
      <c r="D136" t="s">
        <v>30</v>
      </c>
      <c r="E136">
        <v>9</v>
      </c>
      <c r="F136" t="s">
        <v>26</v>
      </c>
      <c r="G136" t="s">
        <v>34</v>
      </c>
      <c r="H136" s="1">
        <v>204.51</v>
      </c>
      <c r="I136" t="s">
        <v>28</v>
      </c>
      <c r="J136">
        <v>1</v>
      </c>
      <c r="K136">
        <v>6</v>
      </c>
    </row>
    <row r="137" spans="1:11" x14ac:dyDescent="0.35">
      <c r="A137" t="s">
        <v>170</v>
      </c>
      <c r="B137">
        <v>84</v>
      </c>
      <c r="C137" t="s">
        <v>12</v>
      </c>
      <c r="D137" t="s">
        <v>30</v>
      </c>
      <c r="E137">
        <v>7</v>
      </c>
      <c r="F137" t="s">
        <v>26</v>
      </c>
      <c r="G137" t="s">
        <v>37</v>
      </c>
      <c r="H137" s="1">
        <v>190.41</v>
      </c>
      <c r="I137" t="s">
        <v>24</v>
      </c>
      <c r="J137">
        <v>1</v>
      </c>
      <c r="K137">
        <v>7</v>
      </c>
    </row>
    <row r="138" spans="1:11" x14ac:dyDescent="0.35">
      <c r="A138" t="s">
        <v>171</v>
      </c>
      <c r="B138">
        <v>45</v>
      </c>
      <c r="C138" t="s">
        <v>12</v>
      </c>
      <c r="D138" t="s">
        <v>21</v>
      </c>
      <c r="E138">
        <v>42</v>
      </c>
      <c r="F138" t="s">
        <v>31</v>
      </c>
      <c r="G138" t="s">
        <v>15</v>
      </c>
      <c r="H138" s="1">
        <v>430.42</v>
      </c>
      <c r="I138" t="s">
        <v>24</v>
      </c>
      <c r="J138">
        <v>0</v>
      </c>
      <c r="K138">
        <v>3</v>
      </c>
    </row>
    <row r="139" spans="1:11" x14ac:dyDescent="0.35">
      <c r="A139" t="s">
        <v>172</v>
      </c>
      <c r="B139">
        <v>55</v>
      </c>
      <c r="C139" t="s">
        <v>18</v>
      </c>
      <c r="D139" t="s">
        <v>30</v>
      </c>
      <c r="E139">
        <v>14</v>
      </c>
      <c r="F139" t="s">
        <v>22</v>
      </c>
      <c r="G139" t="s">
        <v>15</v>
      </c>
      <c r="H139" s="1">
        <v>182.03</v>
      </c>
      <c r="I139" t="s">
        <v>24</v>
      </c>
      <c r="J139">
        <v>1</v>
      </c>
      <c r="K139">
        <v>8</v>
      </c>
    </row>
    <row r="140" spans="1:11" x14ac:dyDescent="0.35">
      <c r="A140" t="s">
        <v>173</v>
      </c>
      <c r="B140">
        <v>19</v>
      </c>
      <c r="C140" t="s">
        <v>18</v>
      </c>
      <c r="D140" t="s">
        <v>13</v>
      </c>
      <c r="E140">
        <v>9</v>
      </c>
      <c r="F140" t="s">
        <v>26</v>
      </c>
      <c r="G140" t="s">
        <v>23</v>
      </c>
      <c r="H140" s="1">
        <v>488.74</v>
      </c>
      <c r="I140" t="s">
        <v>24</v>
      </c>
      <c r="J140">
        <v>1</v>
      </c>
      <c r="K140">
        <v>4</v>
      </c>
    </row>
    <row r="141" spans="1:11" x14ac:dyDescent="0.35">
      <c r="A141" t="s">
        <v>174</v>
      </c>
      <c r="B141">
        <v>72</v>
      </c>
      <c r="C141" t="s">
        <v>12</v>
      </c>
      <c r="D141" t="s">
        <v>47</v>
      </c>
      <c r="E141">
        <v>2</v>
      </c>
      <c r="F141" t="s">
        <v>33</v>
      </c>
      <c r="G141" t="s">
        <v>23</v>
      </c>
      <c r="H141" s="1">
        <v>586.96</v>
      </c>
      <c r="I141" t="s">
        <v>24</v>
      </c>
      <c r="J141">
        <v>2</v>
      </c>
      <c r="K141">
        <v>10</v>
      </c>
    </row>
    <row r="142" spans="1:11" x14ac:dyDescent="0.35">
      <c r="A142" t="s">
        <v>175</v>
      </c>
      <c r="B142">
        <v>59</v>
      </c>
      <c r="C142" t="s">
        <v>12</v>
      </c>
      <c r="D142" t="s">
        <v>13</v>
      </c>
      <c r="E142">
        <v>20</v>
      </c>
      <c r="F142" t="s">
        <v>31</v>
      </c>
      <c r="G142" t="s">
        <v>23</v>
      </c>
      <c r="H142" s="1">
        <v>316</v>
      </c>
      <c r="I142" t="s">
        <v>24</v>
      </c>
      <c r="J142">
        <v>4</v>
      </c>
      <c r="K142">
        <v>1</v>
      </c>
    </row>
    <row r="143" spans="1:11" x14ac:dyDescent="0.35">
      <c r="A143" t="s">
        <v>176</v>
      </c>
      <c r="B143">
        <v>55</v>
      </c>
      <c r="C143" t="s">
        <v>18</v>
      </c>
      <c r="D143" t="s">
        <v>19</v>
      </c>
      <c r="E143">
        <v>16</v>
      </c>
      <c r="F143" t="s">
        <v>22</v>
      </c>
      <c r="G143" t="s">
        <v>37</v>
      </c>
      <c r="H143" s="1">
        <v>92.86</v>
      </c>
      <c r="I143" t="s">
        <v>24</v>
      </c>
      <c r="J143">
        <v>2</v>
      </c>
      <c r="K143">
        <v>4</v>
      </c>
    </row>
    <row r="144" spans="1:11" x14ac:dyDescent="0.35">
      <c r="A144" t="s">
        <v>177</v>
      </c>
      <c r="B144">
        <v>75</v>
      </c>
      <c r="C144" t="s">
        <v>18</v>
      </c>
      <c r="D144" t="s">
        <v>19</v>
      </c>
      <c r="E144">
        <v>8</v>
      </c>
      <c r="F144" t="s">
        <v>26</v>
      </c>
      <c r="G144" t="s">
        <v>23</v>
      </c>
      <c r="H144" s="1">
        <v>233.97</v>
      </c>
      <c r="I144" t="s">
        <v>24</v>
      </c>
      <c r="J144">
        <v>2</v>
      </c>
      <c r="K144">
        <v>8</v>
      </c>
    </row>
    <row r="145" spans="1:11" x14ac:dyDescent="0.35">
      <c r="A145" t="s">
        <v>178</v>
      </c>
      <c r="B145">
        <v>41</v>
      </c>
      <c r="C145" t="s">
        <v>12</v>
      </c>
      <c r="D145" t="s">
        <v>13</v>
      </c>
      <c r="E145">
        <v>22</v>
      </c>
      <c r="F145" t="s">
        <v>22</v>
      </c>
      <c r="G145" t="s">
        <v>34</v>
      </c>
      <c r="H145" s="1">
        <v>154.96</v>
      </c>
      <c r="I145" t="s">
        <v>24</v>
      </c>
      <c r="J145">
        <v>2</v>
      </c>
      <c r="K145">
        <v>5</v>
      </c>
    </row>
    <row r="146" spans="1:11" x14ac:dyDescent="0.35">
      <c r="A146" t="s">
        <v>179</v>
      </c>
      <c r="B146">
        <v>85</v>
      </c>
      <c r="C146" t="s">
        <v>18</v>
      </c>
      <c r="D146" t="s">
        <v>21</v>
      </c>
      <c r="E146">
        <v>37</v>
      </c>
      <c r="F146" t="s">
        <v>14</v>
      </c>
      <c r="G146" t="s">
        <v>34</v>
      </c>
      <c r="H146" s="1">
        <v>0</v>
      </c>
      <c r="I146" t="s">
        <v>16</v>
      </c>
      <c r="J146">
        <v>0</v>
      </c>
      <c r="K146">
        <v>4</v>
      </c>
    </row>
    <row r="147" spans="1:11" x14ac:dyDescent="0.35">
      <c r="A147" t="s">
        <v>180</v>
      </c>
      <c r="B147">
        <v>35</v>
      </c>
      <c r="C147" t="s">
        <v>18</v>
      </c>
      <c r="D147" t="s">
        <v>120</v>
      </c>
      <c r="E147">
        <v>33</v>
      </c>
      <c r="F147" t="s">
        <v>22</v>
      </c>
      <c r="G147" t="s">
        <v>37</v>
      </c>
      <c r="H147" s="1">
        <v>151.34</v>
      </c>
      <c r="I147" t="s">
        <v>24</v>
      </c>
      <c r="J147">
        <v>2</v>
      </c>
      <c r="K147">
        <v>2</v>
      </c>
    </row>
    <row r="148" spans="1:11" x14ac:dyDescent="0.35">
      <c r="A148" t="s">
        <v>181</v>
      </c>
      <c r="B148">
        <v>67</v>
      </c>
      <c r="C148" t="s">
        <v>12</v>
      </c>
      <c r="D148" t="s">
        <v>21</v>
      </c>
      <c r="E148">
        <v>31</v>
      </c>
      <c r="F148" t="s">
        <v>14</v>
      </c>
      <c r="G148" t="s">
        <v>37</v>
      </c>
      <c r="H148" s="1">
        <v>0</v>
      </c>
      <c r="I148" t="s">
        <v>16</v>
      </c>
      <c r="J148">
        <v>0</v>
      </c>
      <c r="K148">
        <v>1</v>
      </c>
    </row>
    <row r="149" spans="1:11" x14ac:dyDescent="0.35">
      <c r="A149" t="s">
        <v>182</v>
      </c>
      <c r="B149">
        <v>50</v>
      </c>
      <c r="C149" t="s">
        <v>18</v>
      </c>
      <c r="D149" t="s">
        <v>30</v>
      </c>
      <c r="E149">
        <v>12</v>
      </c>
      <c r="F149" t="s">
        <v>31</v>
      </c>
      <c r="G149" t="s">
        <v>15</v>
      </c>
      <c r="H149" s="1">
        <v>360.7</v>
      </c>
      <c r="I149" t="s">
        <v>24</v>
      </c>
      <c r="J149">
        <v>0</v>
      </c>
      <c r="K149">
        <v>8</v>
      </c>
    </row>
    <row r="150" spans="1:11" x14ac:dyDescent="0.35">
      <c r="A150" t="s">
        <v>183</v>
      </c>
      <c r="B150">
        <v>19</v>
      </c>
      <c r="C150" t="s">
        <v>18</v>
      </c>
      <c r="D150" t="s">
        <v>47</v>
      </c>
      <c r="E150">
        <v>6</v>
      </c>
      <c r="F150" t="s">
        <v>31</v>
      </c>
      <c r="G150" t="s">
        <v>37</v>
      </c>
      <c r="H150" s="1">
        <v>169.69</v>
      </c>
      <c r="I150" t="s">
        <v>24</v>
      </c>
      <c r="J150">
        <v>0</v>
      </c>
      <c r="K150">
        <v>7</v>
      </c>
    </row>
    <row r="151" spans="1:11" x14ac:dyDescent="0.35">
      <c r="A151" t="s">
        <v>184</v>
      </c>
      <c r="B151">
        <v>54</v>
      </c>
      <c r="C151" t="s">
        <v>12</v>
      </c>
      <c r="D151" t="s">
        <v>30</v>
      </c>
      <c r="E151">
        <v>9</v>
      </c>
      <c r="F151" t="s">
        <v>31</v>
      </c>
      <c r="G151" t="s">
        <v>27</v>
      </c>
      <c r="H151" s="1">
        <v>173.21</v>
      </c>
      <c r="I151" t="s">
        <v>24</v>
      </c>
      <c r="J151">
        <v>1</v>
      </c>
      <c r="K151">
        <v>6</v>
      </c>
    </row>
    <row r="152" spans="1:11" x14ac:dyDescent="0.35">
      <c r="A152" t="s">
        <v>185</v>
      </c>
      <c r="B152">
        <v>41</v>
      </c>
      <c r="C152" t="s">
        <v>18</v>
      </c>
      <c r="D152" t="s">
        <v>120</v>
      </c>
      <c r="E152">
        <v>46</v>
      </c>
      <c r="F152" t="s">
        <v>22</v>
      </c>
      <c r="G152" t="s">
        <v>34</v>
      </c>
      <c r="H152" s="1">
        <v>148.9</v>
      </c>
      <c r="I152" t="s">
        <v>24</v>
      </c>
      <c r="J152">
        <v>2</v>
      </c>
      <c r="K152">
        <v>1</v>
      </c>
    </row>
    <row r="153" spans="1:11" x14ac:dyDescent="0.35">
      <c r="A153" t="s">
        <v>186</v>
      </c>
      <c r="B153">
        <v>74</v>
      </c>
      <c r="C153" t="s">
        <v>12</v>
      </c>
      <c r="D153" t="s">
        <v>19</v>
      </c>
      <c r="E153">
        <v>11</v>
      </c>
      <c r="F153" t="s">
        <v>33</v>
      </c>
      <c r="G153" t="s">
        <v>34</v>
      </c>
      <c r="H153" s="1">
        <v>128.24</v>
      </c>
      <c r="I153" t="s">
        <v>24</v>
      </c>
      <c r="J153">
        <v>0</v>
      </c>
      <c r="K153">
        <v>7</v>
      </c>
    </row>
    <row r="154" spans="1:11" x14ac:dyDescent="0.35">
      <c r="A154" t="s">
        <v>187</v>
      </c>
      <c r="B154">
        <v>79</v>
      </c>
      <c r="C154" t="s">
        <v>18</v>
      </c>
      <c r="D154" t="s">
        <v>30</v>
      </c>
      <c r="E154">
        <v>9</v>
      </c>
      <c r="F154" t="s">
        <v>33</v>
      </c>
      <c r="G154" t="s">
        <v>27</v>
      </c>
      <c r="H154" s="1">
        <v>67.39</v>
      </c>
      <c r="I154" t="s">
        <v>24</v>
      </c>
      <c r="J154">
        <v>0</v>
      </c>
      <c r="K154">
        <v>6</v>
      </c>
    </row>
    <row r="155" spans="1:11" x14ac:dyDescent="0.35">
      <c r="A155" t="s">
        <v>188</v>
      </c>
      <c r="B155">
        <v>47</v>
      </c>
      <c r="C155" t="s">
        <v>189</v>
      </c>
      <c r="D155" t="s">
        <v>19</v>
      </c>
      <c r="E155">
        <v>21</v>
      </c>
      <c r="F155" t="s">
        <v>22</v>
      </c>
      <c r="G155" t="s">
        <v>37</v>
      </c>
      <c r="H155" s="1">
        <v>155.08000000000001</v>
      </c>
      <c r="I155" t="s">
        <v>28</v>
      </c>
      <c r="J155">
        <v>3</v>
      </c>
      <c r="K155">
        <v>4</v>
      </c>
    </row>
    <row r="156" spans="1:11" x14ac:dyDescent="0.35">
      <c r="A156" t="s">
        <v>190</v>
      </c>
      <c r="B156">
        <v>74</v>
      </c>
      <c r="C156" t="s">
        <v>18</v>
      </c>
      <c r="D156" t="s">
        <v>30</v>
      </c>
      <c r="E156">
        <v>5</v>
      </c>
      <c r="F156" t="s">
        <v>31</v>
      </c>
      <c r="G156" t="s">
        <v>27</v>
      </c>
      <c r="H156" s="1">
        <v>106.95</v>
      </c>
      <c r="I156" t="s">
        <v>24</v>
      </c>
      <c r="J156">
        <v>0</v>
      </c>
      <c r="K156">
        <v>8</v>
      </c>
    </row>
    <row r="157" spans="1:11" x14ac:dyDescent="0.35">
      <c r="A157" t="s">
        <v>191</v>
      </c>
      <c r="B157">
        <v>57</v>
      </c>
      <c r="C157" t="s">
        <v>12</v>
      </c>
      <c r="D157" t="s">
        <v>19</v>
      </c>
      <c r="E157">
        <v>6</v>
      </c>
      <c r="F157" t="s">
        <v>33</v>
      </c>
      <c r="G157" t="s">
        <v>23</v>
      </c>
      <c r="H157" s="1">
        <v>168.85</v>
      </c>
      <c r="I157" t="s">
        <v>24</v>
      </c>
      <c r="J157">
        <v>2</v>
      </c>
      <c r="K157">
        <v>9</v>
      </c>
    </row>
    <row r="158" spans="1:11" x14ac:dyDescent="0.35">
      <c r="A158" t="s">
        <v>192</v>
      </c>
      <c r="B158">
        <v>57</v>
      </c>
      <c r="C158" t="s">
        <v>18</v>
      </c>
      <c r="D158" t="s">
        <v>30</v>
      </c>
      <c r="E158">
        <v>13</v>
      </c>
      <c r="F158" t="s">
        <v>22</v>
      </c>
      <c r="G158" t="s">
        <v>27</v>
      </c>
      <c r="H158" s="1">
        <v>115.07</v>
      </c>
      <c r="I158" t="s">
        <v>24</v>
      </c>
      <c r="J158">
        <v>1</v>
      </c>
      <c r="K158">
        <v>8</v>
      </c>
    </row>
    <row r="159" spans="1:11" x14ac:dyDescent="0.35">
      <c r="A159" t="s">
        <v>193</v>
      </c>
      <c r="B159">
        <v>44</v>
      </c>
      <c r="C159" t="s">
        <v>18</v>
      </c>
      <c r="D159" t="s">
        <v>21</v>
      </c>
      <c r="E159">
        <v>15</v>
      </c>
      <c r="F159" t="s">
        <v>31</v>
      </c>
      <c r="G159" t="s">
        <v>37</v>
      </c>
      <c r="H159" s="1">
        <v>134.84</v>
      </c>
      <c r="I159" t="s">
        <v>24</v>
      </c>
      <c r="J159">
        <v>3</v>
      </c>
      <c r="K159">
        <v>7</v>
      </c>
    </row>
    <row r="160" spans="1:11" x14ac:dyDescent="0.35">
      <c r="A160" t="s">
        <v>194</v>
      </c>
      <c r="B160">
        <v>40</v>
      </c>
      <c r="C160" t="s">
        <v>18</v>
      </c>
      <c r="D160" t="s">
        <v>57</v>
      </c>
      <c r="E160">
        <v>22</v>
      </c>
      <c r="F160" t="s">
        <v>31</v>
      </c>
      <c r="G160" t="s">
        <v>37</v>
      </c>
      <c r="H160" s="1">
        <v>105.68</v>
      </c>
      <c r="I160" t="s">
        <v>24</v>
      </c>
      <c r="J160">
        <v>3</v>
      </c>
      <c r="K160">
        <v>5</v>
      </c>
    </row>
    <row r="161" spans="1:11" x14ac:dyDescent="0.35">
      <c r="A161" t="s">
        <v>195</v>
      </c>
      <c r="B161">
        <v>79</v>
      </c>
      <c r="C161" t="s">
        <v>18</v>
      </c>
      <c r="D161" t="s">
        <v>19</v>
      </c>
      <c r="E161">
        <v>19</v>
      </c>
      <c r="F161" t="s">
        <v>22</v>
      </c>
      <c r="G161" t="s">
        <v>27</v>
      </c>
      <c r="H161" s="1">
        <v>168.91</v>
      </c>
      <c r="I161" t="s">
        <v>28</v>
      </c>
      <c r="J161">
        <v>1</v>
      </c>
      <c r="K161">
        <v>3</v>
      </c>
    </row>
    <row r="162" spans="1:11" x14ac:dyDescent="0.35">
      <c r="A162" t="s">
        <v>196</v>
      </c>
      <c r="B162">
        <v>41</v>
      </c>
      <c r="C162" t="s">
        <v>12</v>
      </c>
      <c r="D162" t="s">
        <v>19</v>
      </c>
      <c r="E162">
        <v>23</v>
      </c>
      <c r="F162" t="s">
        <v>14</v>
      </c>
      <c r="G162" t="s">
        <v>23</v>
      </c>
      <c r="H162" s="1">
        <v>0</v>
      </c>
      <c r="I162" t="s">
        <v>16</v>
      </c>
      <c r="J162">
        <v>4</v>
      </c>
      <c r="K162">
        <v>1</v>
      </c>
    </row>
    <row r="163" spans="1:11" x14ac:dyDescent="0.35">
      <c r="A163" t="s">
        <v>197</v>
      </c>
      <c r="B163">
        <v>50</v>
      </c>
      <c r="C163" t="s">
        <v>12</v>
      </c>
      <c r="D163" t="s">
        <v>21</v>
      </c>
      <c r="E163">
        <v>17</v>
      </c>
      <c r="F163" t="s">
        <v>14</v>
      </c>
      <c r="G163" t="s">
        <v>23</v>
      </c>
      <c r="H163" s="1">
        <v>0</v>
      </c>
      <c r="I163" t="s">
        <v>16</v>
      </c>
      <c r="J163">
        <v>2</v>
      </c>
      <c r="K163">
        <v>6</v>
      </c>
    </row>
    <row r="164" spans="1:11" x14ac:dyDescent="0.35">
      <c r="A164" t="s">
        <v>198</v>
      </c>
      <c r="B164">
        <v>19</v>
      </c>
      <c r="C164" t="s">
        <v>18</v>
      </c>
      <c r="D164" t="s">
        <v>19</v>
      </c>
      <c r="E164">
        <v>11</v>
      </c>
      <c r="F164" t="s">
        <v>22</v>
      </c>
      <c r="G164" t="s">
        <v>34</v>
      </c>
      <c r="H164" s="1">
        <v>112.24</v>
      </c>
      <c r="I164" t="s">
        <v>24</v>
      </c>
      <c r="J164">
        <v>1</v>
      </c>
      <c r="K164">
        <v>4</v>
      </c>
    </row>
    <row r="165" spans="1:11" x14ac:dyDescent="0.35">
      <c r="A165" t="s">
        <v>199</v>
      </c>
      <c r="B165">
        <v>67</v>
      </c>
      <c r="C165" t="s">
        <v>12</v>
      </c>
      <c r="D165" t="s">
        <v>200</v>
      </c>
      <c r="E165">
        <v>6</v>
      </c>
      <c r="F165" t="s">
        <v>33</v>
      </c>
      <c r="G165" t="s">
        <v>23</v>
      </c>
      <c r="H165" s="1">
        <v>203.08</v>
      </c>
      <c r="I165" t="s">
        <v>24</v>
      </c>
      <c r="J165">
        <v>0</v>
      </c>
      <c r="K165">
        <v>7</v>
      </c>
    </row>
    <row r="166" spans="1:11" x14ac:dyDescent="0.35">
      <c r="A166" t="s">
        <v>201</v>
      </c>
      <c r="B166">
        <v>48</v>
      </c>
      <c r="C166" t="s">
        <v>12</v>
      </c>
      <c r="D166" t="s">
        <v>21</v>
      </c>
      <c r="E166">
        <v>42</v>
      </c>
      <c r="F166" t="s">
        <v>33</v>
      </c>
      <c r="G166" t="s">
        <v>23</v>
      </c>
      <c r="H166" s="1">
        <v>552.41999999999996</v>
      </c>
      <c r="I166" t="s">
        <v>24</v>
      </c>
      <c r="J166">
        <v>1</v>
      </c>
      <c r="K166">
        <v>2</v>
      </c>
    </row>
    <row r="167" spans="1:11" x14ac:dyDescent="0.35">
      <c r="A167" t="s">
        <v>202</v>
      </c>
      <c r="B167">
        <v>68</v>
      </c>
      <c r="C167" t="s">
        <v>18</v>
      </c>
      <c r="D167" t="s">
        <v>13</v>
      </c>
      <c r="E167">
        <v>24</v>
      </c>
      <c r="F167" t="s">
        <v>22</v>
      </c>
      <c r="G167" t="s">
        <v>23</v>
      </c>
      <c r="H167" s="1">
        <v>414.8</v>
      </c>
      <c r="I167" t="s">
        <v>43</v>
      </c>
      <c r="J167">
        <v>2</v>
      </c>
      <c r="K167">
        <v>5</v>
      </c>
    </row>
    <row r="168" spans="1:11" x14ac:dyDescent="0.35">
      <c r="A168" t="s">
        <v>203</v>
      </c>
      <c r="B168">
        <v>60</v>
      </c>
      <c r="C168" t="s">
        <v>18</v>
      </c>
      <c r="D168" t="s">
        <v>30</v>
      </c>
      <c r="E168">
        <v>10</v>
      </c>
      <c r="F168" t="s">
        <v>33</v>
      </c>
      <c r="G168" t="s">
        <v>15</v>
      </c>
      <c r="H168" s="1">
        <v>414.13</v>
      </c>
      <c r="I168" t="s">
        <v>24</v>
      </c>
      <c r="J168">
        <v>1</v>
      </c>
      <c r="K168">
        <v>8</v>
      </c>
    </row>
    <row r="169" spans="1:11" x14ac:dyDescent="0.35">
      <c r="A169" t="s">
        <v>204</v>
      </c>
      <c r="B169">
        <v>79</v>
      </c>
      <c r="C169" t="s">
        <v>18</v>
      </c>
      <c r="D169" t="s">
        <v>19</v>
      </c>
      <c r="E169">
        <v>12</v>
      </c>
      <c r="F169" t="s">
        <v>14</v>
      </c>
      <c r="G169" t="s">
        <v>23</v>
      </c>
      <c r="H169" s="1">
        <v>0</v>
      </c>
      <c r="I169" t="s">
        <v>16</v>
      </c>
      <c r="J169">
        <v>1</v>
      </c>
      <c r="K169">
        <v>6</v>
      </c>
    </row>
    <row r="170" spans="1:11" x14ac:dyDescent="0.35">
      <c r="A170" t="s">
        <v>205</v>
      </c>
      <c r="B170">
        <v>69</v>
      </c>
      <c r="C170" t="s">
        <v>12</v>
      </c>
      <c r="D170" t="s">
        <v>19</v>
      </c>
      <c r="E170">
        <v>15</v>
      </c>
      <c r="F170" t="s">
        <v>22</v>
      </c>
      <c r="G170" t="s">
        <v>15</v>
      </c>
      <c r="H170" s="1">
        <v>192.75</v>
      </c>
      <c r="I170" t="s">
        <v>24</v>
      </c>
      <c r="J170">
        <v>0</v>
      </c>
      <c r="K170">
        <v>6</v>
      </c>
    </row>
    <row r="171" spans="1:11" x14ac:dyDescent="0.35">
      <c r="A171" t="s">
        <v>206</v>
      </c>
      <c r="B171">
        <v>39</v>
      </c>
      <c r="C171" t="s">
        <v>18</v>
      </c>
      <c r="D171" t="s">
        <v>47</v>
      </c>
      <c r="E171">
        <v>12</v>
      </c>
      <c r="F171" t="s">
        <v>14</v>
      </c>
      <c r="G171" t="s">
        <v>34</v>
      </c>
      <c r="H171" s="1">
        <v>0</v>
      </c>
      <c r="I171" t="s">
        <v>16</v>
      </c>
      <c r="J171">
        <v>2</v>
      </c>
      <c r="K171">
        <v>4</v>
      </c>
    </row>
    <row r="172" spans="1:11" x14ac:dyDescent="0.35">
      <c r="A172" t="s">
        <v>207</v>
      </c>
      <c r="B172">
        <v>77</v>
      </c>
      <c r="C172" t="s">
        <v>18</v>
      </c>
      <c r="D172" t="s">
        <v>13</v>
      </c>
      <c r="E172">
        <v>20</v>
      </c>
      <c r="F172" t="s">
        <v>31</v>
      </c>
      <c r="G172" t="s">
        <v>27</v>
      </c>
      <c r="H172" s="1">
        <v>31.76</v>
      </c>
      <c r="I172" t="s">
        <v>24</v>
      </c>
      <c r="J172">
        <v>3</v>
      </c>
      <c r="K172">
        <v>5</v>
      </c>
    </row>
    <row r="173" spans="1:11" x14ac:dyDescent="0.35">
      <c r="A173" t="s">
        <v>208</v>
      </c>
      <c r="B173">
        <v>41</v>
      </c>
      <c r="C173" t="s">
        <v>12</v>
      </c>
      <c r="D173" t="s">
        <v>41</v>
      </c>
      <c r="E173">
        <v>13</v>
      </c>
      <c r="F173" t="s">
        <v>31</v>
      </c>
      <c r="G173" t="s">
        <v>23</v>
      </c>
      <c r="H173" s="1">
        <v>394.34</v>
      </c>
      <c r="I173" t="s">
        <v>24</v>
      </c>
      <c r="J173">
        <v>2</v>
      </c>
      <c r="K173">
        <v>4</v>
      </c>
    </row>
    <row r="174" spans="1:11" x14ac:dyDescent="0.35">
      <c r="A174" t="s">
        <v>209</v>
      </c>
      <c r="B174">
        <v>63</v>
      </c>
      <c r="C174" t="s">
        <v>18</v>
      </c>
      <c r="D174" t="s">
        <v>47</v>
      </c>
      <c r="E174">
        <v>5</v>
      </c>
      <c r="F174" t="s">
        <v>31</v>
      </c>
      <c r="G174" t="s">
        <v>37</v>
      </c>
      <c r="H174" s="1">
        <v>210.35</v>
      </c>
      <c r="I174" t="s">
        <v>24</v>
      </c>
      <c r="J174">
        <v>0</v>
      </c>
      <c r="K174">
        <v>10</v>
      </c>
    </row>
    <row r="175" spans="1:11" x14ac:dyDescent="0.35">
      <c r="A175" t="s">
        <v>210</v>
      </c>
      <c r="B175">
        <v>77</v>
      </c>
      <c r="C175" t="s">
        <v>12</v>
      </c>
      <c r="D175" t="s">
        <v>19</v>
      </c>
      <c r="E175">
        <v>14</v>
      </c>
      <c r="F175" t="s">
        <v>33</v>
      </c>
      <c r="G175" t="s">
        <v>15</v>
      </c>
      <c r="H175" s="1">
        <v>277.41000000000003</v>
      </c>
      <c r="I175" t="s">
        <v>24</v>
      </c>
      <c r="J175">
        <v>2</v>
      </c>
      <c r="K175">
        <v>7</v>
      </c>
    </row>
    <row r="176" spans="1:11" x14ac:dyDescent="0.35">
      <c r="A176" t="s">
        <v>211</v>
      </c>
      <c r="B176">
        <v>30</v>
      </c>
      <c r="C176" t="s">
        <v>12</v>
      </c>
      <c r="D176" t="s">
        <v>21</v>
      </c>
      <c r="E176">
        <v>28</v>
      </c>
      <c r="F176" t="s">
        <v>26</v>
      </c>
      <c r="G176" t="s">
        <v>23</v>
      </c>
      <c r="H176" s="1">
        <v>435.9</v>
      </c>
      <c r="I176" t="s">
        <v>28</v>
      </c>
      <c r="J176">
        <v>1</v>
      </c>
      <c r="K176">
        <v>3</v>
      </c>
    </row>
    <row r="177" spans="1:11" x14ac:dyDescent="0.35">
      <c r="A177" t="s">
        <v>212</v>
      </c>
      <c r="B177">
        <v>43</v>
      </c>
      <c r="C177" t="s">
        <v>18</v>
      </c>
      <c r="D177" t="s">
        <v>19</v>
      </c>
      <c r="E177">
        <v>15</v>
      </c>
      <c r="F177" t="s">
        <v>22</v>
      </c>
      <c r="G177" t="s">
        <v>15</v>
      </c>
      <c r="H177" s="1">
        <v>406.25</v>
      </c>
      <c r="I177" t="s">
        <v>24</v>
      </c>
      <c r="J177">
        <v>0</v>
      </c>
      <c r="K177">
        <v>6</v>
      </c>
    </row>
    <row r="178" spans="1:11" x14ac:dyDescent="0.35">
      <c r="A178" t="s">
        <v>213</v>
      </c>
      <c r="B178">
        <v>44</v>
      </c>
      <c r="C178" t="s">
        <v>18</v>
      </c>
      <c r="D178" t="s">
        <v>21</v>
      </c>
      <c r="E178">
        <v>23</v>
      </c>
      <c r="F178" t="s">
        <v>26</v>
      </c>
      <c r="G178" t="s">
        <v>37</v>
      </c>
      <c r="H178" s="1">
        <v>199.24</v>
      </c>
      <c r="I178" t="s">
        <v>24</v>
      </c>
      <c r="J178">
        <v>2</v>
      </c>
      <c r="K178">
        <v>2</v>
      </c>
    </row>
    <row r="179" spans="1:11" x14ac:dyDescent="0.35">
      <c r="A179" t="s">
        <v>214</v>
      </c>
      <c r="B179">
        <v>32</v>
      </c>
      <c r="C179" t="s">
        <v>12</v>
      </c>
      <c r="D179" t="s">
        <v>19</v>
      </c>
      <c r="E179">
        <v>19</v>
      </c>
      <c r="F179" t="s">
        <v>33</v>
      </c>
      <c r="G179" t="s">
        <v>34</v>
      </c>
      <c r="H179" s="1">
        <v>100.25</v>
      </c>
      <c r="I179" t="s">
        <v>24</v>
      </c>
      <c r="J179">
        <v>3</v>
      </c>
      <c r="K179">
        <v>4</v>
      </c>
    </row>
    <row r="180" spans="1:11" x14ac:dyDescent="0.35">
      <c r="A180" t="s">
        <v>215</v>
      </c>
      <c r="B180">
        <v>43</v>
      </c>
      <c r="C180" t="s">
        <v>12</v>
      </c>
      <c r="D180" t="s">
        <v>19</v>
      </c>
      <c r="E180">
        <v>8</v>
      </c>
      <c r="F180" t="s">
        <v>14</v>
      </c>
      <c r="G180" t="s">
        <v>15</v>
      </c>
      <c r="H180" s="1">
        <v>0</v>
      </c>
      <c r="I180" t="s">
        <v>16</v>
      </c>
      <c r="J180">
        <v>1</v>
      </c>
      <c r="K180">
        <v>8</v>
      </c>
    </row>
    <row r="181" spans="1:11" x14ac:dyDescent="0.35">
      <c r="A181" t="s">
        <v>216</v>
      </c>
      <c r="B181">
        <v>37</v>
      </c>
      <c r="C181" t="s">
        <v>12</v>
      </c>
      <c r="D181" t="s">
        <v>19</v>
      </c>
      <c r="E181">
        <v>8</v>
      </c>
      <c r="F181" t="s">
        <v>22</v>
      </c>
      <c r="G181" t="s">
        <v>37</v>
      </c>
      <c r="H181" s="1">
        <v>211.66</v>
      </c>
      <c r="I181" t="s">
        <v>24</v>
      </c>
      <c r="J181">
        <v>2</v>
      </c>
      <c r="K181">
        <v>7</v>
      </c>
    </row>
    <row r="182" spans="1:11" x14ac:dyDescent="0.35">
      <c r="A182" t="s">
        <v>217</v>
      </c>
      <c r="B182">
        <v>52</v>
      </c>
      <c r="C182" t="s">
        <v>12</v>
      </c>
      <c r="D182" t="s">
        <v>30</v>
      </c>
      <c r="E182">
        <v>6</v>
      </c>
      <c r="F182" t="s">
        <v>14</v>
      </c>
      <c r="G182" t="s">
        <v>37</v>
      </c>
      <c r="H182" s="1">
        <v>0</v>
      </c>
      <c r="I182" t="s">
        <v>16</v>
      </c>
      <c r="J182">
        <v>1</v>
      </c>
      <c r="K182">
        <v>9</v>
      </c>
    </row>
    <row r="183" spans="1:11" x14ac:dyDescent="0.35">
      <c r="A183" t="s">
        <v>218</v>
      </c>
      <c r="B183">
        <v>52</v>
      </c>
      <c r="C183" t="s">
        <v>18</v>
      </c>
      <c r="D183" t="s">
        <v>21</v>
      </c>
      <c r="E183">
        <v>28</v>
      </c>
      <c r="F183" t="s">
        <v>33</v>
      </c>
      <c r="G183" t="s">
        <v>23</v>
      </c>
      <c r="H183" s="1">
        <v>455.6</v>
      </c>
      <c r="I183" t="s">
        <v>43</v>
      </c>
      <c r="J183">
        <v>2</v>
      </c>
      <c r="K183">
        <v>3</v>
      </c>
    </row>
    <row r="184" spans="1:11" x14ac:dyDescent="0.35">
      <c r="A184" t="s">
        <v>219</v>
      </c>
      <c r="B184">
        <v>61</v>
      </c>
      <c r="C184" t="s">
        <v>12</v>
      </c>
      <c r="D184" t="s">
        <v>13</v>
      </c>
      <c r="E184">
        <v>22</v>
      </c>
      <c r="F184" t="s">
        <v>31</v>
      </c>
      <c r="G184" t="s">
        <v>37</v>
      </c>
      <c r="H184" s="1">
        <v>215.78</v>
      </c>
      <c r="I184" t="s">
        <v>28</v>
      </c>
      <c r="J184">
        <v>4</v>
      </c>
      <c r="K184">
        <v>5</v>
      </c>
    </row>
    <row r="185" spans="1:11" x14ac:dyDescent="0.35">
      <c r="A185" t="s">
        <v>220</v>
      </c>
      <c r="B185">
        <v>25</v>
      </c>
      <c r="C185" t="s">
        <v>18</v>
      </c>
      <c r="D185" t="s">
        <v>19</v>
      </c>
      <c r="E185">
        <v>10</v>
      </c>
      <c r="F185" t="s">
        <v>33</v>
      </c>
      <c r="G185" t="s">
        <v>37</v>
      </c>
      <c r="H185" s="1">
        <v>162.85</v>
      </c>
      <c r="I185" t="s">
        <v>24</v>
      </c>
      <c r="J185">
        <v>2</v>
      </c>
      <c r="K185">
        <v>4</v>
      </c>
    </row>
    <row r="186" spans="1:11" x14ac:dyDescent="0.35">
      <c r="A186" t="s">
        <v>221</v>
      </c>
      <c r="B186">
        <v>31</v>
      </c>
      <c r="C186" t="s">
        <v>18</v>
      </c>
      <c r="D186" t="s">
        <v>19</v>
      </c>
      <c r="E186">
        <v>22</v>
      </c>
      <c r="F186" t="s">
        <v>26</v>
      </c>
      <c r="G186" t="s">
        <v>34</v>
      </c>
      <c r="H186" s="1">
        <v>146.04</v>
      </c>
      <c r="I186" t="s">
        <v>24</v>
      </c>
      <c r="J186">
        <v>1</v>
      </c>
      <c r="K186">
        <v>2</v>
      </c>
    </row>
    <row r="187" spans="1:11" x14ac:dyDescent="0.35">
      <c r="A187" t="s">
        <v>222</v>
      </c>
      <c r="B187">
        <v>54</v>
      </c>
      <c r="C187" t="s">
        <v>12</v>
      </c>
      <c r="D187" t="s">
        <v>21</v>
      </c>
      <c r="E187">
        <v>35</v>
      </c>
      <c r="F187" t="s">
        <v>22</v>
      </c>
      <c r="G187" t="s">
        <v>37</v>
      </c>
      <c r="H187" s="1">
        <v>175.9</v>
      </c>
      <c r="I187" t="s">
        <v>24</v>
      </c>
      <c r="J187">
        <v>2</v>
      </c>
      <c r="K187">
        <v>3</v>
      </c>
    </row>
    <row r="188" spans="1:11" x14ac:dyDescent="0.35">
      <c r="A188" t="s">
        <v>223</v>
      </c>
      <c r="B188">
        <v>32</v>
      </c>
      <c r="C188" t="s">
        <v>18</v>
      </c>
      <c r="D188" t="s">
        <v>21</v>
      </c>
      <c r="E188">
        <v>37</v>
      </c>
      <c r="F188" t="s">
        <v>31</v>
      </c>
      <c r="G188" t="s">
        <v>34</v>
      </c>
      <c r="H188" s="1">
        <v>116.99</v>
      </c>
      <c r="I188" t="s">
        <v>24</v>
      </c>
      <c r="J188">
        <v>1</v>
      </c>
      <c r="K188">
        <v>3</v>
      </c>
    </row>
    <row r="189" spans="1:11" x14ac:dyDescent="0.35">
      <c r="A189" t="s">
        <v>224</v>
      </c>
      <c r="B189">
        <v>56</v>
      </c>
      <c r="C189" t="s">
        <v>12</v>
      </c>
      <c r="D189" t="s">
        <v>21</v>
      </c>
      <c r="E189">
        <v>38</v>
      </c>
      <c r="F189" t="s">
        <v>22</v>
      </c>
      <c r="G189" t="s">
        <v>23</v>
      </c>
      <c r="H189" s="1">
        <v>558.52</v>
      </c>
      <c r="I189" t="s">
        <v>43</v>
      </c>
      <c r="J189">
        <v>0</v>
      </c>
      <c r="K189">
        <v>1</v>
      </c>
    </row>
    <row r="190" spans="1:11" x14ac:dyDescent="0.35">
      <c r="A190" t="s">
        <v>225</v>
      </c>
      <c r="B190">
        <v>44</v>
      </c>
      <c r="C190" t="s">
        <v>18</v>
      </c>
      <c r="D190" t="s">
        <v>13</v>
      </c>
      <c r="E190">
        <v>14</v>
      </c>
      <c r="F190" t="s">
        <v>22</v>
      </c>
      <c r="G190" t="s">
        <v>37</v>
      </c>
      <c r="H190" s="1">
        <v>202.73</v>
      </c>
      <c r="I190" t="s">
        <v>43</v>
      </c>
      <c r="J190">
        <v>2</v>
      </c>
      <c r="K190">
        <v>8</v>
      </c>
    </row>
    <row r="191" spans="1:11" x14ac:dyDescent="0.35">
      <c r="A191" t="s">
        <v>226</v>
      </c>
      <c r="B191">
        <v>73</v>
      </c>
      <c r="C191" t="s">
        <v>18</v>
      </c>
      <c r="D191" t="s">
        <v>19</v>
      </c>
      <c r="E191">
        <v>21</v>
      </c>
      <c r="F191" t="s">
        <v>22</v>
      </c>
      <c r="G191" t="s">
        <v>27</v>
      </c>
      <c r="H191" s="1">
        <v>99.2</v>
      </c>
      <c r="I191" t="s">
        <v>24</v>
      </c>
      <c r="J191">
        <v>1</v>
      </c>
      <c r="K191">
        <v>1</v>
      </c>
    </row>
    <row r="192" spans="1:11" x14ac:dyDescent="0.35">
      <c r="A192" t="s">
        <v>227</v>
      </c>
      <c r="B192">
        <v>23</v>
      </c>
      <c r="C192" t="s">
        <v>18</v>
      </c>
      <c r="D192" t="s">
        <v>21</v>
      </c>
      <c r="E192">
        <v>33</v>
      </c>
      <c r="F192" t="s">
        <v>22</v>
      </c>
      <c r="G192" t="s">
        <v>27</v>
      </c>
      <c r="H192" s="1">
        <v>111.91</v>
      </c>
      <c r="I192" t="s">
        <v>28</v>
      </c>
      <c r="J192">
        <v>1</v>
      </c>
      <c r="K192">
        <v>4</v>
      </c>
    </row>
    <row r="193" spans="1:11" x14ac:dyDescent="0.35">
      <c r="A193" t="s">
        <v>228</v>
      </c>
      <c r="B193">
        <v>37</v>
      </c>
      <c r="C193" t="s">
        <v>18</v>
      </c>
      <c r="D193" t="s">
        <v>30</v>
      </c>
      <c r="E193">
        <v>9</v>
      </c>
      <c r="F193" t="s">
        <v>31</v>
      </c>
      <c r="G193" t="s">
        <v>27</v>
      </c>
      <c r="H193" s="1">
        <v>169.03</v>
      </c>
      <c r="I193" t="s">
        <v>24</v>
      </c>
      <c r="J193">
        <v>0</v>
      </c>
      <c r="K193">
        <v>7</v>
      </c>
    </row>
    <row r="194" spans="1:11" x14ac:dyDescent="0.35">
      <c r="A194" t="s">
        <v>229</v>
      </c>
      <c r="B194">
        <v>61</v>
      </c>
      <c r="C194" t="s">
        <v>12</v>
      </c>
      <c r="D194" t="s">
        <v>21</v>
      </c>
      <c r="E194">
        <v>32</v>
      </c>
      <c r="F194" t="s">
        <v>31</v>
      </c>
      <c r="G194" t="s">
        <v>34</v>
      </c>
      <c r="H194" s="1">
        <v>118.37</v>
      </c>
      <c r="I194" t="s">
        <v>24</v>
      </c>
      <c r="J194">
        <v>2</v>
      </c>
      <c r="K194">
        <v>1</v>
      </c>
    </row>
    <row r="195" spans="1:11" x14ac:dyDescent="0.35">
      <c r="A195" t="s">
        <v>230</v>
      </c>
      <c r="B195">
        <v>77</v>
      </c>
      <c r="C195" t="s">
        <v>18</v>
      </c>
      <c r="D195" t="s">
        <v>19</v>
      </c>
      <c r="E195">
        <v>22</v>
      </c>
      <c r="F195" t="s">
        <v>33</v>
      </c>
      <c r="G195" t="s">
        <v>27</v>
      </c>
      <c r="H195" s="1">
        <v>43.37</v>
      </c>
      <c r="I195" t="s">
        <v>24</v>
      </c>
      <c r="J195">
        <v>1</v>
      </c>
      <c r="K195">
        <v>5</v>
      </c>
    </row>
    <row r="196" spans="1:11" x14ac:dyDescent="0.35">
      <c r="A196" t="s">
        <v>231</v>
      </c>
      <c r="B196">
        <v>53</v>
      </c>
      <c r="C196" t="s">
        <v>18</v>
      </c>
      <c r="D196" t="s">
        <v>21</v>
      </c>
      <c r="E196">
        <v>35</v>
      </c>
      <c r="F196" t="s">
        <v>26</v>
      </c>
      <c r="G196" t="s">
        <v>37</v>
      </c>
      <c r="H196" s="1">
        <v>189</v>
      </c>
      <c r="I196" t="s">
        <v>24</v>
      </c>
      <c r="J196">
        <v>3</v>
      </c>
      <c r="K196">
        <v>4</v>
      </c>
    </row>
    <row r="197" spans="1:11" x14ac:dyDescent="0.35">
      <c r="A197" t="s">
        <v>232</v>
      </c>
      <c r="B197">
        <v>83</v>
      </c>
      <c r="C197" t="s">
        <v>18</v>
      </c>
      <c r="D197" t="s">
        <v>13</v>
      </c>
      <c r="E197">
        <v>9</v>
      </c>
      <c r="F197" t="s">
        <v>31</v>
      </c>
      <c r="G197" t="s">
        <v>34</v>
      </c>
      <c r="H197" s="1">
        <v>206.58</v>
      </c>
      <c r="I197" t="s">
        <v>28</v>
      </c>
      <c r="J197">
        <v>0</v>
      </c>
      <c r="K197">
        <v>4</v>
      </c>
    </row>
    <row r="198" spans="1:11" x14ac:dyDescent="0.35">
      <c r="A198" t="s">
        <v>233</v>
      </c>
      <c r="B198">
        <v>76</v>
      </c>
      <c r="C198" t="s">
        <v>12</v>
      </c>
      <c r="D198" t="s">
        <v>30</v>
      </c>
      <c r="E198">
        <v>2</v>
      </c>
      <c r="F198" t="s">
        <v>33</v>
      </c>
      <c r="G198" t="s">
        <v>15</v>
      </c>
      <c r="H198" s="1">
        <v>355.78</v>
      </c>
      <c r="I198" t="s">
        <v>24</v>
      </c>
      <c r="J198">
        <v>1</v>
      </c>
      <c r="K198">
        <v>9</v>
      </c>
    </row>
    <row r="199" spans="1:11" x14ac:dyDescent="0.35">
      <c r="A199" t="s">
        <v>234</v>
      </c>
      <c r="B199">
        <v>45</v>
      </c>
      <c r="C199" t="s">
        <v>12</v>
      </c>
      <c r="D199" t="s">
        <v>21</v>
      </c>
      <c r="E199">
        <v>19</v>
      </c>
      <c r="F199" t="s">
        <v>31</v>
      </c>
      <c r="G199" t="s">
        <v>34</v>
      </c>
      <c r="H199" s="1">
        <v>129.07</v>
      </c>
      <c r="I199" t="s">
        <v>28</v>
      </c>
      <c r="J199">
        <v>1</v>
      </c>
      <c r="K199">
        <v>5</v>
      </c>
    </row>
    <row r="200" spans="1:11" x14ac:dyDescent="0.35">
      <c r="A200" t="s">
        <v>235</v>
      </c>
      <c r="B200">
        <v>28</v>
      </c>
      <c r="C200" t="s">
        <v>12</v>
      </c>
      <c r="D200" t="s">
        <v>13</v>
      </c>
      <c r="E200">
        <v>16</v>
      </c>
      <c r="F200" t="s">
        <v>31</v>
      </c>
      <c r="G200" t="s">
        <v>37</v>
      </c>
      <c r="H200" s="1">
        <v>145.09</v>
      </c>
      <c r="I200" t="s">
        <v>24</v>
      </c>
      <c r="J200">
        <v>0</v>
      </c>
      <c r="K200">
        <v>5</v>
      </c>
    </row>
    <row r="201" spans="1:11" x14ac:dyDescent="0.35">
      <c r="A201" t="s">
        <v>236</v>
      </c>
      <c r="B201">
        <v>38</v>
      </c>
      <c r="C201" t="s">
        <v>12</v>
      </c>
      <c r="D201" t="s">
        <v>19</v>
      </c>
      <c r="E201">
        <v>8</v>
      </c>
      <c r="F201" t="s">
        <v>26</v>
      </c>
      <c r="G201" t="s">
        <v>37</v>
      </c>
      <c r="H201" s="1">
        <v>136.35</v>
      </c>
      <c r="I201" t="s">
        <v>24</v>
      </c>
      <c r="J201">
        <v>0</v>
      </c>
      <c r="K201">
        <v>9</v>
      </c>
    </row>
    <row r="202" spans="1:11" x14ac:dyDescent="0.35">
      <c r="A202" t="s">
        <v>237</v>
      </c>
      <c r="B202">
        <v>69</v>
      </c>
      <c r="C202" t="s">
        <v>12</v>
      </c>
      <c r="D202" t="s">
        <v>19</v>
      </c>
      <c r="E202">
        <v>20</v>
      </c>
      <c r="F202" t="s">
        <v>14</v>
      </c>
      <c r="G202" t="s">
        <v>15</v>
      </c>
      <c r="H202" s="1">
        <v>0</v>
      </c>
      <c r="I202" t="s">
        <v>16</v>
      </c>
      <c r="J202">
        <v>4</v>
      </c>
      <c r="K202">
        <v>4</v>
      </c>
    </row>
    <row r="203" spans="1:11" x14ac:dyDescent="0.35">
      <c r="A203" t="s">
        <v>238</v>
      </c>
      <c r="B203">
        <v>68</v>
      </c>
      <c r="C203" t="s">
        <v>12</v>
      </c>
      <c r="D203" t="s">
        <v>21</v>
      </c>
      <c r="E203">
        <v>12</v>
      </c>
      <c r="F203" t="s">
        <v>33</v>
      </c>
      <c r="G203" t="s">
        <v>15</v>
      </c>
      <c r="H203" s="1">
        <v>391.67</v>
      </c>
      <c r="I203" t="s">
        <v>24</v>
      </c>
      <c r="J203">
        <v>0</v>
      </c>
      <c r="K203">
        <v>4</v>
      </c>
    </row>
    <row r="204" spans="1:11" x14ac:dyDescent="0.35">
      <c r="A204" t="s">
        <v>239</v>
      </c>
      <c r="B204">
        <v>32</v>
      </c>
      <c r="C204" t="s">
        <v>18</v>
      </c>
      <c r="D204" t="s">
        <v>19</v>
      </c>
      <c r="E204">
        <v>18</v>
      </c>
      <c r="F204" t="s">
        <v>33</v>
      </c>
      <c r="G204" t="s">
        <v>27</v>
      </c>
      <c r="H204" s="1">
        <v>147.58000000000001</v>
      </c>
      <c r="I204" t="s">
        <v>24</v>
      </c>
      <c r="J204">
        <v>1</v>
      </c>
      <c r="K204">
        <v>7</v>
      </c>
    </row>
    <row r="205" spans="1:11" x14ac:dyDescent="0.35">
      <c r="A205" t="s">
        <v>240</v>
      </c>
      <c r="B205">
        <v>69</v>
      </c>
      <c r="C205" t="s">
        <v>12</v>
      </c>
      <c r="D205" t="s">
        <v>19</v>
      </c>
      <c r="E205">
        <v>24</v>
      </c>
      <c r="F205" t="s">
        <v>33</v>
      </c>
      <c r="G205" t="s">
        <v>23</v>
      </c>
      <c r="H205" s="1">
        <v>104.76</v>
      </c>
      <c r="I205" t="s">
        <v>43</v>
      </c>
      <c r="J205">
        <v>1</v>
      </c>
      <c r="K205">
        <v>4</v>
      </c>
    </row>
    <row r="206" spans="1:11" x14ac:dyDescent="0.35">
      <c r="A206" t="s">
        <v>241</v>
      </c>
      <c r="B206">
        <v>36</v>
      </c>
      <c r="C206" t="s">
        <v>18</v>
      </c>
      <c r="D206" t="s">
        <v>21</v>
      </c>
      <c r="E206">
        <v>48</v>
      </c>
      <c r="F206" t="s">
        <v>33</v>
      </c>
      <c r="G206" t="s">
        <v>27</v>
      </c>
      <c r="H206" s="1">
        <v>150.55000000000001</v>
      </c>
      <c r="I206" t="s">
        <v>24</v>
      </c>
      <c r="J206">
        <v>1</v>
      </c>
      <c r="K206">
        <v>2</v>
      </c>
    </row>
    <row r="207" spans="1:11" x14ac:dyDescent="0.35">
      <c r="A207" t="s">
        <v>242</v>
      </c>
      <c r="B207">
        <v>45</v>
      </c>
      <c r="C207" t="s">
        <v>12</v>
      </c>
      <c r="D207" t="s">
        <v>13</v>
      </c>
      <c r="E207">
        <v>23</v>
      </c>
      <c r="F207" t="s">
        <v>22</v>
      </c>
      <c r="G207" t="s">
        <v>27</v>
      </c>
      <c r="H207" s="1">
        <v>85.01</v>
      </c>
      <c r="I207" t="s">
        <v>24</v>
      </c>
      <c r="J207">
        <v>3</v>
      </c>
      <c r="K207">
        <v>1</v>
      </c>
    </row>
    <row r="208" spans="1:11" x14ac:dyDescent="0.35">
      <c r="A208" t="s">
        <v>243</v>
      </c>
      <c r="B208">
        <v>26</v>
      </c>
      <c r="C208" t="s">
        <v>18</v>
      </c>
      <c r="D208" t="s">
        <v>244</v>
      </c>
      <c r="E208">
        <v>18</v>
      </c>
      <c r="F208" t="s">
        <v>33</v>
      </c>
      <c r="G208" t="s">
        <v>34</v>
      </c>
      <c r="H208" s="1">
        <v>211.44</v>
      </c>
      <c r="I208" t="s">
        <v>24</v>
      </c>
      <c r="J208">
        <v>1</v>
      </c>
      <c r="K208">
        <v>4</v>
      </c>
    </row>
    <row r="209" spans="1:11" x14ac:dyDescent="0.35">
      <c r="A209" t="s">
        <v>245</v>
      </c>
      <c r="B209">
        <v>44</v>
      </c>
      <c r="C209" t="s">
        <v>18</v>
      </c>
      <c r="D209" t="s">
        <v>13</v>
      </c>
      <c r="E209">
        <v>6</v>
      </c>
      <c r="F209" t="s">
        <v>31</v>
      </c>
      <c r="G209" t="s">
        <v>34</v>
      </c>
      <c r="H209" s="1">
        <v>150.44</v>
      </c>
      <c r="I209" t="s">
        <v>28</v>
      </c>
      <c r="J209">
        <v>0</v>
      </c>
      <c r="K209">
        <v>9</v>
      </c>
    </row>
    <row r="210" spans="1:11" x14ac:dyDescent="0.35">
      <c r="A210" t="s">
        <v>246</v>
      </c>
      <c r="B210">
        <v>54</v>
      </c>
      <c r="C210" t="s">
        <v>12</v>
      </c>
      <c r="D210" t="s">
        <v>19</v>
      </c>
      <c r="E210">
        <v>14</v>
      </c>
      <c r="F210" t="s">
        <v>26</v>
      </c>
      <c r="G210" t="s">
        <v>34</v>
      </c>
      <c r="H210" s="1">
        <v>191.87</v>
      </c>
      <c r="I210" t="s">
        <v>24</v>
      </c>
      <c r="J210">
        <v>1</v>
      </c>
      <c r="K210">
        <v>4</v>
      </c>
    </row>
    <row r="211" spans="1:11" x14ac:dyDescent="0.35">
      <c r="A211" t="s">
        <v>247</v>
      </c>
      <c r="B211">
        <v>48</v>
      </c>
      <c r="C211" t="s">
        <v>12</v>
      </c>
      <c r="D211" t="s">
        <v>19</v>
      </c>
      <c r="E211">
        <v>15</v>
      </c>
      <c r="F211" t="s">
        <v>33</v>
      </c>
      <c r="G211" t="s">
        <v>27</v>
      </c>
      <c r="H211" s="1">
        <v>85.61</v>
      </c>
      <c r="I211" t="s">
        <v>24</v>
      </c>
      <c r="J211">
        <v>1</v>
      </c>
      <c r="K211">
        <v>6</v>
      </c>
    </row>
    <row r="212" spans="1:11" x14ac:dyDescent="0.35">
      <c r="A212" t="s">
        <v>248</v>
      </c>
      <c r="B212">
        <v>59</v>
      </c>
      <c r="C212" t="s">
        <v>12</v>
      </c>
      <c r="D212" t="s">
        <v>41</v>
      </c>
      <c r="E212">
        <v>3</v>
      </c>
      <c r="F212" t="s">
        <v>26</v>
      </c>
      <c r="G212" t="s">
        <v>15</v>
      </c>
      <c r="H212" s="1">
        <v>259.25</v>
      </c>
      <c r="I212" t="s">
        <v>24</v>
      </c>
      <c r="J212">
        <v>0</v>
      </c>
      <c r="K212">
        <v>8</v>
      </c>
    </row>
    <row r="213" spans="1:11" x14ac:dyDescent="0.35">
      <c r="A213" t="s">
        <v>249</v>
      </c>
      <c r="B213">
        <v>49</v>
      </c>
      <c r="C213" t="s">
        <v>12</v>
      </c>
      <c r="D213" t="s">
        <v>30</v>
      </c>
      <c r="E213">
        <v>14</v>
      </c>
      <c r="F213" t="s">
        <v>31</v>
      </c>
      <c r="G213" t="s">
        <v>23</v>
      </c>
      <c r="H213" s="1">
        <v>308.52</v>
      </c>
      <c r="I213" t="s">
        <v>24</v>
      </c>
      <c r="J213">
        <v>1</v>
      </c>
      <c r="K213">
        <v>5</v>
      </c>
    </row>
    <row r="214" spans="1:11" x14ac:dyDescent="0.35">
      <c r="A214" t="s">
        <v>250</v>
      </c>
      <c r="B214">
        <v>73</v>
      </c>
      <c r="C214" t="s">
        <v>18</v>
      </c>
      <c r="D214" t="s">
        <v>19</v>
      </c>
      <c r="E214">
        <v>7</v>
      </c>
      <c r="F214" t="s">
        <v>22</v>
      </c>
      <c r="G214" t="s">
        <v>23</v>
      </c>
      <c r="H214" s="1">
        <v>134.46</v>
      </c>
      <c r="I214" t="s">
        <v>24</v>
      </c>
      <c r="J214">
        <v>0</v>
      </c>
      <c r="K214">
        <v>10</v>
      </c>
    </row>
    <row r="215" spans="1:11" x14ac:dyDescent="0.35">
      <c r="A215" t="s">
        <v>251</v>
      </c>
      <c r="B215">
        <v>78</v>
      </c>
      <c r="C215" t="s">
        <v>12</v>
      </c>
      <c r="D215" t="s">
        <v>19</v>
      </c>
      <c r="E215">
        <v>11</v>
      </c>
      <c r="F215" t="s">
        <v>33</v>
      </c>
      <c r="G215" t="s">
        <v>34</v>
      </c>
      <c r="H215" s="1">
        <v>134.72</v>
      </c>
      <c r="I215" t="s">
        <v>24</v>
      </c>
      <c r="J215">
        <v>1</v>
      </c>
      <c r="K215">
        <v>8</v>
      </c>
    </row>
    <row r="216" spans="1:11" x14ac:dyDescent="0.35">
      <c r="A216" t="s">
        <v>252</v>
      </c>
      <c r="B216">
        <v>72</v>
      </c>
      <c r="C216" t="s">
        <v>12</v>
      </c>
      <c r="D216" t="s">
        <v>19</v>
      </c>
      <c r="E216">
        <v>11</v>
      </c>
      <c r="F216" t="s">
        <v>22</v>
      </c>
      <c r="G216" t="s">
        <v>34</v>
      </c>
      <c r="H216" s="1">
        <v>167.57</v>
      </c>
      <c r="I216" t="s">
        <v>24</v>
      </c>
      <c r="J216">
        <v>1</v>
      </c>
      <c r="K216">
        <v>7</v>
      </c>
    </row>
    <row r="217" spans="1:11" x14ac:dyDescent="0.35">
      <c r="A217" t="s">
        <v>253</v>
      </c>
      <c r="B217">
        <v>19</v>
      </c>
      <c r="C217" t="s">
        <v>12</v>
      </c>
      <c r="D217" t="s">
        <v>13</v>
      </c>
      <c r="E217">
        <v>7</v>
      </c>
      <c r="F217" t="s">
        <v>14</v>
      </c>
      <c r="G217" t="s">
        <v>37</v>
      </c>
      <c r="H217" s="1">
        <v>0</v>
      </c>
      <c r="I217" t="s">
        <v>16</v>
      </c>
      <c r="J217">
        <v>1</v>
      </c>
      <c r="K217">
        <v>8</v>
      </c>
    </row>
    <row r="218" spans="1:11" x14ac:dyDescent="0.35">
      <c r="A218" t="s">
        <v>254</v>
      </c>
      <c r="B218">
        <v>74</v>
      </c>
      <c r="C218" t="s">
        <v>12</v>
      </c>
      <c r="D218" t="s">
        <v>19</v>
      </c>
      <c r="E218">
        <v>24</v>
      </c>
      <c r="F218" t="s">
        <v>33</v>
      </c>
      <c r="G218" t="s">
        <v>23</v>
      </c>
      <c r="H218" s="1">
        <v>461.16</v>
      </c>
      <c r="I218" t="s">
        <v>24</v>
      </c>
      <c r="J218">
        <v>0</v>
      </c>
      <c r="K218">
        <v>5</v>
      </c>
    </row>
    <row r="219" spans="1:11" x14ac:dyDescent="0.35">
      <c r="A219" t="s">
        <v>255</v>
      </c>
      <c r="B219">
        <v>30</v>
      </c>
      <c r="C219" t="s">
        <v>18</v>
      </c>
      <c r="D219" t="s">
        <v>19</v>
      </c>
      <c r="E219">
        <v>19</v>
      </c>
      <c r="F219" t="s">
        <v>33</v>
      </c>
      <c r="G219" t="s">
        <v>37</v>
      </c>
      <c r="H219" s="1">
        <v>203.65</v>
      </c>
      <c r="I219" t="s">
        <v>24</v>
      </c>
      <c r="J219">
        <v>1</v>
      </c>
      <c r="K219">
        <v>3</v>
      </c>
    </row>
    <row r="220" spans="1:11" x14ac:dyDescent="0.35">
      <c r="A220" t="s">
        <v>256</v>
      </c>
      <c r="B220">
        <v>68</v>
      </c>
      <c r="C220" t="s">
        <v>18</v>
      </c>
      <c r="D220" t="s">
        <v>19</v>
      </c>
      <c r="E220">
        <v>17</v>
      </c>
      <c r="F220" t="s">
        <v>31</v>
      </c>
      <c r="G220" t="s">
        <v>34</v>
      </c>
      <c r="H220" s="1">
        <v>181.02</v>
      </c>
      <c r="I220" t="s">
        <v>24</v>
      </c>
      <c r="J220">
        <v>0</v>
      </c>
      <c r="K220">
        <v>8</v>
      </c>
    </row>
    <row r="221" spans="1:11" x14ac:dyDescent="0.35">
      <c r="A221" t="s">
        <v>257</v>
      </c>
      <c r="B221">
        <v>52</v>
      </c>
      <c r="C221" t="s">
        <v>12</v>
      </c>
      <c r="D221" t="s">
        <v>19</v>
      </c>
      <c r="E221">
        <v>23</v>
      </c>
      <c r="F221" t="s">
        <v>33</v>
      </c>
      <c r="G221" t="s">
        <v>27</v>
      </c>
      <c r="H221" s="1">
        <v>93.16</v>
      </c>
      <c r="I221" t="s">
        <v>24</v>
      </c>
      <c r="J221">
        <v>2</v>
      </c>
      <c r="K221">
        <v>3</v>
      </c>
    </row>
    <row r="222" spans="1:11" x14ac:dyDescent="0.35">
      <c r="A222" t="s">
        <v>258</v>
      </c>
      <c r="B222">
        <v>68</v>
      </c>
      <c r="C222" t="s">
        <v>18</v>
      </c>
      <c r="D222" t="s">
        <v>30</v>
      </c>
      <c r="E222">
        <v>4</v>
      </c>
      <c r="F222" t="s">
        <v>22</v>
      </c>
      <c r="G222" t="s">
        <v>37</v>
      </c>
      <c r="H222" s="1">
        <v>154.02000000000001</v>
      </c>
      <c r="I222" t="s">
        <v>24</v>
      </c>
      <c r="J222">
        <v>0</v>
      </c>
      <c r="K222">
        <v>9</v>
      </c>
    </row>
    <row r="223" spans="1:11" x14ac:dyDescent="0.35">
      <c r="A223" t="s">
        <v>259</v>
      </c>
      <c r="B223">
        <v>63</v>
      </c>
      <c r="C223" t="s">
        <v>12</v>
      </c>
      <c r="D223" t="s">
        <v>21</v>
      </c>
      <c r="E223">
        <v>18</v>
      </c>
      <c r="F223" t="s">
        <v>31</v>
      </c>
      <c r="G223" t="s">
        <v>23</v>
      </c>
      <c r="H223" s="1">
        <v>343.17</v>
      </c>
      <c r="I223" t="s">
        <v>24</v>
      </c>
      <c r="J223">
        <v>2</v>
      </c>
      <c r="K223">
        <v>5</v>
      </c>
    </row>
    <row r="224" spans="1:11" x14ac:dyDescent="0.35">
      <c r="A224" t="s">
        <v>260</v>
      </c>
      <c r="B224">
        <v>35</v>
      </c>
      <c r="C224" t="s">
        <v>18</v>
      </c>
      <c r="D224" t="s">
        <v>244</v>
      </c>
      <c r="E224">
        <v>10</v>
      </c>
      <c r="F224" t="s">
        <v>33</v>
      </c>
      <c r="G224" t="s">
        <v>27</v>
      </c>
      <c r="H224" s="1">
        <v>174.84</v>
      </c>
      <c r="I224" t="s">
        <v>24</v>
      </c>
      <c r="J224">
        <v>1</v>
      </c>
      <c r="K224">
        <v>8</v>
      </c>
    </row>
    <row r="225" spans="1:11" x14ac:dyDescent="0.35">
      <c r="A225" t="s">
        <v>261</v>
      </c>
      <c r="B225">
        <v>23</v>
      </c>
      <c r="C225" t="s">
        <v>18</v>
      </c>
      <c r="D225" t="s">
        <v>19</v>
      </c>
      <c r="E225">
        <v>17</v>
      </c>
      <c r="F225" t="s">
        <v>33</v>
      </c>
      <c r="G225" t="s">
        <v>37</v>
      </c>
      <c r="H225" s="1">
        <v>119.73</v>
      </c>
      <c r="I225" t="s">
        <v>24</v>
      </c>
      <c r="J225">
        <v>1</v>
      </c>
      <c r="K225">
        <v>8</v>
      </c>
    </row>
    <row r="226" spans="1:11" x14ac:dyDescent="0.35">
      <c r="A226" t="s">
        <v>262</v>
      </c>
      <c r="B226">
        <v>58</v>
      </c>
      <c r="C226" t="s">
        <v>12</v>
      </c>
      <c r="D226" t="s">
        <v>13</v>
      </c>
      <c r="E226">
        <v>18</v>
      </c>
      <c r="F226" t="s">
        <v>33</v>
      </c>
      <c r="G226" t="s">
        <v>15</v>
      </c>
      <c r="H226" s="1">
        <v>277.45999999999998</v>
      </c>
      <c r="I226" t="s">
        <v>24</v>
      </c>
      <c r="J226">
        <v>0</v>
      </c>
      <c r="K226">
        <v>4</v>
      </c>
    </row>
    <row r="227" spans="1:11" x14ac:dyDescent="0.35">
      <c r="A227" t="s">
        <v>263</v>
      </c>
      <c r="B227">
        <v>54</v>
      </c>
      <c r="C227" t="s">
        <v>189</v>
      </c>
      <c r="D227" t="s">
        <v>41</v>
      </c>
      <c r="E227">
        <v>12</v>
      </c>
      <c r="F227" t="s">
        <v>22</v>
      </c>
      <c r="G227" t="s">
        <v>34</v>
      </c>
      <c r="H227" s="1">
        <v>187.22</v>
      </c>
      <c r="I227" t="s">
        <v>24</v>
      </c>
      <c r="J227">
        <v>2</v>
      </c>
      <c r="K227">
        <v>8</v>
      </c>
    </row>
    <row r="228" spans="1:11" x14ac:dyDescent="0.35">
      <c r="A228" t="s">
        <v>264</v>
      </c>
      <c r="B228">
        <v>81</v>
      </c>
      <c r="C228" t="s">
        <v>18</v>
      </c>
      <c r="D228" t="s">
        <v>13</v>
      </c>
      <c r="E228">
        <v>22</v>
      </c>
      <c r="F228" t="s">
        <v>26</v>
      </c>
      <c r="G228" t="s">
        <v>23</v>
      </c>
      <c r="H228" s="1">
        <v>595.44000000000005</v>
      </c>
      <c r="I228" t="s">
        <v>28</v>
      </c>
      <c r="J228">
        <v>4</v>
      </c>
      <c r="K228">
        <v>5</v>
      </c>
    </row>
    <row r="229" spans="1:11" x14ac:dyDescent="0.35">
      <c r="A229" t="s">
        <v>265</v>
      </c>
      <c r="B229">
        <v>76</v>
      </c>
      <c r="C229" t="s">
        <v>18</v>
      </c>
      <c r="D229" t="s">
        <v>21</v>
      </c>
      <c r="E229">
        <v>32</v>
      </c>
      <c r="F229" t="s">
        <v>33</v>
      </c>
      <c r="G229" t="s">
        <v>37</v>
      </c>
      <c r="H229" s="1">
        <v>209.4</v>
      </c>
      <c r="I229" t="s">
        <v>24</v>
      </c>
      <c r="J229">
        <v>3</v>
      </c>
      <c r="K229">
        <v>5</v>
      </c>
    </row>
    <row r="230" spans="1:11" x14ac:dyDescent="0.35">
      <c r="A230" t="s">
        <v>266</v>
      </c>
      <c r="B230">
        <v>85</v>
      </c>
      <c r="C230" t="s">
        <v>12</v>
      </c>
      <c r="D230" t="s">
        <v>19</v>
      </c>
      <c r="E230">
        <v>15</v>
      </c>
      <c r="F230" t="s">
        <v>14</v>
      </c>
      <c r="G230" t="s">
        <v>34</v>
      </c>
      <c r="H230" s="1">
        <v>0</v>
      </c>
      <c r="I230" t="s">
        <v>16</v>
      </c>
      <c r="J230">
        <v>0</v>
      </c>
      <c r="K230">
        <v>6</v>
      </c>
    </row>
    <row r="231" spans="1:11" x14ac:dyDescent="0.35">
      <c r="A231" t="s">
        <v>267</v>
      </c>
      <c r="B231">
        <v>64</v>
      </c>
      <c r="C231" t="s">
        <v>18</v>
      </c>
      <c r="D231" t="s">
        <v>30</v>
      </c>
      <c r="E231">
        <v>14</v>
      </c>
      <c r="F231" t="s">
        <v>31</v>
      </c>
      <c r="G231" t="s">
        <v>37</v>
      </c>
      <c r="H231" s="1">
        <v>91.59</v>
      </c>
      <c r="I231" t="s">
        <v>24</v>
      </c>
      <c r="J231">
        <v>0</v>
      </c>
      <c r="K231">
        <v>6</v>
      </c>
    </row>
    <row r="232" spans="1:11" x14ac:dyDescent="0.35">
      <c r="A232" t="s">
        <v>268</v>
      </c>
      <c r="B232">
        <v>24</v>
      </c>
      <c r="C232" t="s">
        <v>12</v>
      </c>
      <c r="D232" t="s">
        <v>30</v>
      </c>
      <c r="E232">
        <v>14</v>
      </c>
      <c r="F232" t="s">
        <v>26</v>
      </c>
      <c r="G232" t="s">
        <v>27</v>
      </c>
      <c r="H232" s="1">
        <v>161.15</v>
      </c>
      <c r="I232" t="s">
        <v>28</v>
      </c>
      <c r="J232">
        <v>1</v>
      </c>
      <c r="K232">
        <v>8</v>
      </c>
    </row>
    <row r="233" spans="1:11" x14ac:dyDescent="0.35">
      <c r="A233" t="s">
        <v>269</v>
      </c>
      <c r="B233">
        <v>76</v>
      </c>
      <c r="C233" t="s">
        <v>18</v>
      </c>
      <c r="D233" t="s">
        <v>19</v>
      </c>
      <c r="E233">
        <v>22</v>
      </c>
      <c r="F233" t="s">
        <v>26</v>
      </c>
      <c r="G233" t="s">
        <v>15</v>
      </c>
      <c r="H233" s="1">
        <v>293.11</v>
      </c>
      <c r="I233" t="s">
        <v>24</v>
      </c>
      <c r="J233">
        <v>2</v>
      </c>
      <c r="K233">
        <v>2</v>
      </c>
    </row>
    <row r="234" spans="1:11" x14ac:dyDescent="0.35">
      <c r="A234" t="s">
        <v>270</v>
      </c>
      <c r="B234">
        <v>51</v>
      </c>
      <c r="C234" t="s">
        <v>18</v>
      </c>
      <c r="D234" t="s">
        <v>30</v>
      </c>
      <c r="E234">
        <v>13</v>
      </c>
      <c r="F234" t="s">
        <v>22</v>
      </c>
      <c r="G234" t="s">
        <v>23</v>
      </c>
      <c r="H234" s="1">
        <v>591.07000000000005</v>
      </c>
      <c r="I234" t="s">
        <v>24</v>
      </c>
      <c r="J234">
        <v>0</v>
      </c>
      <c r="K234">
        <v>5</v>
      </c>
    </row>
    <row r="235" spans="1:11" x14ac:dyDescent="0.35">
      <c r="A235" t="s">
        <v>271</v>
      </c>
      <c r="B235">
        <v>64</v>
      </c>
      <c r="C235" t="s">
        <v>18</v>
      </c>
      <c r="D235" t="s">
        <v>30</v>
      </c>
      <c r="E235">
        <v>4</v>
      </c>
      <c r="F235" t="s">
        <v>33</v>
      </c>
      <c r="G235" t="s">
        <v>37</v>
      </c>
      <c r="H235" s="1">
        <v>182.94</v>
      </c>
      <c r="I235" t="s">
        <v>24</v>
      </c>
      <c r="J235">
        <v>2</v>
      </c>
      <c r="K235">
        <v>8</v>
      </c>
    </row>
    <row r="236" spans="1:11" x14ac:dyDescent="0.35">
      <c r="A236" t="s">
        <v>272</v>
      </c>
      <c r="B236">
        <v>38</v>
      </c>
      <c r="C236" t="s">
        <v>12</v>
      </c>
      <c r="D236" t="s">
        <v>19</v>
      </c>
      <c r="E236">
        <v>9</v>
      </c>
      <c r="F236" t="s">
        <v>33</v>
      </c>
      <c r="G236" t="s">
        <v>23</v>
      </c>
      <c r="H236" s="1">
        <v>261.42</v>
      </c>
      <c r="I236" t="s">
        <v>24</v>
      </c>
      <c r="J236">
        <v>3</v>
      </c>
      <c r="K236">
        <v>4</v>
      </c>
    </row>
    <row r="237" spans="1:11" x14ac:dyDescent="0.35">
      <c r="A237" t="s">
        <v>273</v>
      </c>
      <c r="B237">
        <v>68</v>
      </c>
      <c r="C237" t="s">
        <v>12</v>
      </c>
      <c r="D237" t="s">
        <v>21</v>
      </c>
      <c r="E237">
        <v>37</v>
      </c>
      <c r="F237" t="s">
        <v>31</v>
      </c>
      <c r="G237" t="s">
        <v>15</v>
      </c>
      <c r="H237" s="1">
        <v>205.75</v>
      </c>
      <c r="I237" t="s">
        <v>24</v>
      </c>
      <c r="J237">
        <v>1</v>
      </c>
      <c r="K237">
        <v>2</v>
      </c>
    </row>
    <row r="238" spans="1:11" x14ac:dyDescent="0.35">
      <c r="A238" t="s">
        <v>274</v>
      </c>
      <c r="B238">
        <v>68</v>
      </c>
      <c r="C238" t="s">
        <v>18</v>
      </c>
      <c r="D238" t="s">
        <v>19</v>
      </c>
      <c r="E238">
        <v>20</v>
      </c>
      <c r="F238" t="s">
        <v>22</v>
      </c>
      <c r="G238" t="s">
        <v>37</v>
      </c>
      <c r="H238" s="1">
        <v>106.22</v>
      </c>
      <c r="I238" t="s">
        <v>24</v>
      </c>
      <c r="J238">
        <v>2</v>
      </c>
      <c r="K238">
        <v>1</v>
      </c>
    </row>
    <row r="239" spans="1:11" x14ac:dyDescent="0.35">
      <c r="A239" t="s">
        <v>275</v>
      </c>
      <c r="B239">
        <v>29</v>
      </c>
      <c r="C239" t="s">
        <v>12</v>
      </c>
      <c r="D239" t="s">
        <v>21</v>
      </c>
      <c r="E239">
        <v>32</v>
      </c>
      <c r="F239" t="s">
        <v>14</v>
      </c>
      <c r="G239" t="s">
        <v>23</v>
      </c>
      <c r="H239" s="1">
        <v>0</v>
      </c>
      <c r="I239" t="s">
        <v>16</v>
      </c>
      <c r="J239">
        <v>1</v>
      </c>
      <c r="K239">
        <v>1</v>
      </c>
    </row>
    <row r="240" spans="1:11" x14ac:dyDescent="0.35">
      <c r="A240" t="s">
        <v>276</v>
      </c>
      <c r="B240">
        <v>79</v>
      </c>
      <c r="C240" t="s">
        <v>12</v>
      </c>
      <c r="D240" t="s">
        <v>19</v>
      </c>
      <c r="E240">
        <v>17</v>
      </c>
      <c r="F240" t="s">
        <v>31</v>
      </c>
      <c r="G240" t="s">
        <v>37</v>
      </c>
      <c r="H240" s="1">
        <v>155.36000000000001</v>
      </c>
      <c r="I240" t="s">
        <v>24</v>
      </c>
      <c r="J240">
        <v>3</v>
      </c>
      <c r="K240">
        <v>5</v>
      </c>
    </row>
    <row r="241" spans="1:11" x14ac:dyDescent="0.35">
      <c r="A241" t="s">
        <v>277</v>
      </c>
      <c r="B241">
        <v>39</v>
      </c>
      <c r="C241" t="s">
        <v>12</v>
      </c>
      <c r="D241" t="s">
        <v>19</v>
      </c>
      <c r="E241">
        <v>9</v>
      </c>
      <c r="F241" t="s">
        <v>31</v>
      </c>
      <c r="G241" t="s">
        <v>27</v>
      </c>
      <c r="H241" s="1">
        <v>109.68</v>
      </c>
      <c r="I241" t="s">
        <v>24</v>
      </c>
      <c r="J241">
        <v>0</v>
      </c>
      <c r="K241">
        <v>4</v>
      </c>
    </row>
    <row r="242" spans="1:11" x14ac:dyDescent="0.35">
      <c r="A242" t="s">
        <v>278</v>
      </c>
      <c r="B242">
        <v>55</v>
      </c>
      <c r="C242" t="s">
        <v>12</v>
      </c>
      <c r="D242" t="s">
        <v>19</v>
      </c>
      <c r="E242">
        <v>6</v>
      </c>
      <c r="F242" t="s">
        <v>26</v>
      </c>
      <c r="G242" t="s">
        <v>27</v>
      </c>
      <c r="H242" s="1">
        <v>166.38</v>
      </c>
      <c r="I242" t="s">
        <v>24</v>
      </c>
      <c r="J242">
        <v>2</v>
      </c>
      <c r="K242">
        <v>7</v>
      </c>
    </row>
    <row r="243" spans="1:11" x14ac:dyDescent="0.35">
      <c r="A243" t="s">
        <v>279</v>
      </c>
      <c r="B243">
        <v>51</v>
      </c>
      <c r="C243" t="s">
        <v>18</v>
      </c>
      <c r="D243" t="s">
        <v>47</v>
      </c>
      <c r="E243">
        <v>10</v>
      </c>
      <c r="F243" t="s">
        <v>31</v>
      </c>
      <c r="G243" t="s">
        <v>34</v>
      </c>
      <c r="H243" s="1">
        <v>135.33000000000001</v>
      </c>
      <c r="I243" t="s">
        <v>24</v>
      </c>
      <c r="J243">
        <v>0</v>
      </c>
      <c r="K243">
        <v>8</v>
      </c>
    </row>
    <row r="244" spans="1:11" x14ac:dyDescent="0.35">
      <c r="A244" t="s">
        <v>280</v>
      </c>
      <c r="B244">
        <v>39</v>
      </c>
      <c r="C244" t="s">
        <v>18</v>
      </c>
      <c r="D244" t="s">
        <v>13</v>
      </c>
      <c r="E244">
        <v>14</v>
      </c>
      <c r="F244" t="s">
        <v>31</v>
      </c>
      <c r="G244" t="s">
        <v>34</v>
      </c>
      <c r="H244" s="1">
        <v>105.23</v>
      </c>
      <c r="I244" t="s">
        <v>24</v>
      </c>
      <c r="J244">
        <v>0</v>
      </c>
      <c r="K244">
        <v>6</v>
      </c>
    </row>
    <row r="245" spans="1:11" x14ac:dyDescent="0.35">
      <c r="A245" t="s">
        <v>281</v>
      </c>
      <c r="B245">
        <v>74</v>
      </c>
      <c r="C245" t="s">
        <v>18</v>
      </c>
      <c r="D245" t="s">
        <v>21</v>
      </c>
      <c r="E245">
        <v>17</v>
      </c>
      <c r="F245" t="s">
        <v>31</v>
      </c>
      <c r="G245" t="s">
        <v>23</v>
      </c>
      <c r="H245" s="1">
        <v>126.58</v>
      </c>
      <c r="I245" t="s">
        <v>24</v>
      </c>
      <c r="J245">
        <v>2</v>
      </c>
      <c r="K245">
        <v>5</v>
      </c>
    </row>
    <row r="246" spans="1:11" x14ac:dyDescent="0.35">
      <c r="A246" t="s">
        <v>282</v>
      </c>
      <c r="B246">
        <v>20</v>
      </c>
      <c r="C246" t="s">
        <v>18</v>
      </c>
      <c r="D246" t="s">
        <v>19</v>
      </c>
      <c r="E246">
        <v>6</v>
      </c>
      <c r="F246" t="s">
        <v>33</v>
      </c>
      <c r="G246" t="s">
        <v>37</v>
      </c>
      <c r="H246" s="1">
        <v>142.38999999999999</v>
      </c>
      <c r="I246" t="s">
        <v>24</v>
      </c>
      <c r="J246">
        <v>0</v>
      </c>
      <c r="K246">
        <v>8</v>
      </c>
    </row>
    <row r="247" spans="1:11" x14ac:dyDescent="0.35">
      <c r="A247" t="s">
        <v>283</v>
      </c>
      <c r="B247">
        <v>51</v>
      </c>
      <c r="C247" t="s">
        <v>18</v>
      </c>
      <c r="D247" t="s">
        <v>41</v>
      </c>
      <c r="E247">
        <v>2</v>
      </c>
      <c r="F247" t="s">
        <v>22</v>
      </c>
      <c r="G247" t="s">
        <v>37</v>
      </c>
      <c r="H247" s="1">
        <v>117.9</v>
      </c>
      <c r="I247" t="s">
        <v>24</v>
      </c>
      <c r="J247">
        <v>0</v>
      </c>
      <c r="K247">
        <v>10</v>
      </c>
    </row>
    <row r="248" spans="1:11" x14ac:dyDescent="0.35">
      <c r="A248" t="s">
        <v>284</v>
      </c>
      <c r="B248">
        <v>65</v>
      </c>
      <c r="C248" t="s">
        <v>18</v>
      </c>
      <c r="D248" t="s">
        <v>19</v>
      </c>
      <c r="E248">
        <v>14</v>
      </c>
      <c r="F248" t="s">
        <v>14</v>
      </c>
      <c r="G248" t="s">
        <v>15</v>
      </c>
      <c r="H248" s="1">
        <v>0</v>
      </c>
      <c r="I248" t="s">
        <v>16</v>
      </c>
      <c r="J248">
        <v>1</v>
      </c>
      <c r="K248">
        <v>8</v>
      </c>
    </row>
    <row r="249" spans="1:11" x14ac:dyDescent="0.35">
      <c r="A249" t="s">
        <v>285</v>
      </c>
      <c r="B249">
        <v>66</v>
      </c>
      <c r="C249" t="s">
        <v>12</v>
      </c>
      <c r="D249" t="s">
        <v>19</v>
      </c>
      <c r="E249">
        <v>22</v>
      </c>
      <c r="F249" t="s">
        <v>22</v>
      </c>
      <c r="G249" t="s">
        <v>37</v>
      </c>
      <c r="H249" s="1">
        <v>211.89</v>
      </c>
      <c r="I249" t="s">
        <v>24</v>
      </c>
      <c r="J249">
        <v>0</v>
      </c>
      <c r="K249">
        <v>5</v>
      </c>
    </row>
    <row r="250" spans="1:11" x14ac:dyDescent="0.35">
      <c r="A250" t="s">
        <v>286</v>
      </c>
      <c r="B250">
        <v>80</v>
      </c>
      <c r="C250" t="s">
        <v>18</v>
      </c>
      <c r="D250" t="s">
        <v>13</v>
      </c>
      <c r="E250">
        <v>17</v>
      </c>
      <c r="F250" t="s">
        <v>14</v>
      </c>
      <c r="G250" t="s">
        <v>37</v>
      </c>
      <c r="H250" s="1">
        <v>0</v>
      </c>
      <c r="I250" t="s">
        <v>16</v>
      </c>
      <c r="J250">
        <v>3</v>
      </c>
      <c r="K250">
        <v>5</v>
      </c>
    </row>
    <row r="251" spans="1:11" x14ac:dyDescent="0.35">
      <c r="A251" t="s">
        <v>287</v>
      </c>
      <c r="B251">
        <v>46</v>
      </c>
      <c r="C251" t="s">
        <v>12</v>
      </c>
      <c r="D251" t="s">
        <v>13</v>
      </c>
      <c r="E251">
        <v>10</v>
      </c>
      <c r="F251" t="s">
        <v>31</v>
      </c>
      <c r="G251" t="s">
        <v>37</v>
      </c>
      <c r="H251" s="1">
        <v>167.27</v>
      </c>
      <c r="I251" t="s">
        <v>24</v>
      </c>
      <c r="J251">
        <v>0</v>
      </c>
      <c r="K251">
        <v>4</v>
      </c>
    </row>
    <row r="252" spans="1:11" x14ac:dyDescent="0.35">
      <c r="A252" t="s">
        <v>288</v>
      </c>
      <c r="B252">
        <v>64</v>
      </c>
      <c r="C252" t="s">
        <v>12</v>
      </c>
      <c r="D252" t="s">
        <v>21</v>
      </c>
      <c r="E252">
        <v>18</v>
      </c>
      <c r="F252" t="s">
        <v>33</v>
      </c>
      <c r="G252" t="s">
        <v>15</v>
      </c>
      <c r="H252" s="1">
        <v>222.65</v>
      </c>
      <c r="I252" t="s">
        <v>24</v>
      </c>
      <c r="J252">
        <v>0</v>
      </c>
      <c r="K252">
        <v>7</v>
      </c>
    </row>
    <row r="253" spans="1:11" x14ac:dyDescent="0.35">
      <c r="A253" t="s">
        <v>289</v>
      </c>
      <c r="B253">
        <v>49</v>
      </c>
      <c r="C253" t="s">
        <v>18</v>
      </c>
      <c r="D253" t="s">
        <v>19</v>
      </c>
      <c r="E253">
        <v>16</v>
      </c>
      <c r="F253" t="s">
        <v>26</v>
      </c>
      <c r="G253" t="s">
        <v>27</v>
      </c>
      <c r="H253" s="1">
        <v>38.479999999999997</v>
      </c>
      <c r="I253" t="s">
        <v>24</v>
      </c>
      <c r="J253">
        <v>3</v>
      </c>
      <c r="K253">
        <v>5</v>
      </c>
    </row>
    <row r="254" spans="1:11" x14ac:dyDescent="0.35">
      <c r="A254" t="s">
        <v>290</v>
      </c>
      <c r="B254">
        <v>45</v>
      </c>
      <c r="C254" t="s">
        <v>12</v>
      </c>
      <c r="D254" t="s">
        <v>30</v>
      </c>
      <c r="E254">
        <v>13</v>
      </c>
      <c r="F254" t="s">
        <v>33</v>
      </c>
      <c r="G254" t="s">
        <v>15</v>
      </c>
      <c r="H254" s="1">
        <v>247.39</v>
      </c>
      <c r="I254" t="s">
        <v>24</v>
      </c>
      <c r="J254">
        <v>2</v>
      </c>
      <c r="K254">
        <v>6</v>
      </c>
    </row>
    <row r="255" spans="1:11" x14ac:dyDescent="0.35">
      <c r="A255" t="s">
        <v>291</v>
      </c>
      <c r="B255">
        <v>69</v>
      </c>
      <c r="C255" t="s">
        <v>18</v>
      </c>
      <c r="D255" t="s">
        <v>19</v>
      </c>
      <c r="E255">
        <v>16</v>
      </c>
      <c r="F255" t="s">
        <v>22</v>
      </c>
      <c r="G255" t="s">
        <v>34</v>
      </c>
      <c r="H255" s="1">
        <v>191.24</v>
      </c>
      <c r="I255" t="s">
        <v>24</v>
      </c>
      <c r="J255">
        <v>1</v>
      </c>
      <c r="K255">
        <v>5</v>
      </c>
    </row>
    <row r="256" spans="1:11" x14ac:dyDescent="0.35">
      <c r="A256" t="s">
        <v>292</v>
      </c>
      <c r="B256">
        <v>60</v>
      </c>
      <c r="C256" t="s">
        <v>18</v>
      </c>
      <c r="D256" t="s">
        <v>30</v>
      </c>
      <c r="E256">
        <v>7</v>
      </c>
      <c r="F256" t="s">
        <v>33</v>
      </c>
      <c r="G256" t="s">
        <v>23</v>
      </c>
      <c r="H256" s="1">
        <v>497.35</v>
      </c>
      <c r="I256" t="s">
        <v>24</v>
      </c>
      <c r="J256">
        <v>0</v>
      </c>
      <c r="K256">
        <v>8</v>
      </c>
    </row>
    <row r="257" spans="1:11" x14ac:dyDescent="0.35">
      <c r="A257" t="s">
        <v>293</v>
      </c>
      <c r="B257">
        <v>24</v>
      </c>
      <c r="C257" t="s">
        <v>12</v>
      </c>
      <c r="D257" t="s">
        <v>19</v>
      </c>
      <c r="E257">
        <v>8</v>
      </c>
      <c r="F257" t="s">
        <v>33</v>
      </c>
      <c r="G257" t="s">
        <v>27</v>
      </c>
      <c r="H257" s="1">
        <v>57.1</v>
      </c>
      <c r="I257" t="s">
        <v>24</v>
      </c>
      <c r="J257">
        <v>0</v>
      </c>
      <c r="K257">
        <v>10</v>
      </c>
    </row>
    <row r="258" spans="1:11" x14ac:dyDescent="0.35">
      <c r="A258" t="s">
        <v>294</v>
      </c>
      <c r="B258">
        <v>57</v>
      </c>
      <c r="C258" t="s">
        <v>18</v>
      </c>
      <c r="D258" t="s">
        <v>13</v>
      </c>
      <c r="E258">
        <v>12</v>
      </c>
      <c r="F258" t="s">
        <v>26</v>
      </c>
      <c r="G258" t="s">
        <v>34</v>
      </c>
      <c r="H258" s="1">
        <v>181.73</v>
      </c>
      <c r="I258" t="s">
        <v>24</v>
      </c>
      <c r="J258">
        <v>1</v>
      </c>
      <c r="K258">
        <v>7</v>
      </c>
    </row>
    <row r="259" spans="1:11" x14ac:dyDescent="0.35">
      <c r="A259" t="s">
        <v>295</v>
      </c>
      <c r="B259">
        <v>84</v>
      </c>
      <c r="C259" t="s">
        <v>12</v>
      </c>
      <c r="D259" t="s">
        <v>30</v>
      </c>
      <c r="E259">
        <v>11</v>
      </c>
      <c r="F259" t="s">
        <v>31</v>
      </c>
      <c r="G259" t="s">
        <v>23</v>
      </c>
      <c r="H259" s="1">
        <v>426.49</v>
      </c>
      <c r="I259" t="s">
        <v>24</v>
      </c>
      <c r="J259">
        <v>0</v>
      </c>
      <c r="K259">
        <v>6</v>
      </c>
    </row>
    <row r="260" spans="1:11" x14ac:dyDescent="0.35">
      <c r="A260" t="s">
        <v>296</v>
      </c>
      <c r="B260">
        <v>82</v>
      </c>
      <c r="C260" t="s">
        <v>18</v>
      </c>
      <c r="D260" t="s">
        <v>19</v>
      </c>
      <c r="E260">
        <v>19</v>
      </c>
      <c r="F260" t="s">
        <v>33</v>
      </c>
      <c r="G260" t="s">
        <v>37</v>
      </c>
      <c r="H260" s="1">
        <v>150.09</v>
      </c>
      <c r="I260" t="s">
        <v>24</v>
      </c>
      <c r="J260">
        <v>2</v>
      </c>
      <c r="K260">
        <v>1</v>
      </c>
    </row>
    <row r="261" spans="1:11" x14ac:dyDescent="0.35">
      <c r="A261" t="s">
        <v>297</v>
      </c>
      <c r="B261">
        <v>52</v>
      </c>
      <c r="C261" t="s">
        <v>18</v>
      </c>
      <c r="D261" t="s">
        <v>41</v>
      </c>
      <c r="E261">
        <v>12</v>
      </c>
      <c r="F261" t="s">
        <v>22</v>
      </c>
      <c r="G261" t="s">
        <v>23</v>
      </c>
      <c r="H261" s="1">
        <v>437.94</v>
      </c>
      <c r="I261" t="s">
        <v>24</v>
      </c>
      <c r="J261">
        <v>3</v>
      </c>
      <c r="K261">
        <v>5</v>
      </c>
    </row>
    <row r="262" spans="1:11" x14ac:dyDescent="0.35">
      <c r="A262" t="s">
        <v>298</v>
      </c>
      <c r="B262">
        <v>79</v>
      </c>
      <c r="C262" t="s">
        <v>18</v>
      </c>
      <c r="D262" t="s">
        <v>41</v>
      </c>
      <c r="E262">
        <v>14</v>
      </c>
      <c r="F262" t="s">
        <v>26</v>
      </c>
      <c r="G262" t="s">
        <v>15</v>
      </c>
      <c r="H262" s="1">
        <v>352.16</v>
      </c>
      <c r="I262" t="s">
        <v>28</v>
      </c>
      <c r="J262">
        <v>0</v>
      </c>
      <c r="K262">
        <v>5</v>
      </c>
    </row>
    <row r="263" spans="1:11" x14ac:dyDescent="0.35">
      <c r="A263" t="s">
        <v>299</v>
      </c>
      <c r="B263">
        <v>53</v>
      </c>
      <c r="C263" t="s">
        <v>12</v>
      </c>
      <c r="D263" t="s">
        <v>13</v>
      </c>
      <c r="E263">
        <v>9</v>
      </c>
      <c r="F263" t="s">
        <v>14</v>
      </c>
      <c r="G263" t="s">
        <v>23</v>
      </c>
      <c r="H263" s="1">
        <v>0</v>
      </c>
      <c r="I263" t="s">
        <v>16</v>
      </c>
      <c r="J263">
        <v>2</v>
      </c>
      <c r="K263">
        <v>6</v>
      </c>
    </row>
    <row r="264" spans="1:11" x14ac:dyDescent="0.35">
      <c r="A264" t="s">
        <v>300</v>
      </c>
      <c r="B264">
        <v>40</v>
      </c>
      <c r="C264" t="s">
        <v>12</v>
      </c>
      <c r="D264" t="s">
        <v>19</v>
      </c>
      <c r="E264">
        <v>8</v>
      </c>
      <c r="F264" t="s">
        <v>22</v>
      </c>
      <c r="G264" t="s">
        <v>34</v>
      </c>
      <c r="H264" s="1">
        <v>209.87</v>
      </c>
      <c r="I264" t="s">
        <v>24</v>
      </c>
      <c r="J264">
        <v>2</v>
      </c>
      <c r="K264">
        <v>8</v>
      </c>
    </row>
    <row r="265" spans="1:11" x14ac:dyDescent="0.35">
      <c r="A265" t="s">
        <v>301</v>
      </c>
      <c r="B265">
        <v>35</v>
      </c>
      <c r="C265" t="s">
        <v>12</v>
      </c>
      <c r="D265" t="s">
        <v>19</v>
      </c>
      <c r="E265">
        <v>18</v>
      </c>
      <c r="F265" t="s">
        <v>22</v>
      </c>
      <c r="G265" t="s">
        <v>37</v>
      </c>
      <c r="H265" s="1">
        <v>202.31</v>
      </c>
      <c r="I265" t="s">
        <v>24</v>
      </c>
      <c r="J265">
        <v>2</v>
      </c>
      <c r="K265">
        <v>5</v>
      </c>
    </row>
    <row r="266" spans="1:11" x14ac:dyDescent="0.35">
      <c r="A266" t="s">
        <v>302</v>
      </c>
      <c r="B266">
        <v>81</v>
      </c>
      <c r="C266" t="s">
        <v>12</v>
      </c>
      <c r="D266" t="s">
        <v>21</v>
      </c>
      <c r="E266">
        <v>22</v>
      </c>
      <c r="F266" t="s">
        <v>33</v>
      </c>
      <c r="G266" t="s">
        <v>23</v>
      </c>
      <c r="H266" s="1">
        <v>542.87</v>
      </c>
      <c r="I266" t="s">
        <v>28</v>
      </c>
      <c r="J266">
        <v>1</v>
      </c>
      <c r="K266">
        <v>1</v>
      </c>
    </row>
    <row r="267" spans="1:11" x14ac:dyDescent="0.35">
      <c r="A267" t="s">
        <v>303</v>
      </c>
      <c r="B267">
        <v>29</v>
      </c>
      <c r="C267" t="s">
        <v>12</v>
      </c>
      <c r="D267" t="s">
        <v>21</v>
      </c>
      <c r="E267">
        <v>19</v>
      </c>
      <c r="F267" t="s">
        <v>22</v>
      </c>
      <c r="G267" t="s">
        <v>37</v>
      </c>
      <c r="H267" s="1">
        <v>93.78</v>
      </c>
      <c r="I267" t="s">
        <v>24</v>
      </c>
      <c r="J267">
        <v>1</v>
      </c>
      <c r="K267">
        <v>3</v>
      </c>
    </row>
    <row r="268" spans="1:11" x14ac:dyDescent="0.35">
      <c r="A268" t="s">
        <v>304</v>
      </c>
      <c r="B268">
        <v>25</v>
      </c>
      <c r="C268" t="s">
        <v>18</v>
      </c>
      <c r="D268" t="s">
        <v>19</v>
      </c>
      <c r="E268">
        <v>6</v>
      </c>
      <c r="F268" t="s">
        <v>14</v>
      </c>
      <c r="G268" t="s">
        <v>23</v>
      </c>
      <c r="H268" s="1">
        <v>0</v>
      </c>
      <c r="I268" t="s">
        <v>16</v>
      </c>
      <c r="J268">
        <v>1</v>
      </c>
      <c r="K268">
        <v>7</v>
      </c>
    </row>
    <row r="269" spans="1:11" x14ac:dyDescent="0.35">
      <c r="A269" t="s">
        <v>305</v>
      </c>
      <c r="B269">
        <v>50</v>
      </c>
      <c r="C269" t="s">
        <v>12</v>
      </c>
      <c r="D269" t="s">
        <v>19</v>
      </c>
      <c r="E269">
        <v>7</v>
      </c>
      <c r="F269" t="s">
        <v>14</v>
      </c>
      <c r="G269" t="s">
        <v>23</v>
      </c>
      <c r="H269" s="1">
        <v>0</v>
      </c>
      <c r="I269" t="s">
        <v>16</v>
      </c>
      <c r="J269">
        <v>0</v>
      </c>
      <c r="K269">
        <v>7</v>
      </c>
    </row>
    <row r="270" spans="1:11" x14ac:dyDescent="0.35">
      <c r="A270" t="s">
        <v>306</v>
      </c>
      <c r="B270">
        <v>62</v>
      </c>
      <c r="C270" t="s">
        <v>12</v>
      </c>
      <c r="D270" t="s">
        <v>57</v>
      </c>
      <c r="E270">
        <v>21</v>
      </c>
      <c r="F270" t="s">
        <v>22</v>
      </c>
      <c r="G270" t="s">
        <v>15</v>
      </c>
      <c r="H270" s="1">
        <v>95.79</v>
      </c>
      <c r="I270" t="s">
        <v>24</v>
      </c>
      <c r="J270">
        <v>2</v>
      </c>
      <c r="K270">
        <v>2</v>
      </c>
    </row>
    <row r="271" spans="1:11" x14ac:dyDescent="0.35">
      <c r="A271" t="s">
        <v>307</v>
      </c>
      <c r="B271">
        <v>40</v>
      </c>
      <c r="C271" t="s">
        <v>12</v>
      </c>
      <c r="D271" t="s">
        <v>19</v>
      </c>
      <c r="E271">
        <v>12</v>
      </c>
      <c r="F271" t="s">
        <v>33</v>
      </c>
      <c r="G271" t="s">
        <v>37</v>
      </c>
      <c r="H271" s="1">
        <v>115.59</v>
      </c>
      <c r="I271" t="s">
        <v>43</v>
      </c>
      <c r="J271">
        <v>3</v>
      </c>
      <c r="K271">
        <v>6</v>
      </c>
    </row>
    <row r="272" spans="1:11" x14ac:dyDescent="0.35">
      <c r="A272" t="s">
        <v>308</v>
      </c>
      <c r="B272">
        <v>37</v>
      </c>
      <c r="C272" t="s">
        <v>18</v>
      </c>
      <c r="D272" t="s">
        <v>21</v>
      </c>
      <c r="E272">
        <v>34</v>
      </c>
      <c r="F272" t="s">
        <v>26</v>
      </c>
      <c r="G272" t="s">
        <v>34</v>
      </c>
      <c r="H272" s="1">
        <v>210.82</v>
      </c>
      <c r="I272" t="s">
        <v>24</v>
      </c>
      <c r="J272">
        <v>2</v>
      </c>
      <c r="K272">
        <v>3</v>
      </c>
    </row>
    <row r="273" spans="1:11" x14ac:dyDescent="0.35">
      <c r="A273" t="s">
        <v>309</v>
      </c>
      <c r="B273">
        <v>69</v>
      </c>
      <c r="C273" t="s">
        <v>12</v>
      </c>
      <c r="D273" t="s">
        <v>21</v>
      </c>
      <c r="E273">
        <v>24</v>
      </c>
      <c r="F273" t="s">
        <v>26</v>
      </c>
      <c r="G273" t="s">
        <v>27</v>
      </c>
      <c r="H273" s="1">
        <v>88.47</v>
      </c>
      <c r="I273" t="s">
        <v>24</v>
      </c>
      <c r="J273">
        <v>2</v>
      </c>
      <c r="K273">
        <v>2</v>
      </c>
    </row>
    <row r="274" spans="1:11" x14ac:dyDescent="0.35">
      <c r="A274" t="s">
        <v>310</v>
      </c>
      <c r="B274">
        <v>85</v>
      </c>
      <c r="C274" t="s">
        <v>12</v>
      </c>
      <c r="D274" t="s">
        <v>13</v>
      </c>
      <c r="E274">
        <v>24</v>
      </c>
      <c r="F274" t="s">
        <v>31</v>
      </c>
      <c r="G274" t="s">
        <v>15</v>
      </c>
      <c r="H274" s="1">
        <v>329.29</v>
      </c>
      <c r="I274" t="s">
        <v>24</v>
      </c>
      <c r="J274">
        <v>3</v>
      </c>
      <c r="K274">
        <v>4</v>
      </c>
    </row>
    <row r="275" spans="1:11" x14ac:dyDescent="0.35">
      <c r="A275" t="s">
        <v>311</v>
      </c>
      <c r="B275">
        <v>47</v>
      </c>
      <c r="C275" t="s">
        <v>18</v>
      </c>
      <c r="D275" t="s">
        <v>19</v>
      </c>
      <c r="E275">
        <v>17</v>
      </c>
      <c r="F275" t="s">
        <v>14</v>
      </c>
      <c r="G275" t="s">
        <v>23</v>
      </c>
      <c r="H275" s="1">
        <v>0</v>
      </c>
      <c r="I275" t="s">
        <v>16</v>
      </c>
      <c r="J275">
        <v>1</v>
      </c>
      <c r="K275">
        <v>7</v>
      </c>
    </row>
    <row r="276" spans="1:11" x14ac:dyDescent="0.35">
      <c r="A276" t="s">
        <v>312</v>
      </c>
      <c r="B276">
        <v>18</v>
      </c>
      <c r="C276" t="s">
        <v>18</v>
      </c>
      <c r="D276" t="s">
        <v>30</v>
      </c>
      <c r="E276">
        <v>4</v>
      </c>
      <c r="F276" t="s">
        <v>33</v>
      </c>
      <c r="G276" t="s">
        <v>23</v>
      </c>
      <c r="H276" s="1">
        <v>549.65</v>
      </c>
      <c r="I276" t="s">
        <v>43</v>
      </c>
      <c r="J276">
        <v>0</v>
      </c>
      <c r="K276">
        <v>9</v>
      </c>
    </row>
    <row r="277" spans="1:11" x14ac:dyDescent="0.35">
      <c r="A277" t="s">
        <v>313</v>
      </c>
      <c r="B277">
        <v>26</v>
      </c>
      <c r="C277" t="s">
        <v>12</v>
      </c>
      <c r="D277" t="s">
        <v>244</v>
      </c>
      <c r="E277">
        <v>22</v>
      </c>
      <c r="F277" t="s">
        <v>22</v>
      </c>
      <c r="G277" t="s">
        <v>37</v>
      </c>
      <c r="H277" s="1">
        <v>134.83000000000001</v>
      </c>
      <c r="I277" t="s">
        <v>24</v>
      </c>
      <c r="J277">
        <v>3</v>
      </c>
      <c r="K277">
        <v>3</v>
      </c>
    </row>
    <row r="278" spans="1:11" x14ac:dyDescent="0.35">
      <c r="A278" t="s">
        <v>314</v>
      </c>
      <c r="B278">
        <v>83</v>
      </c>
      <c r="C278" t="s">
        <v>12</v>
      </c>
      <c r="D278" t="s">
        <v>47</v>
      </c>
      <c r="E278">
        <v>13</v>
      </c>
      <c r="F278" t="s">
        <v>31</v>
      </c>
      <c r="G278" t="s">
        <v>15</v>
      </c>
      <c r="H278" s="1">
        <v>350.52</v>
      </c>
      <c r="I278" t="s">
        <v>43</v>
      </c>
      <c r="J278">
        <v>0</v>
      </c>
      <c r="K278">
        <v>6</v>
      </c>
    </row>
    <row r="279" spans="1:11" x14ac:dyDescent="0.35">
      <c r="A279" t="s">
        <v>315</v>
      </c>
      <c r="B279">
        <v>33</v>
      </c>
      <c r="C279" t="s">
        <v>12</v>
      </c>
      <c r="D279" t="s">
        <v>19</v>
      </c>
      <c r="E279">
        <v>17</v>
      </c>
      <c r="F279" t="s">
        <v>33</v>
      </c>
      <c r="G279" t="s">
        <v>37</v>
      </c>
      <c r="H279" s="1">
        <v>195.2</v>
      </c>
      <c r="I279" t="s">
        <v>24</v>
      </c>
      <c r="J279">
        <v>0</v>
      </c>
      <c r="K279">
        <v>6</v>
      </c>
    </row>
    <row r="280" spans="1:11" x14ac:dyDescent="0.35">
      <c r="A280" t="s">
        <v>316</v>
      </c>
      <c r="B280">
        <v>85</v>
      </c>
      <c r="C280" t="s">
        <v>18</v>
      </c>
      <c r="D280" t="s">
        <v>30</v>
      </c>
      <c r="E280">
        <v>6</v>
      </c>
      <c r="F280" t="s">
        <v>14</v>
      </c>
      <c r="G280" t="s">
        <v>37</v>
      </c>
      <c r="H280" s="1">
        <v>0</v>
      </c>
      <c r="I280" t="s">
        <v>16</v>
      </c>
      <c r="J280">
        <v>1</v>
      </c>
      <c r="K280">
        <v>8</v>
      </c>
    </row>
    <row r="281" spans="1:11" x14ac:dyDescent="0.35">
      <c r="A281" t="s">
        <v>317</v>
      </c>
      <c r="B281">
        <v>42</v>
      </c>
      <c r="C281" t="s">
        <v>12</v>
      </c>
      <c r="D281" t="s">
        <v>13</v>
      </c>
      <c r="E281">
        <v>19</v>
      </c>
      <c r="F281" t="s">
        <v>31</v>
      </c>
      <c r="G281" t="s">
        <v>37</v>
      </c>
      <c r="H281" s="1">
        <v>181.1</v>
      </c>
      <c r="I281" t="s">
        <v>24</v>
      </c>
      <c r="J281">
        <v>3</v>
      </c>
      <c r="K281">
        <v>5</v>
      </c>
    </row>
    <row r="282" spans="1:11" x14ac:dyDescent="0.35">
      <c r="A282" t="s">
        <v>318</v>
      </c>
      <c r="B282">
        <v>77</v>
      </c>
      <c r="C282" t="s">
        <v>12</v>
      </c>
      <c r="D282" t="s">
        <v>19</v>
      </c>
      <c r="E282">
        <v>23</v>
      </c>
      <c r="F282" t="s">
        <v>33</v>
      </c>
      <c r="G282" t="s">
        <v>15</v>
      </c>
      <c r="H282" s="1">
        <v>93.3</v>
      </c>
      <c r="I282" t="s">
        <v>24</v>
      </c>
      <c r="J282">
        <v>3</v>
      </c>
      <c r="K282">
        <v>1</v>
      </c>
    </row>
    <row r="283" spans="1:11" x14ac:dyDescent="0.35">
      <c r="A283" t="s">
        <v>319</v>
      </c>
      <c r="B283">
        <v>29</v>
      </c>
      <c r="C283" t="s">
        <v>18</v>
      </c>
      <c r="D283" t="s">
        <v>13</v>
      </c>
      <c r="E283">
        <v>15</v>
      </c>
      <c r="F283" t="s">
        <v>26</v>
      </c>
      <c r="G283" t="s">
        <v>23</v>
      </c>
      <c r="H283" s="1">
        <v>82.39</v>
      </c>
      <c r="I283" t="s">
        <v>24</v>
      </c>
      <c r="J283">
        <v>3</v>
      </c>
      <c r="K283">
        <v>8</v>
      </c>
    </row>
    <row r="284" spans="1:11" x14ac:dyDescent="0.35">
      <c r="A284" t="s">
        <v>320</v>
      </c>
      <c r="B284">
        <v>24</v>
      </c>
      <c r="C284" t="s">
        <v>12</v>
      </c>
      <c r="D284" t="s">
        <v>13</v>
      </c>
      <c r="E284">
        <v>24</v>
      </c>
      <c r="F284" t="s">
        <v>33</v>
      </c>
      <c r="G284" t="s">
        <v>34</v>
      </c>
      <c r="H284" s="1">
        <v>103.01</v>
      </c>
      <c r="I284" t="s">
        <v>24</v>
      </c>
      <c r="J284">
        <v>2</v>
      </c>
      <c r="K284">
        <v>2</v>
      </c>
    </row>
    <row r="285" spans="1:11" x14ac:dyDescent="0.35">
      <c r="A285" t="s">
        <v>321</v>
      </c>
      <c r="B285">
        <v>28</v>
      </c>
      <c r="C285" t="s">
        <v>12</v>
      </c>
      <c r="D285" t="s">
        <v>21</v>
      </c>
      <c r="E285">
        <v>17</v>
      </c>
      <c r="F285" t="s">
        <v>31</v>
      </c>
      <c r="G285" t="s">
        <v>37</v>
      </c>
      <c r="H285" s="1">
        <v>96.78</v>
      </c>
      <c r="I285" t="s">
        <v>24</v>
      </c>
      <c r="J285">
        <v>2</v>
      </c>
      <c r="K285">
        <v>5</v>
      </c>
    </row>
    <row r="286" spans="1:11" x14ac:dyDescent="0.35">
      <c r="A286" t="s">
        <v>322</v>
      </c>
      <c r="B286">
        <v>34</v>
      </c>
      <c r="C286" t="s">
        <v>18</v>
      </c>
      <c r="D286" t="s">
        <v>21</v>
      </c>
      <c r="E286">
        <v>13</v>
      </c>
      <c r="F286" t="s">
        <v>26</v>
      </c>
      <c r="G286" t="s">
        <v>37</v>
      </c>
      <c r="H286" s="1">
        <v>147.68</v>
      </c>
      <c r="I286" t="s">
        <v>43</v>
      </c>
      <c r="J286">
        <v>1</v>
      </c>
      <c r="K286">
        <v>4</v>
      </c>
    </row>
    <row r="287" spans="1:11" x14ac:dyDescent="0.35">
      <c r="A287" t="s">
        <v>323</v>
      </c>
      <c r="B287">
        <v>71</v>
      </c>
      <c r="C287" t="s">
        <v>12</v>
      </c>
      <c r="D287" t="s">
        <v>13</v>
      </c>
      <c r="E287">
        <v>20</v>
      </c>
      <c r="F287" t="s">
        <v>33</v>
      </c>
      <c r="G287" t="s">
        <v>37</v>
      </c>
      <c r="H287" s="1">
        <v>162.88</v>
      </c>
      <c r="I287" t="s">
        <v>24</v>
      </c>
      <c r="J287">
        <v>1</v>
      </c>
      <c r="K287">
        <v>1</v>
      </c>
    </row>
    <row r="288" spans="1:11" x14ac:dyDescent="0.35">
      <c r="A288" t="s">
        <v>324</v>
      </c>
      <c r="B288">
        <v>75</v>
      </c>
      <c r="C288" t="s">
        <v>18</v>
      </c>
      <c r="D288" t="s">
        <v>19</v>
      </c>
      <c r="E288">
        <v>11</v>
      </c>
      <c r="F288" t="s">
        <v>31</v>
      </c>
      <c r="G288" t="s">
        <v>27</v>
      </c>
      <c r="H288" s="1">
        <v>168.43</v>
      </c>
      <c r="I288" t="s">
        <v>24</v>
      </c>
      <c r="J288">
        <v>0</v>
      </c>
      <c r="K288">
        <v>7</v>
      </c>
    </row>
    <row r="289" spans="1:11" x14ac:dyDescent="0.35">
      <c r="A289" t="s">
        <v>325</v>
      </c>
      <c r="B289">
        <v>82</v>
      </c>
      <c r="C289" t="s">
        <v>18</v>
      </c>
      <c r="D289" t="s">
        <v>21</v>
      </c>
      <c r="E289">
        <v>21</v>
      </c>
      <c r="F289" t="s">
        <v>22</v>
      </c>
      <c r="G289" t="s">
        <v>15</v>
      </c>
      <c r="H289" s="1">
        <v>230.9</v>
      </c>
      <c r="I289" t="s">
        <v>24</v>
      </c>
      <c r="J289">
        <v>3</v>
      </c>
      <c r="K289">
        <v>1</v>
      </c>
    </row>
    <row r="290" spans="1:11" x14ac:dyDescent="0.35">
      <c r="A290" t="s">
        <v>326</v>
      </c>
      <c r="B290">
        <v>43</v>
      </c>
      <c r="C290" t="s">
        <v>12</v>
      </c>
      <c r="D290" t="s">
        <v>57</v>
      </c>
      <c r="E290">
        <v>47</v>
      </c>
      <c r="F290" t="s">
        <v>31</v>
      </c>
      <c r="G290" t="s">
        <v>37</v>
      </c>
      <c r="H290" s="1">
        <v>98.35</v>
      </c>
      <c r="I290" t="s">
        <v>24</v>
      </c>
      <c r="J290">
        <v>2</v>
      </c>
      <c r="K290">
        <v>4</v>
      </c>
    </row>
    <row r="291" spans="1:11" x14ac:dyDescent="0.35">
      <c r="A291" t="s">
        <v>327</v>
      </c>
      <c r="B291">
        <v>28</v>
      </c>
      <c r="C291" t="s">
        <v>12</v>
      </c>
      <c r="D291" t="s">
        <v>200</v>
      </c>
      <c r="E291">
        <v>19</v>
      </c>
      <c r="F291" t="s">
        <v>14</v>
      </c>
      <c r="G291" t="s">
        <v>23</v>
      </c>
      <c r="H291" s="1">
        <v>0</v>
      </c>
      <c r="I291" t="s">
        <v>16</v>
      </c>
      <c r="J291">
        <v>4</v>
      </c>
      <c r="K291">
        <v>3</v>
      </c>
    </row>
    <row r="292" spans="1:11" x14ac:dyDescent="0.35">
      <c r="A292" t="s">
        <v>328</v>
      </c>
      <c r="B292">
        <v>81</v>
      </c>
      <c r="C292" t="s">
        <v>18</v>
      </c>
      <c r="D292" t="s">
        <v>19</v>
      </c>
      <c r="E292">
        <v>10</v>
      </c>
      <c r="F292" t="s">
        <v>22</v>
      </c>
      <c r="G292" t="s">
        <v>23</v>
      </c>
      <c r="H292" s="1">
        <v>417.42</v>
      </c>
      <c r="I292" t="s">
        <v>24</v>
      </c>
      <c r="J292">
        <v>0</v>
      </c>
      <c r="K292">
        <v>5</v>
      </c>
    </row>
    <row r="293" spans="1:11" x14ac:dyDescent="0.35">
      <c r="A293" t="s">
        <v>329</v>
      </c>
      <c r="B293">
        <v>25</v>
      </c>
      <c r="C293" t="s">
        <v>18</v>
      </c>
      <c r="D293" t="s">
        <v>41</v>
      </c>
      <c r="E293">
        <v>5</v>
      </c>
      <c r="F293" t="s">
        <v>26</v>
      </c>
      <c r="G293" t="s">
        <v>34</v>
      </c>
      <c r="H293" s="1">
        <v>190.98</v>
      </c>
      <c r="I293" t="s">
        <v>24</v>
      </c>
      <c r="J293">
        <v>0</v>
      </c>
      <c r="K293">
        <v>10</v>
      </c>
    </row>
    <row r="294" spans="1:11" x14ac:dyDescent="0.35">
      <c r="A294" t="s">
        <v>330</v>
      </c>
      <c r="B294">
        <v>51</v>
      </c>
      <c r="C294" t="s">
        <v>12</v>
      </c>
      <c r="D294" t="s">
        <v>19</v>
      </c>
      <c r="E294">
        <v>14</v>
      </c>
      <c r="F294" t="s">
        <v>22</v>
      </c>
      <c r="G294" t="s">
        <v>34</v>
      </c>
      <c r="H294" s="1">
        <v>154.26</v>
      </c>
      <c r="I294" t="s">
        <v>24</v>
      </c>
      <c r="J294">
        <v>1</v>
      </c>
      <c r="K294">
        <v>5</v>
      </c>
    </row>
    <row r="295" spans="1:11" x14ac:dyDescent="0.35">
      <c r="A295" t="s">
        <v>331</v>
      </c>
      <c r="B295">
        <v>23</v>
      </c>
      <c r="C295" t="s">
        <v>18</v>
      </c>
      <c r="D295" t="s">
        <v>21</v>
      </c>
      <c r="E295">
        <v>29</v>
      </c>
      <c r="F295" t="s">
        <v>33</v>
      </c>
      <c r="G295" t="s">
        <v>23</v>
      </c>
      <c r="H295" s="1">
        <v>449.14</v>
      </c>
      <c r="I295" t="s">
        <v>24</v>
      </c>
      <c r="J295">
        <v>1</v>
      </c>
      <c r="K295">
        <v>2</v>
      </c>
    </row>
    <row r="296" spans="1:11" x14ac:dyDescent="0.35">
      <c r="A296" t="s">
        <v>332</v>
      </c>
      <c r="B296">
        <v>64</v>
      </c>
      <c r="C296" t="s">
        <v>18</v>
      </c>
      <c r="D296" t="s">
        <v>19</v>
      </c>
      <c r="E296">
        <v>20</v>
      </c>
      <c r="F296" t="s">
        <v>22</v>
      </c>
      <c r="G296" t="s">
        <v>23</v>
      </c>
      <c r="H296" s="1">
        <v>529.04</v>
      </c>
      <c r="I296" t="s">
        <v>24</v>
      </c>
      <c r="J296">
        <v>1</v>
      </c>
      <c r="K296">
        <v>3</v>
      </c>
    </row>
    <row r="297" spans="1:11" x14ac:dyDescent="0.35">
      <c r="A297" t="s">
        <v>333</v>
      </c>
      <c r="B297">
        <v>53</v>
      </c>
      <c r="C297" t="s">
        <v>18</v>
      </c>
      <c r="D297" t="s">
        <v>41</v>
      </c>
      <c r="E297">
        <v>13</v>
      </c>
      <c r="F297" t="s">
        <v>26</v>
      </c>
      <c r="G297" t="s">
        <v>27</v>
      </c>
      <c r="H297" s="1">
        <v>148.68</v>
      </c>
      <c r="I297" t="s">
        <v>43</v>
      </c>
      <c r="J297">
        <v>3</v>
      </c>
      <c r="K297">
        <v>5</v>
      </c>
    </row>
    <row r="298" spans="1:11" x14ac:dyDescent="0.35">
      <c r="A298" t="s">
        <v>334</v>
      </c>
      <c r="B298">
        <v>59</v>
      </c>
      <c r="C298" t="s">
        <v>12</v>
      </c>
      <c r="D298" t="s">
        <v>19</v>
      </c>
      <c r="E298">
        <v>6</v>
      </c>
      <c r="F298" t="s">
        <v>33</v>
      </c>
      <c r="G298" t="s">
        <v>23</v>
      </c>
      <c r="H298" s="1">
        <v>421.29</v>
      </c>
      <c r="I298" t="s">
        <v>28</v>
      </c>
      <c r="J298">
        <v>2</v>
      </c>
      <c r="K298">
        <v>10</v>
      </c>
    </row>
    <row r="299" spans="1:11" x14ac:dyDescent="0.35">
      <c r="A299" t="s">
        <v>335</v>
      </c>
      <c r="B299">
        <v>67</v>
      </c>
      <c r="C299" t="s">
        <v>18</v>
      </c>
      <c r="D299" t="s">
        <v>19</v>
      </c>
      <c r="E299">
        <v>15</v>
      </c>
      <c r="F299" t="s">
        <v>31</v>
      </c>
      <c r="G299" t="s">
        <v>37</v>
      </c>
      <c r="H299" s="1">
        <v>191.52</v>
      </c>
      <c r="I299" t="s">
        <v>24</v>
      </c>
      <c r="J299">
        <v>0</v>
      </c>
      <c r="K299">
        <v>4</v>
      </c>
    </row>
    <row r="300" spans="1:11" x14ac:dyDescent="0.35">
      <c r="A300" t="s">
        <v>336</v>
      </c>
      <c r="B300">
        <v>69</v>
      </c>
      <c r="C300" t="s">
        <v>18</v>
      </c>
      <c r="D300" t="s">
        <v>13</v>
      </c>
      <c r="E300">
        <v>13</v>
      </c>
      <c r="F300" t="s">
        <v>22</v>
      </c>
      <c r="G300" t="s">
        <v>37</v>
      </c>
      <c r="H300" s="1">
        <v>201.39</v>
      </c>
      <c r="I300" t="s">
        <v>24</v>
      </c>
      <c r="J300">
        <v>1</v>
      </c>
      <c r="K300">
        <v>7</v>
      </c>
    </row>
    <row r="301" spans="1:11" x14ac:dyDescent="0.35">
      <c r="A301" t="s">
        <v>337</v>
      </c>
      <c r="B301">
        <v>25</v>
      </c>
      <c r="C301" t="s">
        <v>18</v>
      </c>
      <c r="D301" t="s">
        <v>19</v>
      </c>
      <c r="E301">
        <v>17</v>
      </c>
      <c r="F301" t="s">
        <v>22</v>
      </c>
      <c r="G301" t="s">
        <v>27</v>
      </c>
      <c r="H301" s="1">
        <v>26.8</v>
      </c>
      <c r="I301" t="s">
        <v>24</v>
      </c>
      <c r="J301">
        <v>3</v>
      </c>
      <c r="K301">
        <v>8</v>
      </c>
    </row>
    <row r="302" spans="1:11" x14ac:dyDescent="0.35">
      <c r="A302" t="s">
        <v>338</v>
      </c>
      <c r="B302">
        <v>41</v>
      </c>
      <c r="C302" t="s">
        <v>18</v>
      </c>
      <c r="D302" t="s">
        <v>21</v>
      </c>
      <c r="E302">
        <v>31</v>
      </c>
      <c r="F302" t="s">
        <v>22</v>
      </c>
      <c r="G302" t="s">
        <v>27</v>
      </c>
      <c r="H302" s="1">
        <v>147.43</v>
      </c>
      <c r="I302" t="s">
        <v>24</v>
      </c>
      <c r="J302">
        <v>1</v>
      </c>
      <c r="K302">
        <v>2</v>
      </c>
    </row>
    <row r="303" spans="1:11" x14ac:dyDescent="0.35">
      <c r="A303" t="s">
        <v>339</v>
      </c>
      <c r="B303">
        <v>69</v>
      </c>
      <c r="C303" t="s">
        <v>18</v>
      </c>
      <c r="D303" t="s">
        <v>13</v>
      </c>
      <c r="E303">
        <v>22</v>
      </c>
      <c r="F303" t="s">
        <v>22</v>
      </c>
      <c r="G303" t="s">
        <v>23</v>
      </c>
      <c r="H303" s="1">
        <v>143.38999999999999</v>
      </c>
      <c r="I303" t="s">
        <v>24</v>
      </c>
      <c r="J303">
        <v>0</v>
      </c>
      <c r="K303">
        <v>2</v>
      </c>
    </row>
    <row r="304" spans="1:11" x14ac:dyDescent="0.35">
      <c r="A304" t="s">
        <v>340</v>
      </c>
      <c r="B304">
        <v>61</v>
      </c>
      <c r="C304" t="s">
        <v>18</v>
      </c>
      <c r="D304" t="s">
        <v>19</v>
      </c>
      <c r="E304">
        <v>19</v>
      </c>
      <c r="F304" t="s">
        <v>33</v>
      </c>
      <c r="G304" t="s">
        <v>15</v>
      </c>
      <c r="H304" s="1">
        <v>424.52</v>
      </c>
      <c r="I304" t="s">
        <v>28</v>
      </c>
      <c r="J304">
        <v>2</v>
      </c>
      <c r="K304">
        <v>3</v>
      </c>
    </row>
    <row r="305" spans="1:11" x14ac:dyDescent="0.35">
      <c r="A305" t="s">
        <v>341</v>
      </c>
      <c r="B305">
        <v>42</v>
      </c>
      <c r="C305" t="s">
        <v>18</v>
      </c>
      <c r="D305" t="s">
        <v>13</v>
      </c>
      <c r="E305">
        <v>13</v>
      </c>
      <c r="F305" t="s">
        <v>22</v>
      </c>
      <c r="G305" t="s">
        <v>27</v>
      </c>
      <c r="H305" s="1">
        <v>89.57</v>
      </c>
      <c r="I305" t="s">
        <v>24</v>
      </c>
      <c r="J305">
        <v>2</v>
      </c>
      <c r="K305">
        <v>8</v>
      </c>
    </row>
    <row r="306" spans="1:11" x14ac:dyDescent="0.35">
      <c r="A306" t="s">
        <v>342</v>
      </c>
      <c r="B306">
        <v>49</v>
      </c>
      <c r="C306" t="s">
        <v>12</v>
      </c>
      <c r="D306" t="s">
        <v>120</v>
      </c>
      <c r="E306">
        <v>48</v>
      </c>
      <c r="F306" t="s">
        <v>22</v>
      </c>
      <c r="G306" t="s">
        <v>34</v>
      </c>
      <c r="H306" s="1">
        <v>217.54</v>
      </c>
      <c r="I306" t="s">
        <v>24</v>
      </c>
      <c r="J306">
        <v>3</v>
      </c>
      <c r="K306">
        <v>1</v>
      </c>
    </row>
    <row r="307" spans="1:11" x14ac:dyDescent="0.35">
      <c r="A307" t="s">
        <v>343</v>
      </c>
      <c r="B307">
        <v>68</v>
      </c>
      <c r="C307" t="s">
        <v>18</v>
      </c>
      <c r="D307" t="s">
        <v>47</v>
      </c>
      <c r="E307">
        <v>4</v>
      </c>
      <c r="F307" t="s">
        <v>26</v>
      </c>
      <c r="G307" t="s">
        <v>34</v>
      </c>
      <c r="H307" s="1">
        <v>205.05</v>
      </c>
      <c r="I307" t="s">
        <v>28</v>
      </c>
      <c r="J307">
        <v>0</v>
      </c>
      <c r="K307">
        <v>8</v>
      </c>
    </row>
    <row r="308" spans="1:11" x14ac:dyDescent="0.35">
      <c r="A308" t="s">
        <v>344</v>
      </c>
      <c r="B308">
        <v>41</v>
      </c>
      <c r="C308" t="s">
        <v>18</v>
      </c>
      <c r="D308" t="s">
        <v>19</v>
      </c>
      <c r="E308">
        <v>16</v>
      </c>
      <c r="F308" t="s">
        <v>33</v>
      </c>
      <c r="G308" t="s">
        <v>23</v>
      </c>
      <c r="H308" s="1">
        <v>136.77000000000001</v>
      </c>
      <c r="I308" t="s">
        <v>24</v>
      </c>
      <c r="J308">
        <v>2</v>
      </c>
      <c r="K308">
        <v>6</v>
      </c>
    </row>
    <row r="309" spans="1:11" x14ac:dyDescent="0.35">
      <c r="A309" t="s">
        <v>345</v>
      </c>
      <c r="B309">
        <v>30</v>
      </c>
      <c r="C309" t="s">
        <v>12</v>
      </c>
      <c r="D309" t="s">
        <v>13</v>
      </c>
      <c r="E309">
        <v>14</v>
      </c>
      <c r="F309" t="s">
        <v>14</v>
      </c>
      <c r="G309" t="s">
        <v>27</v>
      </c>
      <c r="H309" s="1">
        <v>0</v>
      </c>
      <c r="I309" t="s">
        <v>16</v>
      </c>
      <c r="J309">
        <v>0</v>
      </c>
      <c r="K309">
        <v>8</v>
      </c>
    </row>
    <row r="310" spans="1:11" x14ac:dyDescent="0.35">
      <c r="A310" t="s">
        <v>346</v>
      </c>
      <c r="B310">
        <v>30</v>
      </c>
      <c r="C310" t="s">
        <v>12</v>
      </c>
      <c r="D310" t="s">
        <v>19</v>
      </c>
      <c r="E310">
        <v>16</v>
      </c>
      <c r="F310" t="s">
        <v>33</v>
      </c>
      <c r="G310" t="s">
        <v>37</v>
      </c>
      <c r="H310" s="1">
        <v>110.67</v>
      </c>
      <c r="I310" t="s">
        <v>24</v>
      </c>
      <c r="J310">
        <v>2</v>
      </c>
      <c r="K310">
        <v>7</v>
      </c>
    </row>
    <row r="311" spans="1:11" x14ac:dyDescent="0.35">
      <c r="A311" t="s">
        <v>347</v>
      </c>
      <c r="B311">
        <v>44</v>
      </c>
      <c r="C311" t="s">
        <v>18</v>
      </c>
      <c r="D311" t="s">
        <v>19</v>
      </c>
      <c r="E311">
        <v>15</v>
      </c>
      <c r="F311" t="s">
        <v>31</v>
      </c>
      <c r="G311" t="s">
        <v>15</v>
      </c>
      <c r="H311" s="1">
        <v>176.13</v>
      </c>
      <c r="I311" t="s">
        <v>24</v>
      </c>
      <c r="J311">
        <v>1</v>
      </c>
      <c r="K311">
        <v>7</v>
      </c>
    </row>
    <row r="312" spans="1:11" x14ac:dyDescent="0.35">
      <c r="A312" t="s">
        <v>348</v>
      </c>
      <c r="B312">
        <v>69</v>
      </c>
      <c r="C312" t="s">
        <v>12</v>
      </c>
      <c r="D312" t="s">
        <v>30</v>
      </c>
      <c r="E312">
        <v>7</v>
      </c>
      <c r="F312" t="s">
        <v>31</v>
      </c>
      <c r="G312" t="s">
        <v>23</v>
      </c>
      <c r="H312" s="1">
        <v>551.65</v>
      </c>
      <c r="I312" t="s">
        <v>24</v>
      </c>
      <c r="J312">
        <v>0</v>
      </c>
      <c r="K312">
        <v>10</v>
      </c>
    </row>
    <row r="313" spans="1:11" x14ac:dyDescent="0.35">
      <c r="A313" t="s">
        <v>349</v>
      </c>
      <c r="B313">
        <v>51</v>
      </c>
      <c r="C313" t="s">
        <v>12</v>
      </c>
      <c r="D313" t="s">
        <v>30</v>
      </c>
      <c r="E313">
        <v>2</v>
      </c>
      <c r="F313" t="s">
        <v>26</v>
      </c>
      <c r="G313" t="s">
        <v>15</v>
      </c>
      <c r="H313" s="1">
        <v>247.54</v>
      </c>
      <c r="I313" t="s">
        <v>24</v>
      </c>
      <c r="J313">
        <v>0</v>
      </c>
      <c r="K313">
        <v>7</v>
      </c>
    </row>
    <row r="314" spans="1:11" x14ac:dyDescent="0.35">
      <c r="A314" t="s">
        <v>350</v>
      </c>
      <c r="B314">
        <v>73</v>
      </c>
      <c r="C314" t="s">
        <v>18</v>
      </c>
      <c r="D314" t="s">
        <v>19</v>
      </c>
      <c r="E314">
        <v>7</v>
      </c>
      <c r="F314" t="s">
        <v>31</v>
      </c>
      <c r="G314" t="s">
        <v>15</v>
      </c>
      <c r="H314" s="1">
        <v>328.97</v>
      </c>
      <c r="I314" t="s">
        <v>28</v>
      </c>
      <c r="J314">
        <v>2</v>
      </c>
      <c r="K314">
        <v>10</v>
      </c>
    </row>
    <row r="315" spans="1:11" x14ac:dyDescent="0.35">
      <c r="A315" t="s">
        <v>351</v>
      </c>
      <c r="B315">
        <v>32</v>
      </c>
      <c r="C315" t="s">
        <v>12</v>
      </c>
      <c r="D315" t="s">
        <v>21</v>
      </c>
      <c r="E315">
        <v>16</v>
      </c>
      <c r="F315" t="s">
        <v>26</v>
      </c>
      <c r="G315" t="s">
        <v>23</v>
      </c>
      <c r="H315" s="1">
        <v>78.180000000000007</v>
      </c>
      <c r="I315" t="s">
        <v>24</v>
      </c>
      <c r="J315">
        <v>3</v>
      </c>
      <c r="K315">
        <v>6</v>
      </c>
    </row>
    <row r="316" spans="1:11" x14ac:dyDescent="0.35">
      <c r="A316" t="s">
        <v>352</v>
      </c>
      <c r="B316">
        <v>77</v>
      </c>
      <c r="C316" t="s">
        <v>18</v>
      </c>
      <c r="D316" t="s">
        <v>21</v>
      </c>
      <c r="E316">
        <v>47</v>
      </c>
      <c r="F316" t="s">
        <v>33</v>
      </c>
      <c r="G316" t="s">
        <v>37</v>
      </c>
      <c r="H316" s="1">
        <v>191</v>
      </c>
      <c r="I316" t="s">
        <v>24</v>
      </c>
      <c r="J316">
        <v>0</v>
      </c>
      <c r="K316">
        <v>5</v>
      </c>
    </row>
    <row r="317" spans="1:11" x14ac:dyDescent="0.35">
      <c r="A317" t="s">
        <v>353</v>
      </c>
      <c r="B317">
        <v>24</v>
      </c>
      <c r="C317" t="s">
        <v>12</v>
      </c>
      <c r="D317" t="s">
        <v>19</v>
      </c>
      <c r="E317">
        <v>24</v>
      </c>
      <c r="F317" t="s">
        <v>31</v>
      </c>
      <c r="G317" t="s">
        <v>15</v>
      </c>
      <c r="H317" s="1">
        <v>150.81</v>
      </c>
      <c r="I317" t="s">
        <v>24</v>
      </c>
      <c r="J317">
        <v>4</v>
      </c>
      <c r="K317">
        <v>1</v>
      </c>
    </row>
    <row r="318" spans="1:11" x14ac:dyDescent="0.35">
      <c r="A318" t="s">
        <v>354</v>
      </c>
      <c r="B318">
        <v>42</v>
      </c>
      <c r="C318" t="s">
        <v>18</v>
      </c>
      <c r="D318" t="s">
        <v>21</v>
      </c>
      <c r="E318">
        <v>27</v>
      </c>
      <c r="F318" t="s">
        <v>33</v>
      </c>
      <c r="G318" t="s">
        <v>27</v>
      </c>
      <c r="H318" s="1">
        <v>67.27</v>
      </c>
      <c r="I318" t="s">
        <v>28</v>
      </c>
      <c r="J318">
        <v>3</v>
      </c>
      <c r="K318">
        <v>2</v>
      </c>
    </row>
    <row r="319" spans="1:11" x14ac:dyDescent="0.35">
      <c r="A319" t="s">
        <v>355</v>
      </c>
      <c r="B319">
        <v>28</v>
      </c>
      <c r="C319" t="s">
        <v>12</v>
      </c>
      <c r="D319" t="s">
        <v>19</v>
      </c>
      <c r="E319">
        <v>14</v>
      </c>
      <c r="F319" t="s">
        <v>31</v>
      </c>
      <c r="G319" t="s">
        <v>23</v>
      </c>
      <c r="H319" s="1">
        <v>448.75</v>
      </c>
      <c r="I319" t="s">
        <v>24</v>
      </c>
      <c r="J319">
        <v>3</v>
      </c>
      <c r="K319">
        <v>8</v>
      </c>
    </row>
    <row r="320" spans="1:11" x14ac:dyDescent="0.35">
      <c r="A320" t="s">
        <v>356</v>
      </c>
      <c r="B320">
        <v>62</v>
      </c>
      <c r="C320" t="s">
        <v>12</v>
      </c>
      <c r="D320" t="s">
        <v>21</v>
      </c>
      <c r="E320">
        <v>25</v>
      </c>
      <c r="F320" t="s">
        <v>22</v>
      </c>
      <c r="G320" t="s">
        <v>34</v>
      </c>
      <c r="H320" s="1">
        <v>180.39</v>
      </c>
      <c r="I320" t="s">
        <v>24</v>
      </c>
      <c r="J320">
        <v>4</v>
      </c>
      <c r="K320">
        <v>1</v>
      </c>
    </row>
    <row r="321" spans="1:11" x14ac:dyDescent="0.35">
      <c r="A321" t="s">
        <v>357</v>
      </c>
      <c r="B321">
        <v>58</v>
      </c>
      <c r="C321" t="s">
        <v>12</v>
      </c>
      <c r="D321" t="s">
        <v>13</v>
      </c>
      <c r="E321">
        <v>10</v>
      </c>
      <c r="F321" t="s">
        <v>14</v>
      </c>
      <c r="G321" t="s">
        <v>23</v>
      </c>
      <c r="H321" s="1">
        <v>0</v>
      </c>
      <c r="I321" t="s">
        <v>16</v>
      </c>
      <c r="J321">
        <v>1</v>
      </c>
      <c r="K321">
        <v>5</v>
      </c>
    </row>
    <row r="322" spans="1:11" x14ac:dyDescent="0.35">
      <c r="A322" t="s">
        <v>358</v>
      </c>
      <c r="B322">
        <v>42</v>
      </c>
      <c r="C322" t="s">
        <v>18</v>
      </c>
      <c r="D322" t="s">
        <v>19</v>
      </c>
      <c r="E322">
        <v>24</v>
      </c>
      <c r="F322" t="s">
        <v>31</v>
      </c>
      <c r="G322" t="s">
        <v>23</v>
      </c>
      <c r="H322" s="1">
        <v>597.66999999999996</v>
      </c>
      <c r="I322" t="s">
        <v>24</v>
      </c>
      <c r="J322">
        <v>3</v>
      </c>
      <c r="K322">
        <v>4</v>
      </c>
    </row>
    <row r="323" spans="1:11" x14ac:dyDescent="0.35">
      <c r="A323" t="s">
        <v>359</v>
      </c>
      <c r="B323">
        <v>68</v>
      </c>
      <c r="C323" t="s">
        <v>18</v>
      </c>
      <c r="D323" t="s">
        <v>19</v>
      </c>
      <c r="E323">
        <v>18</v>
      </c>
      <c r="F323" t="s">
        <v>33</v>
      </c>
      <c r="G323" t="s">
        <v>37</v>
      </c>
      <c r="H323" s="1">
        <v>179.14</v>
      </c>
      <c r="I323" t="s">
        <v>43</v>
      </c>
      <c r="J323">
        <v>0</v>
      </c>
      <c r="K323">
        <v>5</v>
      </c>
    </row>
    <row r="324" spans="1:11" x14ac:dyDescent="0.35">
      <c r="A324" t="s">
        <v>360</v>
      </c>
      <c r="B324">
        <v>68</v>
      </c>
      <c r="C324" t="s">
        <v>18</v>
      </c>
      <c r="D324" t="s">
        <v>30</v>
      </c>
      <c r="E324">
        <v>13</v>
      </c>
      <c r="F324" t="s">
        <v>31</v>
      </c>
      <c r="G324" t="s">
        <v>23</v>
      </c>
      <c r="H324" s="1">
        <v>477.22</v>
      </c>
      <c r="I324" t="s">
        <v>24</v>
      </c>
      <c r="J324">
        <v>0</v>
      </c>
      <c r="K324">
        <v>5</v>
      </c>
    </row>
    <row r="325" spans="1:11" x14ac:dyDescent="0.35">
      <c r="A325" t="s">
        <v>361</v>
      </c>
      <c r="B325">
        <v>70</v>
      </c>
      <c r="C325" t="s">
        <v>12</v>
      </c>
      <c r="D325" t="s">
        <v>47</v>
      </c>
      <c r="E325">
        <v>13</v>
      </c>
      <c r="F325" t="s">
        <v>22</v>
      </c>
      <c r="G325" t="s">
        <v>34</v>
      </c>
      <c r="H325" s="1">
        <v>110.19</v>
      </c>
      <c r="I325" t="s">
        <v>24</v>
      </c>
      <c r="J325">
        <v>1</v>
      </c>
      <c r="K325">
        <v>7</v>
      </c>
    </row>
    <row r="326" spans="1:11" x14ac:dyDescent="0.35">
      <c r="A326" t="s">
        <v>362</v>
      </c>
      <c r="B326">
        <v>40</v>
      </c>
      <c r="C326" t="s">
        <v>18</v>
      </c>
      <c r="D326" t="s">
        <v>30</v>
      </c>
      <c r="E326">
        <v>6</v>
      </c>
      <c r="F326" t="s">
        <v>26</v>
      </c>
      <c r="G326" t="s">
        <v>27</v>
      </c>
      <c r="H326" s="1">
        <v>117.44</v>
      </c>
      <c r="I326" t="s">
        <v>24</v>
      </c>
      <c r="J326">
        <v>1</v>
      </c>
      <c r="K326">
        <v>10</v>
      </c>
    </row>
    <row r="327" spans="1:11" x14ac:dyDescent="0.35">
      <c r="A327" t="s">
        <v>363</v>
      </c>
      <c r="B327">
        <v>22</v>
      </c>
      <c r="C327" t="s">
        <v>12</v>
      </c>
      <c r="D327" t="s">
        <v>21</v>
      </c>
      <c r="E327">
        <v>42</v>
      </c>
      <c r="F327" t="s">
        <v>26</v>
      </c>
      <c r="G327" t="s">
        <v>34</v>
      </c>
      <c r="H327" s="1">
        <v>204.92</v>
      </c>
      <c r="I327" t="s">
        <v>24</v>
      </c>
      <c r="J327">
        <v>2</v>
      </c>
      <c r="K327">
        <v>4</v>
      </c>
    </row>
    <row r="328" spans="1:11" x14ac:dyDescent="0.35">
      <c r="A328" t="s">
        <v>364</v>
      </c>
      <c r="B328">
        <v>52</v>
      </c>
      <c r="C328" t="s">
        <v>12</v>
      </c>
      <c r="D328" t="s">
        <v>47</v>
      </c>
      <c r="E328">
        <v>12</v>
      </c>
      <c r="F328" t="s">
        <v>33</v>
      </c>
      <c r="G328" t="s">
        <v>15</v>
      </c>
      <c r="H328" s="1">
        <v>317.85000000000002</v>
      </c>
      <c r="I328" t="s">
        <v>43</v>
      </c>
      <c r="J328">
        <v>3</v>
      </c>
      <c r="K328">
        <v>8</v>
      </c>
    </row>
    <row r="329" spans="1:11" x14ac:dyDescent="0.35">
      <c r="A329" t="s">
        <v>365</v>
      </c>
      <c r="B329">
        <v>83</v>
      </c>
      <c r="C329" t="s">
        <v>12</v>
      </c>
      <c r="D329" t="s">
        <v>19</v>
      </c>
      <c r="E329">
        <v>20</v>
      </c>
      <c r="F329" t="s">
        <v>22</v>
      </c>
      <c r="G329" t="s">
        <v>15</v>
      </c>
      <c r="H329" s="1">
        <v>374.14</v>
      </c>
      <c r="I329" t="s">
        <v>24</v>
      </c>
      <c r="J329">
        <v>2</v>
      </c>
      <c r="K329">
        <v>3</v>
      </c>
    </row>
    <row r="330" spans="1:11" x14ac:dyDescent="0.35">
      <c r="A330" t="s">
        <v>366</v>
      </c>
      <c r="B330">
        <v>21</v>
      </c>
      <c r="C330" t="s">
        <v>18</v>
      </c>
      <c r="D330" t="s">
        <v>30</v>
      </c>
      <c r="E330">
        <v>5</v>
      </c>
      <c r="F330" t="s">
        <v>33</v>
      </c>
      <c r="G330" t="s">
        <v>37</v>
      </c>
      <c r="H330" s="1">
        <v>101.67</v>
      </c>
      <c r="I330" t="s">
        <v>24</v>
      </c>
      <c r="J330">
        <v>0</v>
      </c>
      <c r="K330">
        <v>10</v>
      </c>
    </row>
    <row r="331" spans="1:11" x14ac:dyDescent="0.35">
      <c r="A331" t="s">
        <v>367</v>
      </c>
      <c r="B331">
        <v>69</v>
      </c>
      <c r="C331" t="s">
        <v>18</v>
      </c>
      <c r="D331" t="s">
        <v>21</v>
      </c>
      <c r="E331">
        <v>34</v>
      </c>
      <c r="F331" t="s">
        <v>14</v>
      </c>
      <c r="G331" t="s">
        <v>27</v>
      </c>
      <c r="H331" s="1">
        <v>0</v>
      </c>
      <c r="I331" t="s">
        <v>16</v>
      </c>
      <c r="J331">
        <v>4</v>
      </c>
      <c r="K331">
        <v>5</v>
      </c>
    </row>
    <row r="332" spans="1:11" x14ac:dyDescent="0.35">
      <c r="A332" t="s">
        <v>368</v>
      </c>
      <c r="B332">
        <v>77</v>
      </c>
      <c r="C332" t="s">
        <v>12</v>
      </c>
      <c r="D332" t="s">
        <v>13</v>
      </c>
      <c r="E332">
        <v>10</v>
      </c>
      <c r="F332" t="s">
        <v>33</v>
      </c>
      <c r="G332" t="s">
        <v>15</v>
      </c>
      <c r="H332" s="1">
        <v>347.43</v>
      </c>
      <c r="I332" t="s">
        <v>28</v>
      </c>
      <c r="J332">
        <v>3</v>
      </c>
      <c r="K332">
        <v>4</v>
      </c>
    </row>
    <row r="333" spans="1:11" x14ac:dyDescent="0.35">
      <c r="A333" t="s">
        <v>369</v>
      </c>
      <c r="B333">
        <v>52</v>
      </c>
      <c r="C333" t="s">
        <v>12</v>
      </c>
      <c r="D333" t="s">
        <v>30</v>
      </c>
      <c r="E333">
        <v>14</v>
      </c>
      <c r="F333" t="s">
        <v>31</v>
      </c>
      <c r="G333" t="s">
        <v>15</v>
      </c>
      <c r="H333" s="1">
        <v>101.2</v>
      </c>
      <c r="I333" t="s">
        <v>28</v>
      </c>
      <c r="J333">
        <v>1</v>
      </c>
      <c r="K333">
        <v>5</v>
      </c>
    </row>
    <row r="334" spans="1:11" x14ac:dyDescent="0.35">
      <c r="A334" t="s">
        <v>370</v>
      </c>
      <c r="B334">
        <v>71</v>
      </c>
      <c r="C334" t="s">
        <v>18</v>
      </c>
      <c r="D334" t="s">
        <v>21</v>
      </c>
      <c r="E334">
        <v>34</v>
      </c>
      <c r="F334" t="s">
        <v>14</v>
      </c>
      <c r="G334" t="s">
        <v>27</v>
      </c>
      <c r="H334" s="1">
        <v>0</v>
      </c>
      <c r="I334" t="s">
        <v>16</v>
      </c>
      <c r="J334">
        <v>0</v>
      </c>
      <c r="K334">
        <v>5</v>
      </c>
    </row>
    <row r="335" spans="1:11" x14ac:dyDescent="0.35">
      <c r="A335" t="s">
        <v>371</v>
      </c>
      <c r="B335">
        <v>72</v>
      </c>
      <c r="C335" t="s">
        <v>18</v>
      </c>
      <c r="D335" t="s">
        <v>19</v>
      </c>
      <c r="E335">
        <v>17</v>
      </c>
      <c r="F335" t="s">
        <v>33</v>
      </c>
      <c r="G335" t="s">
        <v>34</v>
      </c>
      <c r="H335" s="1">
        <v>175.11</v>
      </c>
      <c r="I335" t="s">
        <v>24</v>
      </c>
      <c r="J335">
        <v>1</v>
      </c>
      <c r="K335">
        <v>6</v>
      </c>
    </row>
    <row r="336" spans="1:11" x14ac:dyDescent="0.35">
      <c r="A336" t="s">
        <v>372</v>
      </c>
      <c r="B336">
        <v>27</v>
      </c>
      <c r="C336" t="s">
        <v>12</v>
      </c>
      <c r="D336" t="s">
        <v>19</v>
      </c>
      <c r="E336">
        <v>10</v>
      </c>
      <c r="F336" t="s">
        <v>22</v>
      </c>
      <c r="G336" t="s">
        <v>27</v>
      </c>
      <c r="H336" s="1">
        <v>160.15</v>
      </c>
      <c r="I336" t="s">
        <v>24</v>
      </c>
      <c r="J336">
        <v>0</v>
      </c>
      <c r="K336">
        <v>5</v>
      </c>
    </row>
    <row r="337" spans="1:11" x14ac:dyDescent="0.35">
      <c r="A337" t="s">
        <v>373</v>
      </c>
      <c r="B337">
        <v>37</v>
      </c>
      <c r="C337" t="s">
        <v>18</v>
      </c>
      <c r="D337" t="s">
        <v>21</v>
      </c>
      <c r="E337">
        <v>42</v>
      </c>
      <c r="F337" t="s">
        <v>22</v>
      </c>
      <c r="G337" t="s">
        <v>23</v>
      </c>
      <c r="H337" s="1">
        <v>345</v>
      </c>
      <c r="I337" t="s">
        <v>24</v>
      </c>
      <c r="J337">
        <v>4</v>
      </c>
      <c r="K337">
        <v>3</v>
      </c>
    </row>
    <row r="338" spans="1:11" x14ac:dyDescent="0.35">
      <c r="A338" t="s">
        <v>374</v>
      </c>
      <c r="B338">
        <v>38</v>
      </c>
      <c r="C338" t="s">
        <v>12</v>
      </c>
      <c r="D338" t="s">
        <v>19</v>
      </c>
      <c r="E338">
        <v>21</v>
      </c>
      <c r="F338" t="s">
        <v>22</v>
      </c>
      <c r="G338" t="s">
        <v>37</v>
      </c>
      <c r="H338" s="1">
        <v>182.29</v>
      </c>
      <c r="I338" t="s">
        <v>28</v>
      </c>
      <c r="J338">
        <v>3</v>
      </c>
      <c r="K338">
        <v>1</v>
      </c>
    </row>
    <row r="339" spans="1:11" x14ac:dyDescent="0.35">
      <c r="A339" t="s">
        <v>375</v>
      </c>
      <c r="B339">
        <v>33</v>
      </c>
      <c r="C339" t="s">
        <v>18</v>
      </c>
      <c r="D339" t="s">
        <v>19</v>
      </c>
      <c r="E339">
        <v>10</v>
      </c>
      <c r="F339" t="s">
        <v>26</v>
      </c>
      <c r="G339" t="s">
        <v>27</v>
      </c>
      <c r="H339" s="1">
        <v>59.43</v>
      </c>
      <c r="I339" t="s">
        <v>24</v>
      </c>
      <c r="J339">
        <v>3</v>
      </c>
      <c r="K339">
        <v>8</v>
      </c>
    </row>
    <row r="340" spans="1:11" x14ac:dyDescent="0.35">
      <c r="A340" t="s">
        <v>376</v>
      </c>
      <c r="B340">
        <v>82</v>
      </c>
      <c r="C340" t="s">
        <v>18</v>
      </c>
      <c r="D340" t="s">
        <v>30</v>
      </c>
      <c r="E340">
        <v>5</v>
      </c>
      <c r="F340" t="s">
        <v>26</v>
      </c>
      <c r="G340" t="s">
        <v>34</v>
      </c>
      <c r="H340" s="1">
        <v>135.13</v>
      </c>
      <c r="I340" t="s">
        <v>24</v>
      </c>
      <c r="J340">
        <v>0</v>
      </c>
      <c r="K340">
        <v>10</v>
      </c>
    </row>
    <row r="341" spans="1:11" x14ac:dyDescent="0.35">
      <c r="A341" t="s">
        <v>377</v>
      </c>
      <c r="B341">
        <v>49</v>
      </c>
      <c r="C341" t="s">
        <v>12</v>
      </c>
      <c r="D341" t="s">
        <v>19</v>
      </c>
      <c r="E341">
        <v>24</v>
      </c>
      <c r="F341" t="s">
        <v>26</v>
      </c>
      <c r="G341" t="s">
        <v>37</v>
      </c>
      <c r="H341" s="1">
        <v>142.1</v>
      </c>
      <c r="I341" t="s">
        <v>28</v>
      </c>
      <c r="J341">
        <v>2</v>
      </c>
      <c r="K341">
        <v>1</v>
      </c>
    </row>
    <row r="342" spans="1:11" x14ac:dyDescent="0.35">
      <c r="A342" t="s">
        <v>378</v>
      </c>
      <c r="B342">
        <v>43</v>
      </c>
      <c r="C342" t="s">
        <v>12</v>
      </c>
      <c r="D342" t="s">
        <v>120</v>
      </c>
      <c r="E342">
        <v>32</v>
      </c>
      <c r="F342" t="s">
        <v>22</v>
      </c>
      <c r="G342" t="s">
        <v>34</v>
      </c>
      <c r="H342" s="1">
        <v>160.97999999999999</v>
      </c>
      <c r="I342" t="s">
        <v>24</v>
      </c>
      <c r="J342">
        <v>2</v>
      </c>
      <c r="K342">
        <v>5</v>
      </c>
    </row>
    <row r="343" spans="1:11" x14ac:dyDescent="0.35">
      <c r="A343" t="s">
        <v>379</v>
      </c>
      <c r="B343">
        <v>39</v>
      </c>
      <c r="C343" t="s">
        <v>18</v>
      </c>
      <c r="D343" t="s">
        <v>21</v>
      </c>
      <c r="E343">
        <v>40</v>
      </c>
      <c r="F343" t="s">
        <v>31</v>
      </c>
      <c r="G343" t="s">
        <v>15</v>
      </c>
      <c r="H343" s="1">
        <v>369.91</v>
      </c>
      <c r="I343" t="s">
        <v>24</v>
      </c>
      <c r="J343">
        <v>0</v>
      </c>
      <c r="K343">
        <v>2</v>
      </c>
    </row>
    <row r="344" spans="1:11" x14ac:dyDescent="0.35">
      <c r="A344" t="s">
        <v>380</v>
      </c>
      <c r="B344">
        <v>18</v>
      </c>
      <c r="C344" t="s">
        <v>18</v>
      </c>
      <c r="D344" t="s">
        <v>30</v>
      </c>
      <c r="E344">
        <v>12</v>
      </c>
      <c r="F344" t="s">
        <v>26</v>
      </c>
      <c r="G344" t="s">
        <v>34</v>
      </c>
      <c r="H344" s="1">
        <v>187.17</v>
      </c>
      <c r="I344" t="s">
        <v>24</v>
      </c>
      <c r="J344">
        <v>3</v>
      </c>
      <c r="K344">
        <v>6</v>
      </c>
    </row>
    <row r="345" spans="1:11" x14ac:dyDescent="0.35">
      <c r="A345" t="s">
        <v>381</v>
      </c>
      <c r="B345">
        <v>26</v>
      </c>
      <c r="C345" t="s">
        <v>12</v>
      </c>
      <c r="D345" t="s">
        <v>19</v>
      </c>
      <c r="E345">
        <v>9</v>
      </c>
      <c r="F345" t="s">
        <v>33</v>
      </c>
      <c r="G345" t="s">
        <v>27</v>
      </c>
      <c r="H345" s="1">
        <v>96.42</v>
      </c>
      <c r="I345" t="s">
        <v>24</v>
      </c>
      <c r="J345">
        <v>2</v>
      </c>
      <c r="K345">
        <v>8</v>
      </c>
    </row>
    <row r="346" spans="1:11" x14ac:dyDescent="0.35">
      <c r="A346" t="s">
        <v>382</v>
      </c>
      <c r="B346">
        <v>48</v>
      </c>
      <c r="C346" t="s">
        <v>12</v>
      </c>
      <c r="D346" t="s">
        <v>19</v>
      </c>
      <c r="E346">
        <v>8</v>
      </c>
      <c r="F346" t="s">
        <v>31</v>
      </c>
      <c r="G346" t="s">
        <v>34</v>
      </c>
      <c r="H346" s="1">
        <v>148.27000000000001</v>
      </c>
      <c r="I346" t="s">
        <v>24</v>
      </c>
      <c r="J346">
        <v>0</v>
      </c>
      <c r="K346">
        <v>7</v>
      </c>
    </row>
    <row r="347" spans="1:11" x14ac:dyDescent="0.35">
      <c r="A347" t="s">
        <v>383</v>
      </c>
      <c r="B347">
        <v>30</v>
      </c>
      <c r="C347" t="s">
        <v>12</v>
      </c>
      <c r="D347" t="s">
        <v>21</v>
      </c>
      <c r="E347">
        <v>26</v>
      </c>
      <c r="F347" t="s">
        <v>22</v>
      </c>
      <c r="G347" t="s">
        <v>34</v>
      </c>
      <c r="H347" s="1">
        <v>183.52</v>
      </c>
      <c r="I347" t="s">
        <v>24</v>
      </c>
      <c r="J347">
        <v>4</v>
      </c>
      <c r="K347">
        <v>5</v>
      </c>
    </row>
    <row r="348" spans="1:11" x14ac:dyDescent="0.35">
      <c r="A348" t="s">
        <v>384</v>
      </c>
      <c r="B348">
        <v>63</v>
      </c>
      <c r="C348" t="s">
        <v>18</v>
      </c>
      <c r="D348" t="s">
        <v>41</v>
      </c>
      <c r="E348">
        <v>4</v>
      </c>
      <c r="F348" t="s">
        <v>33</v>
      </c>
      <c r="G348" t="s">
        <v>34</v>
      </c>
      <c r="H348" s="1">
        <v>143.91999999999999</v>
      </c>
      <c r="I348" t="s">
        <v>24</v>
      </c>
      <c r="J348">
        <v>0</v>
      </c>
      <c r="K348">
        <v>9</v>
      </c>
    </row>
    <row r="349" spans="1:11" x14ac:dyDescent="0.35">
      <c r="A349" t="s">
        <v>385</v>
      </c>
      <c r="B349">
        <v>60</v>
      </c>
      <c r="C349" t="s">
        <v>18</v>
      </c>
      <c r="D349" t="s">
        <v>21</v>
      </c>
      <c r="E349">
        <v>31</v>
      </c>
      <c r="F349" t="s">
        <v>26</v>
      </c>
      <c r="G349" t="s">
        <v>27</v>
      </c>
      <c r="H349" s="1">
        <v>78.760000000000005</v>
      </c>
      <c r="I349" t="s">
        <v>24</v>
      </c>
      <c r="J349">
        <v>0</v>
      </c>
      <c r="K349">
        <v>3</v>
      </c>
    </row>
    <row r="350" spans="1:11" x14ac:dyDescent="0.35">
      <c r="A350" t="s">
        <v>386</v>
      </c>
      <c r="B350">
        <v>32</v>
      </c>
      <c r="C350" t="s">
        <v>18</v>
      </c>
      <c r="D350" t="s">
        <v>13</v>
      </c>
      <c r="E350">
        <v>8</v>
      </c>
      <c r="F350" t="s">
        <v>22</v>
      </c>
      <c r="G350" t="s">
        <v>37</v>
      </c>
      <c r="H350" s="1">
        <v>133.16999999999999</v>
      </c>
      <c r="I350" t="s">
        <v>28</v>
      </c>
      <c r="J350">
        <v>0</v>
      </c>
      <c r="K350">
        <v>9</v>
      </c>
    </row>
    <row r="351" spans="1:11" x14ac:dyDescent="0.35">
      <c r="A351" t="s">
        <v>387</v>
      </c>
      <c r="B351">
        <v>22</v>
      </c>
      <c r="C351" t="s">
        <v>12</v>
      </c>
      <c r="D351" t="s">
        <v>13</v>
      </c>
      <c r="E351">
        <v>15</v>
      </c>
      <c r="F351" t="s">
        <v>26</v>
      </c>
      <c r="G351" t="s">
        <v>15</v>
      </c>
      <c r="H351" s="1">
        <v>341.91</v>
      </c>
      <c r="I351" t="s">
        <v>24</v>
      </c>
      <c r="J351">
        <v>3</v>
      </c>
      <c r="K351">
        <v>4</v>
      </c>
    </row>
    <row r="352" spans="1:11" x14ac:dyDescent="0.35">
      <c r="A352" t="s">
        <v>388</v>
      </c>
      <c r="B352">
        <v>78</v>
      </c>
      <c r="C352" t="s">
        <v>12</v>
      </c>
      <c r="D352" t="s">
        <v>19</v>
      </c>
      <c r="E352">
        <v>23</v>
      </c>
      <c r="F352" t="s">
        <v>14</v>
      </c>
      <c r="G352" t="s">
        <v>37</v>
      </c>
      <c r="H352" s="1">
        <v>0</v>
      </c>
      <c r="I352" t="s">
        <v>16</v>
      </c>
      <c r="J352">
        <v>4</v>
      </c>
      <c r="K352">
        <v>2</v>
      </c>
    </row>
    <row r="353" spans="1:11" x14ac:dyDescent="0.35">
      <c r="A353" t="s">
        <v>389</v>
      </c>
      <c r="B353">
        <v>84</v>
      </c>
      <c r="C353" t="s">
        <v>12</v>
      </c>
      <c r="D353" t="s">
        <v>19</v>
      </c>
      <c r="E353">
        <v>19</v>
      </c>
      <c r="F353" t="s">
        <v>22</v>
      </c>
      <c r="G353" t="s">
        <v>15</v>
      </c>
      <c r="H353" s="1">
        <v>412.71</v>
      </c>
      <c r="I353" t="s">
        <v>24</v>
      </c>
      <c r="J353">
        <v>2</v>
      </c>
      <c r="K353">
        <v>4</v>
      </c>
    </row>
    <row r="354" spans="1:11" x14ac:dyDescent="0.35">
      <c r="A354" t="s">
        <v>390</v>
      </c>
      <c r="B354">
        <v>81</v>
      </c>
      <c r="C354" t="s">
        <v>18</v>
      </c>
      <c r="D354" t="s">
        <v>30</v>
      </c>
      <c r="E354">
        <v>10</v>
      </c>
      <c r="F354" t="s">
        <v>22</v>
      </c>
      <c r="G354" t="s">
        <v>15</v>
      </c>
      <c r="H354" s="1">
        <v>201.47</v>
      </c>
      <c r="I354" t="s">
        <v>24</v>
      </c>
      <c r="J354">
        <v>1</v>
      </c>
      <c r="K354">
        <v>6</v>
      </c>
    </row>
    <row r="355" spans="1:11" x14ac:dyDescent="0.35">
      <c r="A355" t="s">
        <v>391</v>
      </c>
      <c r="B355">
        <v>54</v>
      </c>
      <c r="C355" t="s">
        <v>18</v>
      </c>
      <c r="D355" t="s">
        <v>19</v>
      </c>
      <c r="E355">
        <v>6</v>
      </c>
      <c r="F355" t="s">
        <v>14</v>
      </c>
      <c r="G355" t="s">
        <v>23</v>
      </c>
      <c r="H355" s="1">
        <v>0</v>
      </c>
      <c r="I355" t="s">
        <v>16</v>
      </c>
      <c r="J355">
        <v>0</v>
      </c>
      <c r="K355">
        <v>8</v>
      </c>
    </row>
    <row r="356" spans="1:11" x14ac:dyDescent="0.35">
      <c r="A356" t="s">
        <v>392</v>
      </c>
      <c r="B356">
        <v>82</v>
      </c>
      <c r="C356" t="s">
        <v>12</v>
      </c>
      <c r="D356" t="s">
        <v>19</v>
      </c>
      <c r="E356">
        <v>19</v>
      </c>
      <c r="F356" t="s">
        <v>33</v>
      </c>
      <c r="G356" t="s">
        <v>15</v>
      </c>
      <c r="H356" s="1">
        <v>183.8</v>
      </c>
      <c r="I356" t="s">
        <v>24</v>
      </c>
      <c r="J356">
        <v>2</v>
      </c>
      <c r="K356">
        <v>5</v>
      </c>
    </row>
    <row r="357" spans="1:11" x14ac:dyDescent="0.35">
      <c r="A357" t="s">
        <v>393</v>
      </c>
      <c r="B357">
        <v>60</v>
      </c>
      <c r="C357" t="s">
        <v>18</v>
      </c>
      <c r="D357" t="s">
        <v>30</v>
      </c>
      <c r="E357">
        <v>2</v>
      </c>
      <c r="F357" t="s">
        <v>22</v>
      </c>
      <c r="G357" t="s">
        <v>27</v>
      </c>
      <c r="H357" s="1">
        <v>38.26</v>
      </c>
      <c r="I357" t="s">
        <v>43</v>
      </c>
      <c r="J357">
        <v>1</v>
      </c>
      <c r="K357">
        <v>9</v>
      </c>
    </row>
    <row r="358" spans="1:11" x14ac:dyDescent="0.35">
      <c r="A358" t="s">
        <v>394</v>
      </c>
      <c r="B358">
        <v>51</v>
      </c>
      <c r="C358" t="s">
        <v>18</v>
      </c>
      <c r="D358" t="s">
        <v>21</v>
      </c>
      <c r="E358">
        <v>33</v>
      </c>
      <c r="F358" t="s">
        <v>31</v>
      </c>
      <c r="G358" t="s">
        <v>15</v>
      </c>
      <c r="H358" s="1">
        <v>258.77</v>
      </c>
      <c r="I358" t="s">
        <v>24</v>
      </c>
      <c r="J358">
        <v>1</v>
      </c>
      <c r="K358">
        <v>3</v>
      </c>
    </row>
    <row r="359" spans="1:11" x14ac:dyDescent="0.35">
      <c r="A359" t="s">
        <v>395</v>
      </c>
      <c r="B359">
        <v>81</v>
      </c>
      <c r="C359" t="s">
        <v>12</v>
      </c>
      <c r="D359" t="s">
        <v>13</v>
      </c>
      <c r="E359">
        <v>11</v>
      </c>
      <c r="F359" t="s">
        <v>22</v>
      </c>
      <c r="G359" t="s">
        <v>34</v>
      </c>
      <c r="H359" s="1">
        <v>151.72999999999999</v>
      </c>
      <c r="I359" t="s">
        <v>24</v>
      </c>
      <c r="J359">
        <v>3</v>
      </c>
      <c r="K359">
        <v>6</v>
      </c>
    </row>
    <row r="360" spans="1:11" x14ac:dyDescent="0.35">
      <c r="A360" t="s">
        <v>396</v>
      </c>
      <c r="B360">
        <v>23</v>
      </c>
      <c r="C360" t="s">
        <v>12</v>
      </c>
      <c r="D360" t="s">
        <v>30</v>
      </c>
      <c r="E360">
        <v>8</v>
      </c>
      <c r="F360" t="s">
        <v>31</v>
      </c>
      <c r="G360" t="s">
        <v>23</v>
      </c>
      <c r="H360" s="1">
        <v>92.24</v>
      </c>
      <c r="I360" t="s">
        <v>24</v>
      </c>
      <c r="J360">
        <v>2</v>
      </c>
      <c r="K360">
        <v>9</v>
      </c>
    </row>
    <row r="361" spans="1:11" x14ac:dyDescent="0.35">
      <c r="A361" t="s">
        <v>397</v>
      </c>
      <c r="B361">
        <v>64</v>
      </c>
      <c r="C361" t="s">
        <v>18</v>
      </c>
      <c r="D361" t="s">
        <v>19</v>
      </c>
      <c r="E361">
        <v>17</v>
      </c>
      <c r="F361" t="s">
        <v>33</v>
      </c>
      <c r="G361" t="s">
        <v>15</v>
      </c>
      <c r="H361" s="1">
        <v>314.67</v>
      </c>
      <c r="I361" t="s">
        <v>24</v>
      </c>
      <c r="J361">
        <v>1</v>
      </c>
      <c r="K361">
        <v>4</v>
      </c>
    </row>
    <row r="362" spans="1:11" x14ac:dyDescent="0.35">
      <c r="A362" t="s">
        <v>398</v>
      </c>
      <c r="B362">
        <v>46</v>
      </c>
      <c r="C362" t="s">
        <v>12</v>
      </c>
      <c r="D362" t="s">
        <v>19</v>
      </c>
      <c r="E362">
        <v>8</v>
      </c>
      <c r="F362" t="s">
        <v>31</v>
      </c>
      <c r="G362" t="s">
        <v>15</v>
      </c>
      <c r="H362" s="1">
        <v>278.62</v>
      </c>
      <c r="I362" t="s">
        <v>24</v>
      </c>
      <c r="J362">
        <v>0</v>
      </c>
      <c r="K362">
        <v>9</v>
      </c>
    </row>
    <row r="363" spans="1:11" x14ac:dyDescent="0.35">
      <c r="A363" t="s">
        <v>399</v>
      </c>
      <c r="B363">
        <v>83</v>
      </c>
      <c r="C363" t="s">
        <v>18</v>
      </c>
      <c r="D363" t="s">
        <v>21</v>
      </c>
      <c r="E363">
        <v>19</v>
      </c>
      <c r="F363" t="s">
        <v>31</v>
      </c>
      <c r="G363" t="s">
        <v>23</v>
      </c>
      <c r="H363" s="1">
        <v>422.86</v>
      </c>
      <c r="I363" t="s">
        <v>28</v>
      </c>
      <c r="J363">
        <v>0</v>
      </c>
      <c r="K363">
        <v>5</v>
      </c>
    </row>
    <row r="364" spans="1:11" x14ac:dyDescent="0.35">
      <c r="A364" t="s">
        <v>400</v>
      </c>
      <c r="B364">
        <v>32</v>
      </c>
      <c r="C364" t="s">
        <v>12</v>
      </c>
      <c r="D364" t="s">
        <v>200</v>
      </c>
      <c r="E364">
        <v>11</v>
      </c>
      <c r="F364" t="s">
        <v>26</v>
      </c>
      <c r="G364" t="s">
        <v>23</v>
      </c>
      <c r="H364" s="1">
        <v>583.4</v>
      </c>
      <c r="I364" t="s">
        <v>24</v>
      </c>
      <c r="J364">
        <v>1</v>
      </c>
      <c r="K364">
        <v>6</v>
      </c>
    </row>
    <row r="365" spans="1:11" x14ac:dyDescent="0.35">
      <c r="A365" t="s">
        <v>401</v>
      </c>
      <c r="B365">
        <v>39</v>
      </c>
      <c r="C365" t="s">
        <v>18</v>
      </c>
      <c r="D365" t="s">
        <v>57</v>
      </c>
      <c r="E365">
        <v>30</v>
      </c>
      <c r="F365" t="s">
        <v>22</v>
      </c>
      <c r="G365" t="s">
        <v>15</v>
      </c>
      <c r="H365" s="1">
        <v>398.41</v>
      </c>
      <c r="I365" t="s">
        <v>24</v>
      </c>
      <c r="J365">
        <v>2</v>
      </c>
      <c r="K365">
        <v>5</v>
      </c>
    </row>
    <row r="366" spans="1:11" x14ac:dyDescent="0.35">
      <c r="A366" t="s">
        <v>402</v>
      </c>
      <c r="B366">
        <v>66</v>
      </c>
      <c r="C366" t="s">
        <v>18</v>
      </c>
      <c r="D366" t="s">
        <v>13</v>
      </c>
      <c r="E366">
        <v>23</v>
      </c>
      <c r="F366" t="s">
        <v>14</v>
      </c>
      <c r="G366" t="s">
        <v>27</v>
      </c>
      <c r="H366" s="1">
        <v>0</v>
      </c>
      <c r="I366" t="s">
        <v>16</v>
      </c>
      <c r="J366">
        <v>1</v>
      </c>
      <c r="K366">
        <v>5</v>
      </c>
    </row>
    <row r="367" spans="1:11" x14ac:dyDescent="0.35">
      <c r="A367" t="s">
        <v>403</v>
      </c>
      <c r="B367">
        <v>72</v>
      </c>
      <c r="C367" t="s">
        <v>18</v>
      </c>
      <c r="D367" t="s">
        <v>21</v>
      </c>
      <c r="E367">
        <v>32</v>
      </c>
      <c r="F367" t="s">
        <v>26</v>
      </c>
      <c r="G367" t="s">
        <v>23</v>
      </c>
      <c r="H367" s="1">
        <v>113.97</v>
      </c>
      <c r="I367" t="s">
        <v>28</v>
      </c>
      <c r="J367">
        <v>1</v>
      </c>
      <c r="K367">
        <v>1</v>
      </c>
    </row>
    <row r="368" spans="1:11" x14ac:dyDescent="0.35">
      <c r="A368" t="s">
        <v>404</v>
      </c>
      <c r="B368">
        <v>26</v>
      </c>
      <c r="C368" t="s">
        <v>12</v>
      </c>
      <c r="D368" t="s">
        <v>13</v>
      </c>
      <c r="E368">
        <v>15</v>
      </c>
      <c r="F368" t="s">
        <v>26</v>
      </c>
      <c r="G368" t="s">
        <v>23</v>
      </c>
      <c r="H368" s="1">
        <v>153.76</v>
      </c>
      <c r="I368" t="s">
        <v>24</v>
      </c>
      <c r="J368">
        <v>1</v>
      </c>
      <c r="K368">
        <v>8</v>
      </c>
    </row>
    <row r="369" spans="1:11" x14ac:dyDescent="0.35">
      <c r="A369" t="s">
        <v>405</v>
      </c>
      <c r="B369">
        <v>55</v>
      </c>
      <c r="C369" t="s">
        <v>12</v>
      </c>
      <c r="D369" t="s">
        <v>19</v>
      </c>
      <c r="E369">
        <v>12</v>
      </c>
      <c r="F369" t="s">
        <v>26</v>
      </c>
      <c r="G369" t="s">
        <v>34</v>
      </c>
      <c r="H369" s="1">
        <v>210.79</v>
      </c>
      <c r="I369" t="s">
        <v>24</v>
      </c>
      <c r="J369">
        <v>0</v>
      </c>
      <c r="K369">
        <v>8</v>
      </c>
    </row>
    <row r="370" spans="1:11" x14ac:dyDescent="0.35">
      <c r="A370" t="s">
        <v>406</v>
      </c>
      <c r="B370">
        <v>74</v>
      </c>
      <c r="C370" t="s">
        <v>18</v>
      </c>
      <c r="D370" t="s">
        <v>13</v>
      </c>
      <c r="E370">
        <v>22</v>
      </c>
      <c r="F370" t="s">
        <v>22</v>
      </c>
      <c r="G370" t="s">
        <v>37</v>
      </c>
      <c r="H370" s="1">
        <v>212.66</v>
      </c>
      <c r="I370" t="s">
        <v>24</v>
      </c>
      <c r="J370">
        <v>2</v>
      </c>
      <c r="K370">
        <v>2</v>
      </c>
    </row>
    <row r="371" spans="1:11" x14ac:dyDescent="0.35">
      <c r="A371" t="s">
        <v>407</v>
      </c>
      <c r="B371">
        <v>22</v>
      </c>
      <c r="C371" t="s">
        <v>12</v>
      </c>
      <c r="D371" t="s">
        <v>57</v>
      </c>
      <c r="E371">
        <v>16</v>
      </c>
      <c r="F371" t="s">
        <v>33</v>
      </c>
      <c r="G371" t="s">
        <v>34</v>
      </c>
      <c r="H371" s="1">
        <v>189.97</v>
      </c>
      <c r="I371" t="s">
        <v>43</v>
      </c>
      <c r="J371">
        <v>3</v>
      </c>
      <c r="K371">
        <v>6</v>
      </c>
    </row>
    <row r="372" spans="1:11" x14ac:dyDescent="0.35">
      <c r="A372" t="s">
        <v>408</v>
      </c>
      <c r="B372">
        <v>80</v>
      </c>
      <c r="C372" t="s">
        <v>12</v>
      </c>
      <c r="D372" t="s">
        <v>19</v>
      </c>
      <c r="E372">
        <v>21</v>
      </c>
      <c r="F372" t="s">
        <v>26</v>
      </c>
      <c r="G372" t="s">
        <v>15</v>
      </c>
      <c r="H372" s="1">
        <v>197.88</v>
      </c>
      <c r="I372" t="s">
        <v>28</v>
      </c>
      <c r="J372">
        <v>4</v>
      </c>
      <c r="K372">
        <v>5</v>
      </c>
    </row>
    <row r="373" spans="1:11" x14ac:dyDescent="0.35">
      <c r="A373" t="s">
        <v>409</v>
      </c>
      <c r="B373">
        <v>65</v>
      </c>
      <c r="C373" t="s">
        <v>12</v>
      </c>
      <c r="D373" t="s">
        <v>13</v>
      </c>
      <c r="E373">
        <v>18</v>
      </c>
      <c r="F373" t="s">
        <v>22</v>
      </c>
      <c r="G373" t="s">
        <v>34</v>
      </c>
      <c r="H373" s="1">
        <v>164.22</v>
      </c>
      <c r="I373" t="s">
        <v>24</v>
      </c>
      <c r="J373">
        <v>0</v>
      </c>
      <c r="K373">
        <v>5</v>
      </c>
    </row>
    <row r="374" spans="1:11" x14ac:dyDescent="0.35">
      <c r="A374" t="s">
        <v>410</v>
      </c>
      <c r="B374">
        <v>23</v>
      </c>
      <c r="C374" t="s">
        <v>12</v>
      </c>
      <c r="D374" t="s">
        <v>13</v>
      </c>
      <c r="E374">
        <v>8</v>
      </c>
      <c r="F374" t="s">
        <v>33</v>
      </c>
      <c r="G374" t="s">
        <v>37</v>
      </c>
      <c r="H374" s="1">
        <v>155.51</v>
      </c>
      <c r="I374" t="s">
        <v>24</v>
      </c>
      <c r="J374">
        <v>0</v>
      </c>
      <c r="K374">
        <v>10</v>
      </c>
    </row>
    <row r="375" spans="1:11" x14ac:dyDescent="0.35">
      <c r="A375" t="s">
        <v>411</v>
      </c>
      <c r="B375">
        <v>27</v>
      </c>
      <c r="C375" t="s">
        <v>189</v>
      </c>
      <c r="D375" t="s">
        <v>13</v>
      </c>
      <c r="E375">
        <v>14</v>
      </c>
      <c r="F375" t="s">
        <v>31</v>
      </c>
      <c r="G375" t="s">
        <v>34</v>
      </c>
      <c r="H375" s="1">
        <v>207.01</v>
      </c>
      <c r="I375" t="s">
        <v>43</v>
      </c>
      <c r="J375">
        <v>1</v>
      </c>
      <c r="K375">
        <v>7</v>
      </c>
    </row>
    <row r="376" spans="1:11" x14ac:dyDescent="0.35">
      <c r="A376" t="s">
        <v>412</v>
      </c>
      <c r="B376">
        <v>34</v>
      </c>
      <c r="C376" t="s">
        <v>12</v>
      </c>
      <c r="D376" t="s">
        <v>13</v>
      </c>
      <c r="E376">
        <v>21</v>
      </c>
      <c r="F376" t="s">
        <v>31</v>
      </c>
      <c r="G376" t="s">
        <v>15</v>
      </c>
      <c r="H376" s="1">
        <v>304.69</v>
      </c>
      <c r="I376" t="s">
        <v>24</v>
      </c>
      <c r="J376">
        <v>0</v>
      </c>
      <c r="K376">
        <v>4</v>
      </c>
    </row>
    <row r="377" spans="1:11" x14ac:dyDescent="0.35">
      <c r="A377" t="s">
        <v>413</v>
      </c>
      <c r="B377">
        <v>27</v>
      </c>
      <c r="C377" t="s">
        <v>12</v>
      </c>
      <c r="D377" t="s">
        <v>19</v>
      </c>
      <c r="E377">
        <v>13</v>
      </c>
      <c r="F377" t="s">
        <v>31</v>
      </c>
      <c r="G377" t="s">
        <v>34</v>
      </c>
      <c r="H377" s="1">
        <v>107.8</v>
      </c>
      <c r="I377" t="s">
        <v>24</v>
      </c>
      <c r="J377">
        <v>1</v>
      </c>
      <c r="K377">
        <v>4</v>
      </c>
    </row>
    <row r="378" spans="1:11" x14ac:dyDescent="0.35">
      <c r="A378" t="s">
        <v>414</v>
      </c>
      <c r="B378">
        <v>85</v>
      </c>
      <c r="C378" t="s">
        <v>18</v>
      </c>
      <c r="D378" t="s">
        <v>19</v>
      </c>
      <c r="E378">
        <v>7</v>
      </c>
      <c r="F378" t="s">
        <v>22</v>
      </c>
      <c r="G378" t="s">
        <v>37</v>
      </c>
      <c r="H378" s="1">
        <v>180</v>
      </c>
      <c r="I378" t="s">
        <v>24</v>
      </c>
      <c r="J378">
        <v>0</v>
      </c>
      <c r="K378">
        <v>10</v>
      </c>
    </row>
    <row r="379" spans="1:11" x14ac:dyDescent="0.35">
      <c r="A379" t="s">
        <v>415</v>
      </c>
      <c r="B379">
        <v>65</v>
      </c>
      <c r="C379" t="s">
        <v>18</v>
      </c>
      <c r="D379" t="s">
        <v>47</v>
      </c>
      <c r="E379">
        <v>9</v>
      </c>
      <c r="F379" t="s">
        <v>22</v>
      </c>
      <c r="G379" t="s">
        <v>27</v>
      </c>
      <c r="H379" s="1">
        <v>66.209999999999994</v>
      </c>
      <c r="I379" t="s">
        <v>24</v>
      </c>
      <c r="J379">
        <v>1</v>
      </c>
      <c r="K379">
        <v>8</v>
      </c>
    </row>
    <row r="380" spans="1:11" x14ac:dyDescent="0.35">
      <c r="A380" t="s">
        <v>416</v>
      </c>
      <c r="B380">
        <v>20</v>
      </c>
      <c r="C380" t="s">
        <v>18</v>
      </c>
      <c r="D380" t="s">
        <v>41</v>
      </c>
      <c r="E380">
        <v>8</v>
      </c>
      <c r="F380" t="s">
        <v>22</v>
      </c>
      <c r="G380" t="s">
        <v>37</v>
      </c>
      <c r="H380" s="1">
        <v>202.87</v>
      </c>
      <c r="I380" t="s">
        <v>24</v>
      </c>
      <c r="J380">
        <v>0</v>
      </c>
      <c r="K380">
        <v>10</v>
      </c>
    </row>
    <row r="381" spans="1:11" x14ac:dyDescent="0.35">
      <c r="A381" t="s">
        <v>417</v>
      </c>
      <c r="B381">
        <v>72</v>
      </c>
      <c r="C381" t="s">
        <v>12</v>
      </c>
      <c r="D381" t="s">
        <v>21</v>
      </c>
      <c r="E381">
        <v>40</v>
      </c>
      <c r="F381" t="s">
        <v>22</v>
      </c>
      <c r="G381" t="s">
        <v>37</v>
      </c>
      <c r="H381" s="1">
        <v>107.1</v>
      </c>
      <c r="I381" t="s">
        <v>24</v>
      </c>
      <c r="J381">
        <v>3</v>
      </c>
      <c r="K381">
        <v>1</v>
      </c>
    </row>
    <row r="382" spans="1:11" x14ac:dyDescent="0.35">
      <c r="A382" t="s">
        <v>418</v>
      </c>
      <c r="B382">
        <v>79</v>
      </c>
      <c r="C382" t="s">
        <v>12</v>
      </c>
      <c r="D382" t="s">
        <v>41</v>
      </c>
      <c r="E382">
        <v>14</v>
      </c>
      <c r="F382" t="s">
        <v>33</v>
      </c>
      <c r="G382" t="s">
        <v>37</v>
      </c>
      <c r="H382" s="1">
        <v>130.80000000000001</v>
      </c>
      <c r="I382" t="s">
        <v>24</v>
      </c>
      <c r="J382">
        <v>1</v>
      </c>
      <c r="K382">
        <v>6</v>
      </c>
    </row>
    <row r="383" spans="1:11" x14ac:dyDescent="0.35">
      <c r="A383" t="s">
        <v>419</v>
      </c>
      <c r="B383">
        <v>40</v>
      </c>
      <c r="C383" t="s">
        <v>12</v>
      </c>
      <c r="D383" t="s">
        <v>19</v>
      </c>
      <c r="E383">
        <v>23</v>
      </c>
      <c r="F383" t="s">
        <v>33</v>
      </c>
      <c r="G383" t="s">
        <v>34</v>
      </c>
      <c r="H383" s="1">
        <v>142.19</v>
      </c>
      <c r="I383" t="s">
        <v>24</v>
      </c>
      <c r="J383">
        <v>3</v>
      </c>
      <c r="K383">
        <v>3</v>
      </c>
    </row>
    <row r="384" spans="1:11" x14ac:dyDescent="0.35">
      <c r="A384" t="s">
        <v>420</v>
      </c>
      <c r="B384">
        <v>76</v>
      </c>
      <c r="C384" t="s">
        <v>189</v>
      </c>
      <c r="D384" t="s">
        <v>13</v>
      </c>
      <c r="E384">
        <v>17</v>
      </c>
      <c r="F384" t="s">
        <v>31</v>
      </c>
      <c r="G384" t="s">
        <v>27</v>
      </c>
      <c r="H384" s="1">
        <v>70.41</v>
      </c>
      <c r="I384" t="s">
        <v>24</v>
      </c>
      <c r="J384">
        <v>3</v>
      </c>
      <c r="K384">
        <v>6</v>
      </c>
    </row>
    <row r="385" spans="1:11" x14ac:dyDescent="0.35">
      <c r="A385" t="s">
        <v>421</v>
      </c>
      <c r="B385">
        <v>64</v>
      </c>
      <c r="C385" t="s">
        <v>12</v>
      </c>
      <c r="D385" t="s">
        <v>13</v>
      </c>
      <c r="E385">
        <v>18</v>
      </c>
      <c r="F385" t="s">
        <v>33</v>
      </c>
      <c r="G385" t="s">
        <v>15</v>
      </c>
      <c r="H385" s="1">
        <v>252.54</v>
      </c>
      <c r="I385" t="s">
        <v>24</v>
      </c>
      <c r="J385">
        <v>0</v>
      </c>
      <c r="K385">
        <v>8</v>
      </c>
    </row>
    <row r="386" spans="1:11" x14ac:dyDescent="0.35">
      <c r="A386" t="s">
        <v>422</v>
      </c>
      <c r="B386">
        <v>22</v>
      </c>
      <c r="C386" t="s">
        <v>12</v>
      </c>
      <c r="D386" t="s">
        <v>30</v>
      </c>
      <c r="E386">
        <v>10</v>
      </c>
      <c r="F386" t="s">
        <v>31</v>
      </c>
      <c r="G386" t="s">
        <v>34</v>
      </c>
      <c r="H386" s="1">
        <v>141.6</v>
      </c>
      <c r="I386" t="s">
        <v>24</v>
      </c>
      <c r="J386">
        <v>2</v>
      </c>
      <c r="K386">
        <v>4</v>
      </c>
    </row>
    <row r="387" spans="1:11" x14ac:dyDescent="0.35">
      <c r="A387" t="s">
        <v>423</v>
      </c>
      <c r="B387">
        <v>49</v>
      </c>
      <c r="C387" t="s">
        <v>12</v>
      </c>
      <c r="D387" t="s">
        <v>21</v>
      </c>
      <c r="E387">
        <v>36</v>
      </c>
      <c r="F387" t="s">
        <v>26</v>
      </c>
      <c r="G387" t="s">
        <v>23</v>
      </c>
      <c r="H387" s="1">
        <v>352.91</v>
      </c>
      <c r="I387" t="s">
        <v>24</v>
      </c>
      <c r="J387">
        <v>0</v>
      </c>
      <c r="K387">
        <v>4</v>
      </c>
    </row>
    <row r="388" spans="1:11" x14ac:dyDescent="0.35">
      <c r="A388" t="s">
        <v>424</v>
      </c>
      <c r="B388">
        <v>45</v>
      </c>
      <c r="C388" t="s">
        <v>12</v>
      </c>
      <c r="D388" t="s">
        <v>19</v>
      </c>
      <c r="E388">
        <v>19</v>
      </c>
      <c r="F388" t="s">
        <v>14</v>
      </c>
      <c r="G388" t="s">
        <v>27</v>
      </c>
      <c r="H388" s="1">
        <v>0</v>
      </c>
      <c r="I388" t="s">
        <v>16</v>
      </c>
      <c r="J388">
        <v>2</v>
      </c>
      <c r="K388">
        <v>5</v>
      </c>
    </row>
    <row r="389" spans="1:11" x14ac:dyDescent="0.35">
      <c r="A389" t="s">
        <v>425</v>
      </c>
      <c r="B389">
        <v>69</v>
      </c>
      <c r="C389" t="s">
        <v>12</v>
      </c>
      <c r="D389" t="s">
        <v>21</v>
      </c>
      <c r="E389">
        <v>44</v>
      </c>
      <c r="F389" t="s">
        <v>26</v>
      </c>
      <c r="G389" t="s">
        <v>34</v>
      </c>
      <c r="H389" s="1">
        <v>91.96</v>
      </c>
      <c r="I389" t="s">
        <v>24</v>
      </c>
      <c r="J389">
        <v>0</v>
      </c>
      <c r="K389">
        <v>1</v>
      </c>
    </row>
    <row r="390" spans="1:11" x14ac:dyDescent="0.35">
      <c r="A390" t="s">
        <v>426</v>
      </c>
      <c r="B390">
        <v>18</v>
      </c>
      <c r="C390" t="s">
        <v>18</v>
      </c>
      <c r="D390" t="s">
        <v>19</v>
      </c>
      <c r="E390">
        <v>20</v>
      </c>
      <c r="F390" t="s">
        <v>33</v>
      </c>
      <c r="G390" t="s">
        <v>37</v>
      </c>
      <c r="H390" s="1">
        <v>198.4</v>
      </c>
      <c r="I390" t="s">
        <v>24</v>
      </c>
      <c r="J390">
        <v>2</v>
      </c>
      <c r="K390">
        <v>4</v>
      </c>
    </row>
    <row r="391" spans="1:11" x14ac:dyDescent="0.35">
      <c r="A391" t="s">
        <v>427</v>
      </c>
      <c r="B391">
        <v>74</v>
      </c>
      <c r="C391" t="s">
        <v>18</v>
      </c>
      <c r="D391" t="s">
        <v>19</v>
      </c>
      <c r="E391">
        <v>22</v>
      </c>
      <c r="F391" t="s">
        <v>22</v>
      </c>
      <c r="G391" t="s">
        <v>37</v>
      </c>
      <c r="H391" s="1">
        <v>179.81</v>
      </c>
      <c r="I391" t="s">
        <v>24</v>
      </c>
      <c r="J391">
        <v>0</v>
      </c>
      <c r="K391">
        <v>4</v>
      </c>
    </row>
    <row r="392" spans="1:11" x14ac:dyDescent="0.35">
      <c r="A392" t="s">
        <v>428</v>
      </c>
      <c r="B392">
        <v>59</v>
      </c>
      <c r="C392" t="s">
        <v>18</v>
      </c>
      <c r="D392" t="s">
        <v>19</v>
      </c>
      <c r="E392">
        <v>7</v>
      </c>
      <c r="F392" t="s">
        <v>22</v>
      </c>
      <c r="G392" t="s">
        <v>34</v>
      </c>
      <c r="H392" s="1">
        <v>111.71</v>
      </c>
      <c r="I392" t="s">
        <v>24</v>
      </c>
      <c r="J392">
        <v>0</v>
      </c>
      <c r="K392">
        <v>9</v>
      </c>
    </row>
    <row r="393" spans="1:11" x14ac:dyDescent="0.35">
      <c r="A393" t="s">
        <v>429</v>
      </c>
      <c r="B393">
        <v>74</v>
      </c>
      <c r="C393" t="s">
        <v>12</v>
      </c>
      <c r="D393" t="s">
        <v>13</v>
      </c>
      <c r="E393">
        <v>13</v>
      </c>
      <c r="F393" t="s">
        <v>22</v>
      </c>
      <c r="G393" t="s">
        <v>15</v>
      </c>
      <c r="H393" s="1">
        <v>136.51</v>
      </c>
      <c r="I393" t="s">
        <v>24</v>
      </c>
      <c r="J393">
        <v>0</v>
      </c>
      <c r="K393">
        <v>6</v>
      </c>
    </row>
    <row r="394" spans="1:11" x14ac:dyDescent="0.35">
      <c r="A394" t="s">
        <v>430</v>
      </c>
      <c r="B394">
        <v>21</v>
      </c>
      <c r="C394" t="s">
        <v>12</v>
      </c>
      <c r="D394" t="s">
        <v>47</v>
      </c>
      <c r="E394">
        <v>5</v>
      </c>
      <c r="F394" t="s">
        <v>22</v>
      </c>
      <c r="G394" t="s">
        <v>23</v>
      </c>
      <c r="H394" s="1">
        <v>236.45</v>
      </c>
      <c r="I394" t="s">
        <v>24</v>
      </c>
      <c r="J394">
        <v>2</v>
      </c>
      <c r="K394">
        <v>7</v>
      </c>
    </row>
    <row r="395" spans="1:11" x14ac:dyDescent="0.35">
      <c r="A395" t="s">
        <v>431</v>
      </c>
      <c r="B395">
        <v>22</v>
      </c>
      <c r="C395" t="s">
        <v>12</v>
      </c>
      <c r="D395" t="s">
        <v>19</v>
      </c>
      <c r="E395">
        <v>10</v>
      </c>
      <c r="F395" t="s">
        <v>26</v>
      </c>
      <c r="G395" t="s">
        <v>15</v>
      </c>
      <c r="H395" s="1">
        <v>281.08999999999997</v>
      </c>
      <c r="I395" t="s">
        <v>24</v>
      </c>
      <c r="J395">
        <v>2</v>
      </c>
      <c r="K395">
        <v>5</v>
      </c>
    </row>
    <row r="396" spans="1:11" x14ac:dyDescent="0.35">
      <c r="A396" t="s">
        <v>432</v>
      </c>
      <c r="B396">
        <v>78</v>
      </c>
      <c r="C396" t="s">
        <v>12</v>
      </c>
      <c r="D396" t="s">
        <v>200</v>
      </c>
      <c r="E396">
        <v>22</v>
      </c>
      <c r="F396" t="s">
        <v>26</v>
      </c>
      <c r="G396" t="s">
        <v>23</v>
      </c>
      <c r="H396" s="1">
        <v>281.85000000000002</v>
      </c>
      <c r="I396" t="s">
        <v>28</v>
      </c>
      <c r="J396">
        <v>2</v>
      </c>
      <c r="K396">
        <v>1</v>
      </c>
    </row>
    <row r="397" spans="1:11" x14ac:dyDescent="0.35">
      <c r="A397" t="s">
        <v>433</v>
      </c>
      <c r="B397">
        <v>54</v>
      </c>
      <c r="C397" t="s">
        <v>12</v>
      </c>
      <c r="D397" t="s">
        <v>19</v>
      </c>
      <c r="E397">
        <v>14</v>
      </c>
      <c r="F397" t="s">
        <v>22</v>
      </c>
      <c r="G397" t="s">
        <v>34</v>
      </c>
      <c r="H397" s="1">
        <v>217.46</v>
      </c>
      <c r="I397" t="s">
        <v>24</v>
      </c>
      <c r="J397">
        <v>1</v>
      </c>
      <c r="K397">
        <v>4</v>
      </c>
    </row>
    <row r="398" spans="1:11" x14ac:dyDescent="0.35">
      <c r="A398" t="s">
        <v>434</v>
      </c>
      <c r="B398">
        <v>49</v>
      </c>
      <c r="C398" t="s">
        <v>18</v>
      </c>
      <c r="D398" t="s">
        <v>19</v>
      </c>
      <c r="E398">
        <v>19</v>
      </c>
      <c r="F398" t="s">
        <v>31</v>
      </c>
      <c r="G398" t="s">
        <v>34</v>
      </c>
      <c r="H398" s="1">
        <v>185.78</v>
      </c>
      <c r="I398" t="s">
        <v>43</v>
      </c>
      <c r="J398">
        <v>1</v>
      </c>
      <c r="K398">
        <v>5</v>
      </c>
    </row>
    <row r="399" spans="1:11" x14ac:dyDescent="0.35">
      <c r="A399" t="s">
        <v>435</v>
      </c>
      <c r="B399">
        <v>50</v>
      </c>
      <c r="C399" t="s">
        <v>12</v>
      </c>
      <c r="D399" t="s">
        <v>19</v>
      </c>
      <c r="E399">
        <v>10</v>
      </c>
      <c r="F399" t="s">
        <v>33</v>
      </c>
      <c r="G399" t="s">
        <v>34</v>
      </c>
      <c r="H399" s="1">
        <v>96.94</v>
      </c>
      <c r="I399" t="s">
        <v>28</v>
      </c>
      <c r="J399">
        <v>3</v>
      </c>
      <c r="K399">
        <v>5</v>
      </c>
    </row>
    <row r="400" spans="1:11" x14ac:dyDescent="0.35">
      <c r="A400" t="s">
        <v>436</v>
      </c>
      <c r="B400">
        <v>83</v>
      </c>
      <c r="C400" t="s">
        <v>12</v>
      </c>
      <c r="D400" t="s">
        <v>19</v>
      </c>
      <c r="E400">
        <v>13</v>
      </c>
      <c r="F400" t="s">
        <v>22</v>
      </c>
      <c r="G400" t="s">
        <v>15</v>
      </c>
      <c r="H400" s="1">
        <v>264.95999999999998</v>
      </c>
      <c r="I400" t="s">
        <v>24</v>
      </c>
      <c r="J400">
        <v>0</v>
      </c>
      <c r="K400">
        <v>7</v>
      </c>
    </row>
    <row r="401" spans="1:11" x14ac:dyDescent="0.35">
      <c r="A401" t="s">
        <v>437</v>
      </c>
      <c r="B401">
        <v>56</v>
      </c>
      <c r="C401" t="s">
        <v>12</v>
      </c>
      <c r="D401" t="s">
        <v>19</v>
      </c>
      <c r="E401">
        <v>11</v>
      </c>
      <c r="F401" t="s">
        <v>26</v>
      </c>
      <c r="G401" t="s">
        <v>37</v>
      </c>
      <c r="H401" s="1">
        <v>157.16</v>
      </c>
      <c r="I401" t="s">
        <v>24</v>
      </c>
      <c r="J401">
        <v>3</v>
      </c>
      <c r="K401">
        <v>8</v>
      </c>
    </row>
    <row r="402" spans="1:11" x14ac:dyDescent="0.35">
      <c r="A402" t="s">
        <v>438</v>
      </c>
      <c r="B402">
        <v>64</v>
      </c>
      <c r="C402" t="s">
        <v>12</v>
      </c>
      <c r="D402" t="s">
        <v>120</v>
      </c>
      <c r="E402">
        <v>24</v>
      </c>
      <c r="F402" t="s">
        <v>31</v>
      </c>
      <c r="G402" t="s">
        <v>34</v>
      </c>
      <c r="H402" s="1">
        <v>120.8</v>
      </c>
      <c r="I402" t="s">
        <v>28</v>
      </c>
      <c r="J402">
        <v>3</v>
      </c>
      <c r="K402">
        <v>3</v>
      </c>
    </row>
    <row r="403" spans="1:11" x14ac:dyDescent="0.35">
      <c r="A403" t="s">
        <v>439</v>
      </c>
      <c r="B403">
        <v>55</v>
      </c>
      <c r="C403" t="s">
        <v>12</v>
      </c>
      <c r="D403" t="s">
        <v>19</v>
      </c>
      <c r="E403">
        <v>11</v>
      </c>
      <c r="F403" t="s">
        <v>22</v>
      </c>
      <c r="G403" t="s">
        <v>23</v>
      </c>
      <c r="H403" s="1">
        <v>296.14</v>
      </c>
      <c r="I403" t="s">
        <v>24</v>
      </c>
      <c r="J403">
        <v>3</v>
      </c>
      <c r="K403">
        <v>8</v>
      </c>
    </row>
    <row r="404" spans="1:11" x14ac:dyDescent="0.35">
      <c r="A404" t="s">
        <v>440</v>
      </c>
      <c r="B404">
        <v>69</v>
      </c>
      <c r="C404" t="s">
        <v>18</v>
      </c>
      <c r="D404" t="s">
        <v>21</v>
      </c>
      <c r="E404">
        <v>30</v>
      </c>
      <c r="F404" t="s">
        <v>31</v>
      </c>
      <c r="G404" t="s">
        <v>34</v>
      </c>
      <c r="H404" s="1">
        <v>210.37</v>
      </c>
      <c r="I404" t="s">
        <v>24</v>
      </c>
      <c r="J404">
        <v>0</v>
      </c>
      <c r="K404">
        <v>5</v>
      </c>
    </row>
    <row r="405" spans="1:11" x14ac:dyDescent="0.35">
      <c r="A405" t="s">
        <v>441</v>
      </c>
      <c r="B405">
        <v>36</v>
      </c>
      <c r="C405" t="s">
        <v>18</v>
      </c>
      <c r="D405" t="s">
        <v>30</v>
      </c>
      <c r="E405">
        <v>14</v>
      </c>
      <c r="F405" t="s">
        <v>22</v>
      </c>
      <c r="G405" t="s">
        <v>15</v>
      </c>
      <c r="H405" s="1">
        <v>398.17</v>
      </c>
      <c r="I405" t="s">
        <v>24</v>
      </c>
      <c r="J405">
        <v>3</v>
      </c>
      <c r="K405">
        <v>6</v>
      </c>
    </row>
    <row r="406" spans="1:11" x14ac:dyDescent="0.35">
      <c r="A406" t="s">
        <v>442</v>
      </c>
      <c r="B406">
        <v>43</v>
      </c>
      <c r="C406" t="s">
        <v>12</v>
      </c>
      <c r="D406" t="s">
        <v>21</v>
      </c>
      <c r="E406">
        <v>45</v>
      </c>
      <c r="F406" t="s">
        <v>33</v>
      </c>
      <c r="G406" t="s">
        <v>37</v>
      </c>
      <c r="H406" s="1">
        <v>214.48</v>
      </c>
      <c r="I406" t="s">
        <v>24</v>
      </c>
      <c r="J406">
        <v>2</v>
      </c>
      <c r="K406">
        <v>1</v>
      </c>
    </row>
    <row r="407" spans="1:11" x14ac:dyDescent="0.35">
      <c r="A407" t="s">
        <v>443</v>
      </c>
      <c r="B407">
        <v>51</v>
      </c>
      <c r="C407" t="s">
        <v>18</v>
      </c>
      <c r="D407" t="s">
        <v>21</v>
      </c>
      <c r="E407">
        <v>12</v>
      </c>
      <c r="F407" t="s">
        <v>33</v>
      </c>
      <c r="G407" t="s">
        <v>23</v>
      </c>
      <c r="H407" s="1">
        <v>575.05999999999995</v>
      </c>
      <c r="I407" t="s">
        <v>28</v>
      </c>
      <c r="J407">
        <v>0</v>
      </c>
      <c r="K407">
        <v>6</v>
      </c>
    </row>
    <row r="408" spans="1:11" x14ac:dyDescent="0.35">
      <c r="A408" t="s">
        <v>444</v>
      </c>
      <c r="B408">
        <v>20</v>
      </c>
      <c r="C408" t="s">
        <v>18</v>
      </c>
      <c r="D408" t="s">
        <v>47</v>
      </c>
      <c r="E408">
        <v>10</v>
      </c>
      <c r="F408" t="s">
        <v>33</v>
      </c>
      <c r="G408" t="s">
        <v>37</v>
      </c>
      <c r="H408" s="1">
        <v>124.19</v>
      </c>
      <c r="I408" t="s">
        <v>24</v>
      </c>
      <c r="J408">
        <v>1</v>
      </c>
      <c r="K408">
        <v>5</v>
      </c>
    </row>
    <row r="409" spans="1:11" x14ac:dyDescent="0.35">
      <c r="A409" t="s">
        <v>445</v>
      </c>
      <c r="B409">
        <v>61</v>
      </c>
      <c r="C409" t="s">
        <v>12</v>
      </c>
      <c r="D409" t="s">
        <v>30</v>
      </c>
      <c r="E409">
        <v>12</v>
      </c>
      <c r="F409" t="s">
        <v>31</v>
      </c>
      <c r="G409" t="s">
        <v>37</v>
      </c>
      <c r="H409" s="1">
        <v>138.99</v>
      </c>
      <c r="I409" t="s">
        <v>24</v>
      </c>
      <c r="J409">
        <v>0</v>
      </c>
      <c r="K409">
        <v>5</v>
      </c>
    </row>
    <row r="410" spans="1:11" x14ac:dyDescent="0.35">
      <c r="A410" t="s">
        <v>446</v>
      </c>
      <c r="B410">
        <v>33</v>
      </c>
      <c r="C410" t="s">
        <v>18</v>
      </c>
      <c r="D410" t="s">
        <v>21</v>
      </c>
      <c r="E410">
        <v>16</v>
      </c>
      <c r="F410" t="s">
        <v>26</v>
      </c>
      <c r="G410" t="s">
        <v>15</v>
      </c>
      <c r="H410" s="1">
        <v>290.18</v>
      </c>
      <c r="I410" t="s">
        <v>28</v>
      </c>
      <c r="J410">
        <v>1</v>
      </c>
      <c r="K410">
        <v>8</v>
      </c>
    </row>
    <row r="411" spans="1:11" x14ac:dyDescent="0.35">
      <c r="A411" t="s">
        <v>447</v>
      </c>
      <c r="B411">
        <v>65</v>
      </c>
      <c r="C411" t="s">
        <v>12</v>
      </c>
      <c r="D411" t="s">
        <v>13</v>
      </c>
      <c r="E411">
        <v>13</v>
      </c>
      <c r="F411" t="s">
        <v>31</v>
      </c>
      <c r="G411" t="s">
        <v>34</v>
      </c>
      <c r="H411" s="1">
        <v>160.68</v>
      </c>
      <c r="I411" t="s">
        <v>43</v>
      </c>
      <c r="J411">
        <v>3</v>
      </c>
      <c r="K411">
        <v>6</v>
      </c>
    </row>
    <row r="412" spans="1:11" x14ac:dyDescent="0.35">
      <c r="A412" t="s">
        <v>448</v>
      </c>
      <c r="B412">
        <v>54</v>
      </c>
      <c r="C412" t="s">
        <v>12</v>
      </c>
      <c r="D412" t="s">
        <v>21</v>
      </c>
      <c r="E412">
        <v>17</v>
      </c>
      <c r="F412" t="s">
        <v>33</v>
      </c>
      <c r="G412" t="s">
        <v>23</v>
      </c>
      <c r="H412" s="1">
        <v>235.15</v>
      </c>
      <c r="I412" t="s">
        <v>24</v>
      </c>
      <c r="J412">
        <v>0</v>
      </c>
      <c r="K412">
        <v>8</v>
      </c>
    </row>
    <row r="413" spans="1:11" x14ac:dyDescent="0.35">
      <c r="A413" t="s">
        <v>449</v>
      </c>
      <c r="B413">
        <v>74</v>
      </c>
      <c r="C413" t="s">
        <v>12</v>
      </c>
      <c r="D413" t="s">
        <v>21</v>
      </c>
      <c r="E413">
        <v>38</v>
      </c>
      <c r="F413" t="s">
        <v>26</v>
      </c>
      <c r="G413" t="s">
        <v>34</v>
      </c>
      <c r="H413" s="1">
        <v>185.79</v>
      </c>
      <c r="I413" t="s">
        <v>28</v>
      </c>
      <c r="J413">
        <v>4</v>
      </c>
      <c r="K413">
        <v>4</v>
      </c>
    </row>
    <row r="414" spans="1:11" x14ac:dyDescent="0.35">
      <c r="A414" t="s">
        <v>450</v>
      </c>
      <c r="B414">
        <v>84</v>
      </c>
      <c r="C414" t="s">
        <v>12</v>
      </c>
      <c r="D414" t="s">
        <v>21</v>
      </c>
      <c r="E414">
        <v>23</v>
      </c>
      <c r="F414" t="s">
        <v>22</v>
      </c>
      <c r="G414" t="s">
        <v>27</v>
      </c>
      <c r="H414" s="1">
        <v>106.35</v>
      </c>
      <c r="I414" t="s">
        <v>24</v>
      </c>
      <c r="J414">
        <v>4</v>
      </c>
      <c r="K414">
        <v>3</v>
      </c>
    </row>
    <row r="415" spans="1:11" x14ac:dyDescent="0.35">
      <c r="A415" t="s">
        <v>451</v>
      </c>
      <c r="B415">
        <v>23</v>
      </c>
      <c r="C415" t="s">
        <v>18</v>
      </c>
      <c r="D415" t="s">
        <v>21</v>
      </c>
      <c r="E415">
        <v>32</v>
      </c>
      <c r="F415" t="s">
        <v>14</v>
      </c>
      <c r="G415" t="s">
        <v>37</v>
      </c>
      <c r="H415" s="1">
        <v>0</v>
      </c>
      <c r="I415" t="s">
        <v>16</v>
      </c>
      <c r="J415">
        <v>2</v>
      </c>
      <c r="K415">
        <v>1</v>
      </c>
    </row>
    <row r="416" spans="1:11" x14ac:dyDescent="0.35">
      <c r="A416" t="s">
        <v>452</v>
      </c>
      <c r="B416">
        <v>21</v>
      </c>
      <c r="C416" t="s">
        <v>18</v>
      </c>
      <c r="D416" t="s">
        <v>13</v>
      </c>
      <c r="E416">
        <v>24</v>
      </c>
      <c r="F416" t="s">
        <v>31</v>
      </c>
      <c r="G416" t="s">
        <v>15</v>
      </c>
      <c r="H416" s="1">
        <v>371.05</v>
      </c>
      <c r="I416" t="s">
        <v>24</v>
      </c>
      <c r="J416">
        <v>2</v>
      </c>
      <c r="K416">
        <v>3</v>
      </c>
    </row>
    <row r="417" spans="1:11" x14ac:dyDescent="0.35">
      <c r="A417" t="s">
        <v>453</v>
      </c>
      <c r="B417">
        <v>22</v>
      </c>
      <c r="C417" t="s">
        <v>12</v>
      </c>
      <c r="D417" t="s">
        <v>13</v>
      </c>
      <c r="E417">
        <v>15</v>
      </c>
      <c r="F417" t="s">
        <v>33</v>
      </c>
      <c r="G417" t="s">
        <v>34</v>
      </c>
      <c r="H417" s="1">
        <v>127.64</v>
      </c>
      <c r="I417" t="s">
        <v>24</v>
      </c>
      <c r="J417">
        <v>3</v>
      </c>
      <c r="K417">
        <v>8</v>
      </c>
    </row>
    <row r="418" spans="1:11" x14ac:dyDescent="0.35">
      <c r="A418" t="s">
        <v>454</v>
      </c>
      <c r="B418">
        <v>80</v>
      </c>
      <c r="C418" t="s">
        <v>18</v>
      </c>
      <c r="D418" t="s">
        <v>19</v>
      </c>
      <c r="E418">
        <v>18</v>
      </c>
      <c r="F418" t="s">
        <v>31</v>
      </c>
      <c r="G418" t="s">
        <v>34</v>
      </c>
      <c r="H418" s="1">
        <v>196.15</v>
      </c>
      <c r="I418" t="s">
        <v>28</v>
      </c>
      <c r="J418">
        <v>1</v>
      </c>
      <c r="K418">
        <v>5</v>
      </c>
    </row>
    <row r="419" spans="1:11" x14ac:dyDescent="0.35">
      <c r="A419" t="s">
        <v>455</v>
      </c>
      <c r="B419">
        <v>57</v>
      </c>
      <c r="C419" t="s">
        <v>18</v>
      </c>
      <c r="D419" t="s">
        <v>21</v>
      </c>
      <c r="E419">
        <v>40</v>
      </c>
      <c r="F419" t="s">
        <v>22</v>
      </c>
      <c r="G419" t="s">
        <v>34</v>
      </c>
      <c r="H419" s="1">
        <v>166.76</v>
      </c>
      <c r="I419" t="s">
        <v>24</v>
      </c>
      <c r="J419">
        <v>2</v>
      </c>
      <c r="K419">
        <v>1</v>
      </c>
    </row>
    <row r="420" spans="1:11" x14ac:dyDescent="0.35">
      <c r="A420" t="s">
        <v>456</v>
      </c>
      <c r="B420">
        <v>77</v>
      </c>
      <c r="C420" t="s">
        <v>18</v>
      </c>
      <c r="D420" t="s">
        <v>21</v>
      </c>
      <c r="E420">
        <v>47</v>
      </c>
      <c r="F420" t="s">
        <v>14</v>
      </c>
      <c r="G420" t="s">
        <v>27</v>
      </c>
      <c r="H420" s="1">
        <v>0</v>
      </c>
      <c r="I420" t="s">
        <v>16</v>
      </c>
      <c r="J420">
        <v>1</v>
      </c>
      <c r="K420">
        <v>5</v>
      </c>
    </row>
    <row r="421" spans="1:11" x14ac:dyDescent="0.35">
      <c r="A421" t="s">
        <v>457</v>
      </c>
      <c r="B421">
        <v>52</v>
      </c>
      <c r="C421" t="s">
        <v>18</v>
      </c>
      <c r="D421" t="s">
        <v>21</v>
      </c>
      <c r="E421">
        <v>12</v>
      </c>
      <c r="F421" t="s">
        <v>31</v>
      </c>
      <c r="G421" t="s">
        <v>37</v>
      </c>
      <c r="H421" s="1">
        <v>159.87</v>
      </c>
      <c r="I421" t="s">
        <v>24</v>
      </c>
      <c r="J421">
        <v>1</v>
      </c>
      <c r="K421">
        <v>4</v>
      </c>
    </row>
    <row r="422" spans="1:11" x14ac:dyDescent="0.35">
      <c r="A422" t="s">
        <v>458</v>
      </c>
      <c r="B422">
        <v>21</v>
      </c>
      <c r="C422" t="s">
        <v>12</v>
      </c>
      <c r="D422" t="s">
        <v>19</v>
      </c>
      <c r="E422">
        <v>14</v>
      </c>
      <c r="F422" t="s">
        <v>31</v>
      </c>
      <c r="G422" t="s">
        <v>37</v>
      </c>
      <c r="H422" s="1">
        <v>105.37</v>
      </c>
      <c r="I422" t="s">
        <v>24</v>
      </c>
      <c r="J422">
        <v>3</v>
      </c>
      <c r="K422">
        <v>5</v>
      </c>
    </row>
    <row r="423" spans="1:11" x14ac:dyDescent="0.35">
      <c r="A423" t="s">
        <v>459</v>
      </c>
      <c r="B423">
        <v>18</v>
      </c>
      <c r="C423" t="s">
        <v>12</v>
      </c>
      <c r="D423" t="s">
        <v>21</v>
      </c>
      <c r="E423">
        <v>36</v>
      </c>
      <c r="F423" t="s">
        <v>33</v>
      </c>
      <c r="G423" t="s">
        <v>23</v>
      </c>
      <c r="H423" s="1">
        <v>141.26</v>
      </c>
      <c r="I423" t="s">
        <v>28</v>
      </c>
      <c r="J423">
        <v>4</v>
      </c>
      <c r="K423">
        <v>4</v>
      </c>
    </row>
    <row r="424" spans="1:11" x14ac:dyDescent="0.35">
      <c r="A424" t="s">
        <v>460</v>
      </c>
      <c r="B424">
        <v>74</v>
      </c>
      <c r="C424" t="s">
        <v>18</v>
      </c>
      <c r="D424" t="s">
        <v>21</v>
      </c>
      <c r="E424">
        <v>16</v>
      </c>
      <c r="F424" t="s">
        <v>31</v>
      </c>
      <c r="G424" t="s">
        <v>37</v>
      </c>
      <c r="H424" s="1">
        <v>111.76</v>
      </c>
      <c r="I424" t="s">
        <v>24</v>
      </c>
      <c r="J424">
        <v>2</v>
      </c>
      <c r="K424">
        <v>5</v>
      </c>
    </row>
    <row r="425" spans="1:11" x14ac:dyDescent="0.35">
      <c r="A425" t="s">
        <v>461</v>
      </c>
      <c r="B425">
        <v>27</v>
      </c>
      <c r="C425" t="s">
        <v>18</v>
      </c>
      <c r="D425" t="s">
        <v>19</v>
      </c>
      <c r="E425">
        <v>10</v>
      </c>
      <c r="F425" t="s">
        <v>33</v>
      </c>
      <c r="G425" t="s">
        <v>27</v>
      </c>
      <c r="H425" s="1">
        <v>162.27000000000001</v>
      </c>
      <c r="I425" t="s">
        <v>24</v>
      </c>
      <c r="J425">
        <v>0</v>
      </c>
      <c r="K425">
        <v>7</v>
      </c>
    </row>
    <row r="426" spans="1:11" x14ac:dyDescent="0.35">
      <c r="A426" t="s">
        <v>462</v>
      </c>
      <c r="B426">
        <v>36</v>
      </c>
      <c r="C426" t="s">
        <v>18</v>
      </c>
      <c r="D426" t="s">
        <v>21</v>
      </c>
      <c r="E426">
        <v>37</v>
      </c>
      <c r="F426" t="s">
        <v>22</v>
      </c>
      <c r="G426" t="s">
        <v>27</v>
      </c>
      <c r="H426" s="1">
        <v>135.69</v>
      </c>
      <c r="I426" t="s">
        <v>24</v>
      </c>
      <c r="J426">
        <v>0</v>
      </c>
      <c r="K426">
        <v>2</v>
      </c>
    </row>
    <row r="427" spans="1:11" x14ac:dyDescent="0.35">
      <c r="A427" t="s">
        <v>463</v>
      </c>
      <c r="B427">
        <v>60</v>
      </c>
      <c r="C427" t="s">
        <v>18</v>
      </c>
      <c r="D427" t="s">
        <v>13</v>
      </c>
      <c r="E427">
        <v>17</v>
      </c>
      <c r="F427" t="s">
        <v>33</v>
      </c>
      <c r="G427" t="s">
        <v>37</v>
      </c>
      <c r="H427" s="1">
        <v>161.6</v>
      </c>
      <c r="I427" t="s">
        <v>24</v>
      </c>
      <c r="J427">
        <v>1</v>
      </c>
      <c r="K427">
        <v>5</v>
      </c>
    </row>
    <row r="428" spans="1:11" x14ac:dyDescent="0.35">
      <c r="A428" t="s">
        <v>464</v>
      </c>
      <c r="B428">
        <v>19</v>
      </c>
      <c r="C428" t="s">
        <v>12</v>
      </c>
      <c r="D428" t="s">
        <v>13</v>
      </c>
      <c r="E428">
        <v>12</v>
      </c>
      <c r="F428" t="s">
        <v>33</v>
      </c>
      <c r="G428" t="s">
        <v>34</v>
      </c>
      <c r="H428" s="1">
        <v>143.08000000000001</v>
      </c>
      <c r="I428" t="s">
        <v>24</v>
      </c>
      <c r="J428">
        <v>3</v>
      </c>
      <c r="K428">
        <v>6</v>
      </c>
    </row>
    <row r="429" spans="1:11" x14ac:dyDescent="0.35">
      <c r="A429" t="s">
        <v>465</v>
      </c>
      <c r="B429">
        <v>63</v>
      </c>
      <c r="C429" t="s">
        <v>12</v>
      </c>
      <c r="D429" t="s">
        <v>30</v>
      </c>
      <c r="E429">
        <v>3</v>
      </c>
      <c r="F429" t="s">
        <v>31</v>
      </c>
      <c r="G429" t="s">
        <v>34</v>
      </c>
      <c r="H429" s="1">
        <v>129.54</v>
      </c>
      <c r="I429" t="s">
        <v>28</v>
      </c>
      <c r="J429">
        <v>0</v>
      </c>
      <c r="K429">
        <v>10</v>
      </c>
    </row>
    <row r="430" spans="1:11" x14ac:dyDescent="0.35">
      <c r="A430" t="s">
        <v>466</v>
      </c>
      <c r="B430">
        <v>38</v>
      </c>
      <c r="C430" t="s">
        <v>12</v>
      </c>
      <c r="D430" t="s">
        <v>19</v>
      </c>
      <c r="E430">
        <v>12</v>
      </c>
      <c r="F430" t="s">
        <v>33</v>
      </c>
      <c r="G430" t="s">
        <v>23</v>
      </c>
      <c r="H430" s="1">
        <v>561.15</v>
      </c>
      <c r="I430" t="s">
        <v>24</v>
      </c>
      <c r="J430">
        <v>0</v>
      </c>
      <c r="K430">
        <v>8</v>
      </c>
    </row>
    <row r="431" spans="1:11" x14ac:dyDescent="0.35">
      <c r="A431" t="s">
        <v>467</v>
      </c>
      <c r="B431">
        <v>85</v>
      </c>
      <c r="C431" t="s">
        <v>12</v>
      </c>
      <c r="D431" t="s">
        <v>19</v>
      </c>
      <c r="E431">
        <v>6</v>
      </c>
      <c r="F431" t="s">
        <v>26</v>
      </c>
      <c r="G431" t="s">
        <v>15</v>
      </c>
      <c r="H431" s="1">
        <v>235.02</v>
      </c>
      <c r="I431" t="s">
        <v>24</v>
      </c>
      <c r="J431">
        <v>2</v>
      </c>
      <c r="K431">
        <v>8</v>
      </c>
    </row>
    <row r="432" spans="1:11" x14ac:dyDescent="0.35">
      <c r="A432" t="s">
        <v>468</v>
      </c>
      <c r="B432">
        <v>20</v>
      </c>
      <c r="C432" t="s">
        <v>12</v>
      </c>
      <c r="D432" t="s">
        <v>30</v>
      </c>
      <c r="E432">
        <v>5</v>
      </c>
      <c r="F432" t="s">
        <v>22</v>
      </c>
      <c r="G432" t="s">
        <v>15</v>
      </c>
      <c r="H432" s="1">
        <v>246.88</v>
      </c>
      <c r="I432" t="s">
        <v>24</v>
      </c>
      <c r="J432">
        <v>0</v>
      </c>
      <c r="K432">
        <v>7</v>
      </c>
    </row>
    <row r="433" spans="1:11" x14ac:dyDescent="0.35">
      <c r="A433" t="s">
        <v>469</v>
      </c>
      <c r="B433">
        <v>21</v>
      </c>
      <c r="C433" t="s">
        <v>12</v>
      </c>
      <c r="D433" t="s">
        <v>13</v>
      </c>
      <c r="E433">
        <v>7</v>
      </c>
      <c r="F433" t="s">
        <v>33</v>
      </c>
      <c r="G433" t="s">
        <v>15</v>
      </c>
      <c r="H433" s="1">
        <v>262.73</v>
      </c>
      <c r="I433" t="s">
        <v>24</v>
      </c>
      <c r="J433">
        <v>0</v>
      </c>
      <c r="K433">
        <v>9</v>
      </c>
    </row>
    <row r="434" spans="1:11" x14ac:dyDescent="0.35">
      <c r="A434" t="s">
        <v>470</v>
      </c>
      <c r="B434">
        <v>23</v>
      </c>
      <c r="C434" t="s">
        <v>12</v>
      </c>
      <c r="D434" t="s">
        <v>21</v>
      </c>
      <c r="E434">
        <v>17</v>
      </c>
      <c r="F434" t="s">
        <v>22</v>
      </c>
      <c r="G434" t="s">
        <v>23</v>
      </c>
      <c r="H434" s="1">
        <v>594.13</v>
      </c>
      <c r="I434" t="s">
        <v>24</v>
      </c>
      <c r="J434">
        <v>1</v>
      </c>
      <c r="K434">
        <v>7</v>
      </c>
    </row>
    <row r="435" spans="1:11" x14ac:dyDescent="0.35">
      <c r="A435" t="s">
        <v>471</v>
      </c>
      <c r="B435">
        <v>82</v>
      </c>
      <c r="C435" t="s">
        <v>18</v>
      </c>
      <c r="D435" t="s">
        <v>19</v>
      </c>
      <c r="E435">
        <v>17</v>
      </c>
      <c r="F435" t="s">
        <v>22</v>
      </c>
      <c r="G435" t="s">
        <v>27</v>
      </c>
      <c r="H435" s="1">
        <v>84.67</v>
      </c>
      <c r="I435" t="s">
        <v>24</v>
      </c>
      <c r="J435">
        <v>3</v>
      </c>
      <c r="K435">
        <v>4</v>
      </c>
    </row>
    <row r="436" spans="1:11" x14ac:dyDescent="0.35">
      <c r="A436" t="s">
        <v>472</v>
      </c>
      <c r="B436">
        <v>84</v>
      </c>
      <c r="C436" t="s">
        <v>18</v>
      </c>
      <c r="D436" t="s">
        <v>21</v>
      </c>
      <c r="E436">
        <v>21</v>
      </c>
      <c r="F436" t="s">
        <v>26</v>
      </c>
      <c r="G436" t="s">
        <v>15</v>
      </c>
      <c r="H436" s="1">
        <v>354.1</v>
      </c>
      <c r="I436" t="s">
        <v>24</v>
      </c>
      <c r="J436">
        <v>1</v>
      </c>
      <c r="K436">
        <v>1</v>
      </c>
    </row>
    <row r="437" spans="1:11" x14ac:dyDescent="0.35">
      <c r="A437" t="s">
        <v>473</v>
      </c>
      <c r="B437">
        <v>76</v>
      </c>
      <c r="C437" t="s">
        <v>12</v>
      </c>
      <c r="D437" t="s">
        <v>21</v>
      </c>
      <c r="E437">
        <v>26</v>
      </c>
      <c r="F437" t="s">
        <v>14</v>
      </c>
      <c r="G437" t="s">
        <v>23</v>
      </c>
      <c r="H437" s="1">
        <v>0</v>
      </c>
      <c r="I437" t="s">
        <v>16</v>
      </c>
      <c r="J437">
        <v>1</v>
      </c>
      <c r="K437">
        <v>3</v>
      </c>
    </row>
    <row r="438" spans="1:11" x14ac:dyDescent="0.35">
      <c r="A438" t="s">
        <v>474</v>
      </c>
      <c r="B438">
        <v>58</v>
      </c>
      <c r="C438" t="s">
        <v>12</v>
      </c>
      <c r="D438" t="s">
        <v>19</v>
      </c>
      <c r="E438">
        <v>21</v>
      </c>
      <c r="F438" t="s">
        <v>22</v>
      </c>
      <c r="G438" t="s">
        <v>34</v>
      </c>
      <c r="H438" s="1">
        <v>101.11</v>
      </c>
      <c r="I438" t="s">
        <v>43</v>
      </c>
      <c r="J438">
        <v>3</v>
      </c>
      <c r="K438">
        <v>5</v>
      </c>
    </row>
    <row r="439" spans="1:11" x14ac:dyDescent="0.35">
      <c r="A439" t="s">
        <v>475</v>
      </c>
      <c r="B439">
        <v>58</v>
      </c>
      <c r="C439" t="s">
        <v>12</v>
      </c>
      <c r="D439" t="s">
        <v>13</v>
      </c>
      <c r="E439">
        <v>12</v>
      </c>
      <c r="F439" t="s">
        <v>33</v>
      </c>
      <c r="G439" t="s">
        <v>15</v>
      </c>
      <c r="H439" s="1">
        <v>271.52999999999997</v>
      </c>
      <c r="I439" t="s">
        <v>24</v>
      </c>
      <c r="J439">
        <v>0</v>
      </c>
      <c r="K439">
        <v>8</v>
      </c>
    </row>
    <row r="440" spans="1:11" x14ac:dyDescent="0.35">
      <c r="A440" t="s">
        <v>476</v>
      </c>
      <c r="B440">
        <v>69</v>
      </c>
      <c r="C440" t="s">
        <v>18</v>
      </c>
      <c r="D440" t="s">
        <v>19</v>
      </c>
      <c r="E440">
        <v>6</v>
      </c>
      <c r="F440" t="s">
        <v>14</v>
      </c>
      <c r="G440" t="s">
        <v>27</v>
      </c>
      <c r="H440" s="1">
        <v>0</v>
      </c>
      <c r="I440" t="s">
        <v>16</v>
      </c>
      <c r="J440">
        <v>0</v>
      </c>
      <c r="K440">
        <v>8</v>
      </c>
    </row>
    <row r="441" spans="1:11" x14ac:dyDescent="0.35">
      <c r="A441" t="s">
        <v>477</v>
      </c>
      <c r="B441">
        <v>54</v>
      </c>
      <c r="C441" t="s">
        <v>12</v>
      </c>
      <c r="D441" t="s">
        <v>30</v>
      </c>
      <c r="E441">
        <v>10</v>
      </c>
      <c r="F441" t="s">
        <v>33</v>
      </c>
      <c r="G441" t="s">
        <v>34</v>
      </c>
      <c r="H441" s="1">
        <v>210.97</v>
      </c>
      <c r="I441" t="s">
        <v>24</v>
      </c>
      <c r="J441">
        <v>0</v>
      </c>
      <c r="K441">
        <v>5</v>
      </c>
    </row>
    <row r="442" spans="1:11" x14ac:dyDescent="0.35">
      <c r="A442" t="s">
        <v>478</v>
      </c>
      <c r="B442">
        <v>46</v>
      </c>
      <c r="C442" t="s">
        <v>12</v>
      </c>
      <c r="D442" t="s">
        <v>19</v>
      </c>
      <c r="E442">
        <v>6</v>
      </c>
      <c r="F442" t="s">
        <v>14</v>
      </c>
      <c r="G442" t="s">
        <v>23</v>
      </c>
      <c r="H442" s="1">
        <v>0</v>
      </c>
      <c r="I442" t="s">
        <v>16</v>
      </c>
      <c r="J442">
        <v>0</v>
      </c>
      <c r="K442">
        <v>10</v>
      </c>
    </row>
    <row r="443" spans="1:11" x14ac:dyDescent="0.35">
      <c r="A443" t="s">
        <v>479</v>
      </c>
      <c r="B443">
        <v>79</v>
      </c>
      <c r="C443" t="s">
        <v>18</v>
      </c>
      <c r="D443" t="s">
        <v>30</v>
      </c>
      <c r="E443">
        <v>4</v>
      </c>
      <c r="F443" t="s">
        <v>33</v>
      </c>
      <c r="G443" t="s">
        <v>37</v>
      </c>
      <c r="H443" s="1">
        <v>131.5</v>
      </c>
      <c r="I443" t="s">
        <v>24</v>
      </c>
      <c r="J443">
        <v>0</v>
      </c>
      <c r="K443">
        <v>9</v>
      </c>
    </row>
    <row r="444" spans="1:11" x14ac:dyDescent="0.35">
      <c r="A444" t="s">
        <v>480</v>
      </c>
      <c r="B444">
        <v>19</v>
      </c>
      <c r="C444" t="s">
        <v>18</v>
      </c>
      <c r="D444" t="s">
        <v>19</v>
      </c>
      <c r="E444">
        <v>21</v>
      </c>
      <c r="F444" t="s">
        <v>31</v>
      </c>
      <c r="G444" t="s">
        <v>15</v>
      </c>
      <c r="H444" s="1">
        <v>259.8</v>
      </c>
      <c r="I444" t="s">
        <v>28</v>
      </c>
      <c r="J444">
        <v>1</v>
      </c>
      <c r="K444">
        <v>2</v>
      </c>
    </row>
    <row r="445" spans="1:11" x14ac:dyDescent="0.35">
      <c r="A445" t="s">
        <v>481</v>
      </c>
      <c r="B445">
        <v>81</v>
      </c>
      <c r="C445" t="s">
        <v>12</v>
      </c>
      <c r="D445" t="s">
        <v>19</v>
      </c>
      <c r="E445">
        <v>19</v>
      </c>
      <c r="F445" t="s">
        <v>31</v>
      </c>
      <c r="G445" t="s">
        <v>37</v>
      </c>
      <c r="H445" s="1">
        <v>108.99</v>
      </c>
      <c r="I445" t="s">
        <v>43</v>
      </c>
      <c r="J445">
        <v>0</v>
      </c>
      <c r="K445">
        <v>1</v>
      </c>
    </row>
    <row r="446" spans="1:11" x14ac:dyDescent="0.35">
      <c r="A446" t="s">
        <v>482</v>
      </c>
      <c r="B446">
        <v>70</v>
      </c>
      <c r="C446" t="s">
        <v>18</v>
      </c>
      <c r="D446" t="s">
        <v>19</v>
      </c>
      <c r="E446">
        <v>17</v>
      </c>
      <c r="F446" t="s">
        <v>22</v>
      </c>
      <c r="G446" t="s">
        <v>27</v>
      </c>
      <c r="H446" s="1">
        <v>130.04</v>
      </c>
      <c r="I446" t="s">
        <v>24</v>
      </c>
      <c r="J446">
        <v>0</v>
      </c>
      <c r="K446">
        <v>6</v>
      </c>
    </row>
    <row r="447" spans="1:11" x14ac:dyDescent="0.35">
      <c r="A447" t="s">
        <v>483</v>
      </c>
      <c r="B447">
        <v>70</v>
      </c>
      <c r="C447" t="s">
        <v>12</v>
      </c>
      <c r="D447" t="s">
        <v>19</v>
      </c>
      <c r="E447">
        <v>17</v>
      </c>
      <c r="F447" t="s">
        <v>26</v>
      </c>
      <c r="G447" t="s">
        <v>27</v>
      </c>
      <c r="H447" s="1">
        <v>156.91999999999999</v>
      </c>
      <c r="I447" t="s">
        <v>24</v>
      </c>
      <c r="J447">
        <v>3</v>
      </c>
      <c r="K447">
        <v>6</v>
      </c>
    </row>
    <row r="448" spans="1:11" x14ac:dyDescent="0.35">
      <c r="A448" t="s">
        <v>484</v>
      </c>
      <c r="B448">
        <v>23</v>
      </c>
      <c r="C448" t="s">
        <v>18</v>
      </c>
      <c r="D448" t="s">
        <v>13</v>
      </c>
      <c r="E448">
        <v>10</v>
      </c>
      <c r="F448" t="s">
        <v>22</v>
      </c>
      <c r="G448" t="s">
        <v>23</v>
      </c>
      <c r="H448" s="1">
        <v>348.83</v>
      </c>
      <c r="I448" t="s">
        <v>28</v>
      </c>
      <c r="J448">
        <v>2</v>
      </c>
      <c r="K448">
        <v>7</v>
      </c>
    </row>
    <row r="449" spans="1:11" x14ac:dyDescent="0.35">
      <c r="A449" t="s">
        <v>485</v>
      </c>
      <c r="B449">
        <v>59</v>
      </c>
      <c r="C449" t="s">
        <v>18</v>
      </c>
      <c r="D449" t="s">
        <v>244</v>
      </c>
      <c r="E449">
        <v>10</v>
      </c>
      <c r="F449" t="s">
        <v>31</v>
      </c>
      <c r="G449" t="s">
        <v>34</v>
      </c>
      <c r="H449" s="1">
        <v>201.31</v>
      </c>
      <c r="I449" t="s">
        <v>24</v>
      </c>
      <c r="J449">
        <v>1</v>
      </c>
      <c r="K449">
        <v>6</v>
      </c>
    </row>
    <row r="450" spans="1:11" x14ac:dyDescent="0.35">
      <c r="A450" t="s">
        <v>486</v>
      </c>
      <c r="B450">
        <v>64</v>
      </c>
      <c r="C450" t="s">
        <v>18</v>
      </c>
      <c r="D450" t="s">
        <v>19</v>
      </c>
      <c r="E450">
        <v>11</v>
      </c>
      <c r="F450" t="s">
        <v>33</v>
      </c>
      <c r="G450" t="s">
        <v>27</v>
      </c>
      <c r="H450" s="1">
        <v>72.73</v>
      </c>
      <c r="I450" t="s">
        <v>24</v>
      </c>
      <c r="J450">
        <v>2</v>
      </c>
      <c r="K450">
        <v>5</v>
      </c>
    </row>
    <row r="451" spans="1:11" x14ac:dyDescent="0.35">
      <c r="A451" t="s">
        <v>487</v>
      </c>
      <c r="B451">
        <v>51</v>
      </c>
      <c r="C451" t="s">
        <v>12</v>
      </c>
      <c r="D451" t="s">
        <v>19</v>
      </c>
      <c r="E451">
        <v>17</v>
      </c>
      <c r="F451" t="s">
        <v>31</v>
      </c>
      <c r="G451" t="s">
        <v>27</v>
      </c>
      <c r="H451" s="1">
        <v>122.12</v>
      </c>
      <c r="I451" t="s">
        <v>24</v>
      </c>
      <c r="J451">
        <v>0</v>
      </c>
      <c r="K451">
        <v>7</v>
      </c>
    </row>
    <row r="452" spans="1:11" x14ac:dyDescent="0.35">
      <c r="A452" t="s">
        <v>488</v>
      </c>
      <c r="B452">
        <v>49</v>
      </c>
      <c r="C452" t="s">
        <v>12</v>
      </c>
      <c r="D452" t="s">
        <v>19</v>
      </c>
      <c r="E452">
        <v>18</v>
      </c>
      <c r="F452" t="s">
        <v>26</v>
      </c>
      <c r="G452" t="s">
        <v>23</v>
      </c>
      <c r="H452" s="1">
        <v>349.28</v>
      </c>
      <c r="I452" t="s">
        <v>24</v>
      </c>
      <c r="J452">
        <v>1</v>
      </c>
      <c r="K452">
        <v>5</v>
      </c>
    </row>
    <row r="453" spans="1:11" x14ac:dyDescent="0.35">
      <c r="A453" t="s">
        <v>489</v>
      </c>
      <c r="B453">
        <v>50</v>
      </c>
      <c r="C453" t="s">
        <v>12</v>
      </c>
      <c r="D453" t="s">
        <v>19</v>
      </c>
      <c r="E453">
        <v>21</v>
      </c>
      <c r="F453" t="s">
        <v>33</v>
      </c>
      <c r="G453" t="s">
        <v>34</v>
      </c>
      <c r="H453" s="1">
        <v>177.44</v>
      </c>
      <c r="I453" t="s">
        <v>28</v>
      </c>
      <c r="J453">
        <v>1</v>
      </c>
      <c r="K453">
        <v>2</v>
      </c>
    </row>
    <row r="454" spans="1:11" x14ac:dyDescent="0.35">
      <c r="A454" t="s">
        <v>490</v>
      </c>
      <c r="B454">
        <v>54</v>
      </c>
      <c r="C454" t="s">
        <v>12</v>
      </c>
      <c r="D454" t="s">
        <v>41</v>
      </c>
      <c r="E454">
        <v>2</v>
      </c>
      <c r="F454" t="s">
        <v>22</v>
      </c>
      <c r="G454" t="s">
        <v>37</v>
      </c>
      <c r="H454" s="1">
        <v>216.42</v>
      </c>
      <c r="I454" t="s">
        <v>24</v>
      </c>
      <c r="J454">
        <v>0</v>
      </c>
      <c r="K454">
        <v>8</v>
      </c>
    </row>
    <row r="455" spans="1:11" x14ac:dyDescent="0.35">
      <c r="A455" t="s">
        <v>491</v>
      </c>
      <c r="B455">
        <v>66</v>
      </c>
      <c r="C455" t="s">
        <v>12</v>
      </c>
      <c r="D455" t="s">
        <v>19</v>
      </c>
      <c r="E455">
        <v>20</v>
      </c>
      <c r="F455" t="s">
        <v>22</v>
      </c>
      <c r="G455" t="s">
        <v>34</v>
      </c>
      <c r="H455" s="1">
        <v>181.45</v>
      </c>
      <c r="I455" t="s">
        <v>24</v>
      </c>
      <c r="J455">
        <v>0</v>
      </c>
      <c r="K455">
        <v>3</v>
      </c>
    </row>
    <row r="456" spans="1:11" x14ac:dyDescent="0.35">
      <c r="A456" t="s">
        <v>492</v>
      </c>
      <c r="B456">
        <v>53</v>
      </c>
      <c r="C456" t="s">
        <v>12</v>
      </c>
      <c r="D456" t="s">
        <v>21</v>
      </c>
      <c r="E456">
        <v>23</v>
      </c>
      <c r="F456" t="s">
        <v>22</v>
      </c>
      <c r="G456" t="s">
        <v>27</v>
      </c>
      <c r="H456" s="1">
        <v>63.63</v>
      </c>
      <c r="I456" t="s">
        <v>28</v>
      </c>
      <c r="J456">
        <v>0</v>
      </c>
      <c r="K456">
        <v>5</v>
      </c>
    </row>
    <row r="457" spans="1:11" x14ac:dyDescent="0.35">
      <c r="A457" t="s">
        <v>493</v>
      </c>
      <c r="B457">
        <v>80</v>
      </c>
      <c r="C457" t="s">
        <v>18</v>
      </c>
      <c r="D457" t="s">
        <v>21</v>
      </c>
      <c r="E457">
        <v>23</v>
      </c>
      <c r="F457" t="s">
        <v>33</v>
      </c>
      <c r="G457" t="s">
        <v>27</v>
      </c>
      <c r="H457" s="1">
        <v>129.63999999999999</v>
      </c>
      <c r="I457" t="s">
        <v>28</v>
      </c>
      <c r="J457">
        <v>0</v>
      </c>
      <c r="K457">
        <v>5</v>
      </c>
    </row>
    <row r="458" spans="1:11" x14ac:dyDescent="0.35">
      <c r="A458" t="s">
        <v>494</v>
      </c>
      <c r="B458">
        <v>52</v>
      </c>
      <c r="C458" t="s">
        <v>12</v>
      </c>
      <c r="D458" t="s">
        <v>30</v>
      </c>
      <c r="E458">
        <v>2</v>
      </c>
      <c r="F458" t="s">
        <v>26</v>
      </c>
      <c r="G458" t="s">
        <v>27</v>
      </c>
      <c r="H458" s="1">
        <v>40.32</v>
      </c>
      <c r="I458" t="s">
        <v>28</v>
      </c>
      <c r="J458">
        <v>2</v>
      </c>
      <c r="K458">
        <v>8</v>
      </c>
    </row>
    <row r="459" spans="1:11" x14ac:dyDescent="0.35">
      <c r="A459" t="s">
        <v>495</v>
      </c>
      <c r="B459">
        <v>33</v>
      </c>
      <c r="C459" t="s">
        <v>18</v>
      </c>
      <c r="D459" t="s">
        <v>19</v>
      </c>
      <c r="E459">
        <v>15</v>
      </c>
      <c r="F459" t="s">
        <v>22</v>
      </c>
      <c r="G459" t="s">
        <v>34</v>
      </c>
      <c r="H459" s="1">
        <v>182.93</v>
      </c>
      <c r="I459" t="s">
        <v>24</v>
      </c>
      <c r="J459">
        <v>0</v>
      </c>
      <c r="K459">
        <v>6</v>
      </c>
    </row>
    <row r="460" spans="1:11" x14ac:dyDescent="0.35">
      <c r="A460" t="s">
        <v>496</v>
      </c>
      <c r="B460">
        <v>47</v>
      </c>
      <c r="C460" t="s">
        <v>12</v>
      </c>
      <c r="D460" t="s">
        <v>19</v>
      </c>
      <c r="E460">
        <v>8</v>
      </c>
      <c r="F460" t="s">
        <v>22</v>
      </c>
      <c r="G460" t="s">
        <v>34</v>
      </c>
      <c r="H460" s="1">
        <v>166.55</v>
      </c>
      <c r="I460" t="s">
        <v>24</v>
      </c>
      <c r="J460">
        <v>0</v>
      </c>
      <c r="K460">
        <v>9</v>
      </c>
    </row>
    <row r="461" spans="1:11" x14ac:dyDescent="0.35">
      <c r="A461" t="s">
        <v>497</v>
      </c>
      <c r="B461">
        <v>36</v>
      </c>
      <c r="C461" t="s">
        <v>12</v>
      </c>
      <c r="D461" t="s">
        <v>21</v>
      </c>
      <c r="E461">
        <v>40</v>
      </c>
      <c r="F461" t="s">
        <v>33</v>
      </c>
      <c r="G461" t="s">
        <v>34</v>
      </c>
      <c r="H461" s="1">
        <v>166.38</v>
      </c>
      <c r="I461" t="s">
        <v>24</v>
      </c>
      <c r="J461">
        <v>2</v>
      </c>
      <c r="K461">
        <v>1</v>
      </c>
    </row>
    <row r="462" spans="1:11" x14ac:dyDescent="0.35">
      <c r="A462" t="s">
        <v>498</v>
      </c>
      <c r="B462">
        <v>73</v>
      </c>
      <c r="C462" t="s">
        <v>12</v>
      </c>
      <c r="D462" t="s">
        <v>21</v>
      </c>
      <c r="E462">
        <v>47</v>
      </c>
      <c r="F462" t="s">
        <v>31</v>
      </c>
      <c r="G462" t="s">
        <v>15</v>
      </c>
      <c r="H462" s="1">
        <v>233.51</v>
      </c>
      <c r="I462" t="s">
        <v>24</v>
      </c>
      <c r="J462">
        <v>0</v>
      </c>
      <c r="K462">
        <v>4</v>
      </c>
    </row>
    <row r="463" spans="1:11" x14ac:dyDescent="0.35">
      <c r="A463" t="s">
        <v>499</v>
      </c>
      <c r="B463">
        <v>25</v>
      </c>
      <c r="C463" t="s">
        <v>18</v>
      </c>
      <c r="D463" t="s">
        <v>30</v>
      </c>
      <c r="E463">
        <v>3</v>
      </c>
      <c r="F463" t="s">
        <v>14</v>
      </c>
      <c r="G463" t="s">
        <v>27</v>
      </c>
      <c r="H463" s="1">
        <v>0</v>
      </c>
      <c r="I463" t="s">
        <v>16</v>
      </c>
      <c r="J463">
        <v>2</v>
      </c>
      <c r="K463">
        <v>8</v>
      </c>
    </row>
    <row r="464" spans="1:11" x14ac:dyDescent="0.35">
      <c r="A464" t="s">
        <v>500</v>
      </c>
      <c r="B464">
        <v>81</v>
      </c>
      <c r="C464" t="s">
        <v>12</v>
      </c>
      <c r="D464" t="s">
        <v>13</v>
      </c>
      <c r="E464">
        <v>9</v>
      </c>
      <c r="F464" t="s">
        <v>33</v>
      </c>
      <c r="G464" t="s">
        <v>34</v>
      </c>
      <c r="H464" s="1">
        <v>132.82</v>
      </c>
      <c r="I464" t="s">
        <v>24</v>
      </c>
      <c r="J464">
        <v>2</v>
      </c>
      <c r="K464">
        <v>4</v>
      </c>
    </row>
    <row r="465" spans="1:11" x14ac:dyDescent="0.35">
      <c r="A465" t="s">
        <v>501</v>
      </c>
      <c r="B465">
        <v>43</v>
      </c>
      <c r="C465" t="s">
        <v>12</v>
      </c>
      <c r="D465" t="s">
        <v>47</v>
      </c>
      <c r="E465">
        <v>14</v>
      </c>
      <c r="F465" t="s">
        <v>22</v>
      </c>
      <c r="G465" t="s">
        <v>34</v>
      </c>
      <c r="H465" s="1">
        <v>171.93</v>
      </c>
      <c r="I465" t="s">
        <v>24</v>
      </c>
      <c r="J465">
        <v>1</v>
      </c>
      <c r="K465">
        <v>7</v>
      </c>
    </row>
    <row r="466" spans="1:11" x14ac:dyDescent="0.35">
      <c r="A466" t="s">
        <v>502</v>
      </c>
      <c r="B466">
        <v>37</v>
      </c>
      <c r="C466" t="s">
        <v>12</v>
      </c>
      <c r="D466" t="s">
        <v>19</v>
      </c>
      <c r="E466">
        <v>7</v>
      </c>
      <c r="F466" t="s">
        <v>22</v>
      </c>
      <c r="G466" t="s">
        <v>37</v>
      </c>
      <c r="H466" s="1">
        <v>185.94</v>
      </c>
      <c r="I466" t="s">
        <v>24</v>
      </c>
      <c r="J466">
        <v>0</v>
      </c>
      <c r="K466">
        <v>9</v>
      </c>
    </row>
    <row r="467" spans="1:11" x14ac:dyDescent="0.35">
      <c r="A467" t="s">
        <v>503</v>
      </c>
      <c r="B467">
        <v>84</v>
      </c>
      <c r="C467" t="s">
        <v>12</v>
      </c>
      <c r="D467" t="s">
        <v>19</v>
      </c>
      <c r="E467">
        <v>18</v>
      </c>
      <c r="F467" t="s">
        <v>31</v>
      </c>
      <c r="G467" t="s">
        <v>27</v>
      </c>
      <c r="H467" s="1">
        <v>118.97</v>
      </c>
      <c r="I467" t="s">
        <v>28</v>
      </c>
      <c r="J467">
        <v>2</v>
      </c>
      <c r="K467">
        <v>8</v>
      </c>
    </row>
    <row r="468" spans="1:11" x14ac:dyDescent="0.35">
      <c r="A468" t="s">
        <v>504</v>
      </c>
      <c r="B468">
        <v>85</v>
      </c>
      <c r="C468" t="s">
        <v>12</v>
      </c>
      <c r="D468" t="s">
        <v>30</v>
      </c>
      <c r="E468">
        <v>3</v>
      </c>
      <c r="F468" t="s">
        <v>22</v>
      </c>
      <c r="G468" t="s">
        <v>23</v>
      </c>
      <c r="H468" s="1">
        <v>121.41</v>
      </c>
      <c r="I468" t="s">
        <v>24</v>
      </c>
      <c r="J468">
        <v>0</v>
      </c>
      <c r="K468">
        <v>9</v>
      </c>
    </row>
    <row r="469" spans="1:11" x14ac:dyDescent="0.35">
      <c r="A469" t="s">
        <v>505</v>
      </c>
      <c r="B469">
        <v>55</v>
      </c>
      <c r="C469" t="s">
        <v>12</v>
      </c>
      <c r="D469" t="s">
        <v>30</v>
      </c>
      <c r="E469">
        <v>2</v>
      </c>
      <c r="F469" t="s">
        <v>33</v>
      </c>
      <c r="G469" t="s">
        <v>37</v>
      </c>
      <c r="H469" s="1">
        <v>185.12</v>
      </c>
      <c r="I469" t="s">
        <v>24</v>
      </c>
      <c r="J469">
        <v>2</v>
      </c>
      <c r="K469">
        <v>10</v>
      </c>
    </row>
    <row r="470" spans="1:11" x14ac:dyDescent="0.35">
      <c r="A470" t="s">
        <v>506</v>
      </c>
      <c r="B470">
        <v>37</v>
      </c>
      <c r="C470" t="s">
        <v>12</v>
      </c>
      <c r="D470" t="s">
        <v>120</v>
      </c>
      <c r="E470">
        <v>39</v>
      </c>
      <c r="F470" t="s">
        <v>31</v>
      </c>
      <c r="G470" t="s">
        <v>15</v>
      </c>
      <c r="H470" s="1">
        <v>126.06</v>
      </c>
      <c r="I470" t="s">
        <v>24</v>
      </c>
      <c r="J470">
        <v>2</v>
      </c>
      <c r="K470">
        <v>1</v>
      </c>
    </row>
    <row r="471" spans="1:11" x14ac:dyDescent="0.35">
      <c r="A471" t="s">
        <v>507</v>
      </c>
      <c r="B471">
        <v>24</v>
      </c>
      <c r="C471" t="s">
        <v>18</v>
      </c>
      <c r="D471" t="s">
        <v>30</v>
      </c>
      <c r="E471">
        <v>12</v>
      </c>
      <c r="F471" t="s">
        <v>33</v>
      </c>
      <c r="G471" t="s">
        <v>37</v>
      </c>
      <c r="H471" s="1">
        <v>186.9</v>
      </c>
      <c r="I471" t="s">
        <v>24</v>
      </c>
      <c r="J471">
        <v>3</v>
      </c>
      <c r="K471">
        <v>5</v>
      </c>
    </row>
    <row r="472" spans="1:11" x14ac:dyDescent="0.35">
      <c r="A472" t="s">
        <v>508</v>
      </c>
      <c r="B472">
        <v>74</v>
      </c>
      <c r="C472" t="s">
        <v>12</v>
      </c>
      <c r="D472" t="s">
        <v>21</v>
      </c>
      <c r="E472">
        <v>38</v>
      </c>
      <c r="F472" t="s">
        <v>33</v>
      </c>
      <c r="G472" t="s">
        <v>27</v>
      </c>
      <c r="H472" s="1">
        <v>107.6</v>
      </c>
      <c r="I472" t="s">
        <v>24</v>
      </c>
      <c r="J472">
        <v>4</v>
      </c>
      <c r="K472">
        <v>5</v>
      </c>
    </row>
    <row r="473" spans="1:11" x14ac:dyDescent="0.35">
      <c r="A473" t="s">
        <v>509</v>
      </c>
      <c r="B473">
        <v>82</v>
      </c>
      <c r="C473" t="s">
        <v>12</v>
      </c>
      <c r="D473" t="s">
        <v>13</v>
      </c>
      <c r="E473">
        <v>24</v>
      </c>
      <c r="F473" t="s">
        <v>33</v>
      </c>
      <c r="G473" t="s">
        <v>37</v>
      </c>
      <c r="H473" s="1">
        <v>171.62</v>
      </c>
      <c r="I473" t="s">
        <v>24</v>
      </c>
      <c r="J473">
        <v>3</v>
      </c>
      <c r="K473">
        <v>4</v>
      </c>
    </row>
    <row r="474" spans="1:11" x14ac:dyDescent="0.35">
      <c r="A474" t="s">
        <v>510</v>
      </c>
      <c r="B474">
        <v>30</v>
      </c>
      <c r="C474" t="s">
        <v>18</v>
      </c>
      <c r="D474" t="s">
        <v>21</v>
      </c>
      <c r="E474">
        <v>44</v>
      </c>
      <c r="F474" t="s">
        <v>33</v>
      </c>
      <c r="G474" t="s">
        <v>27</v>
      </c>
      <c r="H474" s="1">
        <v>22.01</v>
      </c>
      <c r="I474" t="s">
        <v>24</v>
      </c>
      <c r="J474">
        <v>4</v>
      </c>
      <c r="K474">
        <v>2</v>
      </c>
    </row>
    <row r="475" spans="1:11" x14ac:dyDescent="0.35">
      <c r="A475" t="s">
        <v>511</v>
      </c>
      <c r="B475">
        <v>68</v>
      </c>
      <c r="C475" t="s">
        <v>18</v>
      </c>
      <c r="D475" t="s">
        <v>13</v>
      </c>
      <c r="E475">
        <v>9</v>
      </c>
      <c r="F475" t="s">
        <v>33</v>
      </c>
      <c r="G475" t="s">
        <v>37</v>
      </c>
      <c r="H475" s="1">
        <v>133.12</v>
      </c>
      <c r="I475" t="s">
        <v>24</v>
      </c>
      <c r="J475">
        <v>3</v>
      </c>
      <c r="K475">
        <v>4</v>
      </c>
    </row>
    <row r="476" spans="1:11" x14ac:dyDescent="0.35">
      <c r="A476" t="s">
        <v>512</v>
      </c>
      <c r="B476">
        <v>82</v>
      </c>
      <c r="C476" t="s">
        <v>12</v>
      </c>
      <c r="D476" t="s">
        <v>13</v>
      </c>
      <c r="E476">
        <v>14</v>
      </c>
      <c r="F476" t="s">
        <v>22</v>
      </c>
      <c r="G476" t="s">
        <v>23</v>
      </c>
      <c r="H476" s="1">
        <v>236.53</v>
      </c>
      <c r="I476" t="s">
        <v>24</v>
      </c>
      <c r="J476">
        <v>0</v>
      </c>
      <c r="K476">
        <v>7</v>
      </c>
    </row>
    <row r="477" spans="1:11" x14ac:dyDescent="0.35">
      <c r="A477" t="s">
        <v>513</v>
      </c>
      <c r="B477">
        <v>84</v>
      </c>
      <c r="C477" t="s">
        <v>12</v>
      </c>
      <c r="D477" t="s">
        <v>13</v>
      </c>
      <c r="E477">
        <v>20</v>
      </c>
      <c r="F477" t="s">
        <v>33</v>
      </c>
      <c r="G477" t="s">
        <v>27</v>
      </c>
      <c r="H477" s="1">
        <v>64.989999999999995</v>
      </c>
      <c r="I477" t="s">
        <v>24</v>
      </c>
      <c r="J477">
        <v>1</v>
      </c>
      <c r="K477">
        <v>3</v>
      </c>
    </row>
    <row r="478" spans="1:11" x14ac:dyDescent="0.35">
      <c r="A478" t="s">
        <v>514</v>
      </c>
      <c r="B478">
        <v>83</v>
      </c>
      <c r="C478" t="s">
        <v>12</v>
      </c>
      <c r="D478" t="s">
        <v>19</v>
      </c>
      <c r="E478">
        <v>11</v>
      </c>
      <c r="F478" t="s">
        <v>22</v>
      </c>
      <c r="G478" t="s">
        <v>23</v>
      </c>
      <c r="H478" s="1">
        <v>95.16</v>
      </c>
      <c r="I478" t="s">
        <v>28</v>
      </c>
      <c r="J478">
        <v>0</v>
      </c>
      <c r="K478">
        <v>8</v>
      </c>
    </row>
    <row r="479" spans="1:11" x14ac:dyDescent="0.35">
      <c r="A479" t="s">
        <v>515</v>
      </c>
      <c r="B479">
        <v>31</v>
      </c>
      <c r="C479" t="s">
        <v>12</v>
      </c>
      <c r="D479" t="s">
        <v>19</v>
      </c>
      <c r="E479">
        <v>12</v>
      </c>
      <c r="F479" t="s">
        <v>33</v>
      </c>
      <c r="G479" t="s">
        <v>27</v>
      </c>
      <c r="H479" s="1">
        <v>84.75</v>
      </c>
      <c r="I479" t="s">
        <v>28</v>
      </c>
      <c r="J479">
        <v>2</v>
      </c>
      <c r="K479">
        <v>6</v>
      </c>
    </row>
    <row r="480" spans="1:11" x14ac:dyDescent="0.35">
      <c r="A480" t="s">
        <v>516</v>
      </c>
      <c r="B480">
        <v>28</v>
      </c>
      <c r="C480" t="s">
        <v>12</v>
      </c>
      <c r="D480" t="s">
        <v>19</v>
      </c>
      <c r="E480">
        <v>11</v>
      </c>
      <c r="F480" t="s">
        <v>22</v>
      </c>
      <c r="G480" t="s">
        <v>34</v>
      </c>
      <c r="H480" s="1">
        <v>198.12</v>
      </c>
      <c r="I480" t="s">
        <v>24</v>
      </c>
      <c r="J480">
        <v>0</v>
      </c>
      <c r="K480">
        <v>6</v>
      </c>
    </row>
    <row r="481" spans="1:11" x14ac:dyDescent="0.35">
      <c r="A481" t="s">
        <v>517</v>
      </c>
      <c r="B481">
        <v>46</v>
      </c>
      <c r="C481" t="s">
        <v>18</v>
      </c>
      <c r="D481" t="s">
        <v>19</v>
      </c>
      <c r="E481">
        <v>22</v>
      </c>
      <c r="F481" t="s">
        <v>31</v>
      </c>
      <c r="G481" t="s">
        <v>23</v>
      </c>
      <c r="H481" s="1">
        <v>415.86</v>
      </c>
      <c r="I481" t="s">
        <v>28</v>
      </c>
      <c r="J481">
        <v>2</v>
      </c>
      <c r="K481">
        <v>3</v>
      </c>
    </row>
    <row r="482" spans="1:11" x14ac:dyDescent="0.35">
      <c r="A482" t="s">
        <v>518</v>
      </c>
      <c r="B482">
        <v>27</v>
      </c>
      <c r="C482" t="s">
        <v>12</v>
      </c>
      <c r="D482" t="s">
        <v>30</v>
      </c>
      <c r="E482">
        <v>7</v>
      </c>
      <c r="F482" t="s">
        <v>26</v>
      </c>
      <c r="G482" t="s">
        <v>23</v>
      </c>
      <c r="H482" s="1">
        <v>564.15</v>
      </c>
      <c r="I482" t="s">
        <v>24</v>
      </c>
      <c r="J482">
        <v>2</v>
      </c>
      <c r="K482">
        <v>8</v>
      </c>
    </row>
    <row r="483" spans="1:11" x14ac:dyDescent="0.35">
      <c r="A483" t="s">
        <v>519</v>
      </c>
      <c r="B483">
        <v>60</v>
      </c>
      <c r="C483" t="s">
        <v>12</v>
      </c>
      <c r="D483" t="s">
        <v>21</v>
      </c>
      <c r="E483">
        <v>13</v>
      </c>
      <c r="F483" t="s">
        <v>33</v>
      </c>
      <c r="G483" t="s">
        <v>23</v>
      </c>
      <c r="H483" s="1">
        <v>564.08000000000004</v>
      </c>
      <c r="I483" t="s">
        <v>24</v>
      </c>
      <c r="J483">
        <v>0</v>
      </c>
      <c r="K483">
        <v>6</v>
      </c>
    </row>
    <row r="484" spans="1:11" x14ac:dyDescent="0.35">
      <c r="A484" t="s">
        <v>520</v>
      </c>
      <c r="B484">
        <v>32</v>
      </c>
      <c r="C484" t="s">
        <v>18</v>
      </c>
      <c r="D484" t="s">
        <v>21</v>
      </c>
      <c r="E484">
        <v>42</v>
      </c>
      <c r="F484" t="s">
        <v>33</v>
      </c>
      <c r="G484" t="s">
        <v>34</v>
      </c>
      <c r="H484" s="1">
        <v>117.04</v>
      </c>
      <c r="I484" t="s">
        <v>24</v>
      </c>
      <c r="J484">
        <v>2</v>
      </c>
      <c r="K484">
        <v>1</v>
      </c>
    </row>
    <row r="485" spans="1:11" x14ac:dyDescent="0.35">
      <c r="A485" t="s">
        <v>521</v>
      </c>
      <c r="B485">
        <v>63</v>
      </c>
      <c r="C485" t="s">
        <v>18</v>
      </c>
      <c r="D485" t="s">
        <v>21</v>
      </c>
      <c r="E485">
        <v>13</v>
      </c>
      <c r="F485" t="s">
        <v>26</v>
      </c>
      <c r="G485" t="s">
        <v>15</v>
      </c>
      <c r="H485" s="1">
        <v>315.22000000000003</v>
      </c>
      <c r="I485" t="s">
        <v>28</v>
      </c>
      <c r="J485">
        <v>2</v>
      </c>
      <c r="K485">
        <v>4</v>
      </c>
    </row>
    <row r="486" spans="1:11" x14ac:dyDescent="0.35">
      <c r="A486" t="s">
        <v>522</v>
      </c>
      <c r="B486">
        <v>50</v>
      </c>
      <c r="C486" t="s">
        <v>18</v>
      </c>
      <c r="D486" t="s">
        <v>19</v>
      </c>
      <c r="E486">
        <v>24</v>
      </c>
      <c r="F486" t="s">
        <v>33</v>
      </c>
      <c r="G486" t="s">
        <v>34</v>
      </c>
      <c r="H486" s="1">
        <v>194.13</v>
      </c>
      <c r="I486" t="s">
        <v>43</v>
      </c>
      <c r="J486">
        <v>2</v>
      </c>
      <c r="K486">
        <v>2</v>
      </c>
    </row>
    <row r="487" spans="1:11" x14ac:dyDescent="0.35">
      <c r="A487" t="s">
        <v>523</v>
      </c>
      <c r="B487">
        <v>67</v>
      </c>
      <c r="C487" t="s">
        <v>12</v>
      </c>
      <c r="D487" t="s">
        <v>19</v>
      </c>
      <c r="E487">
        <v>11</v>
      </c>
      <c r="F487" t="s">
        <v>22</v>
      </c>
      <c r="G487" t="s">
        <v>37</v>
      </c>
      <c r="H487" s="1">
        <v>211.19</v>
      </c>
      <c r="I487" t="s">
        <v>24</v>
      </c>
      <c r="J487">
        <v>2</v>
      </c>
      <c r="K487">
        <v>6</v>
      </c>
    </row>
    <row r="488" spans="1:11" x14ac:dyDescent="0.35">
      <c r="A488" t="s">
        <v>524</v>
      </c>
      <c r="B488">
        <v>42</v>
      </c>
      <c r="C488" t="s">
        <v>12</v>
      </c>
      <c r="D488" t="s">
        <v>21</v>
      </c>
      <c r="E488">
        <v>37</v>
      </c>
      <c r="F488" t="s">
        <v>31</v>
      </c>
      <c r="G488" t="s">
        <v>15</v>
      </c>
      <c r="H488" s="1">
        <v>115.11</v>
      </c>
      <c r="I488" t="s">
        <v>24</v>
      </c>
      <c r="J488">
        <v>4</v>
      </c>
      <c r="K488">
        <v>3</v>
      </c>
    </row>
    <row r="489" spans="1:11" x14ac:dyDescent="0.35">
      <c r="A489" t="s">
        <v>525</v>
      </c>
      <c r="B489">
        <v>45</v>
      </c>
      <c r="C489" t="s">
        <v>12</v>
      </c>
      <c r="D489" t="s">
        <v>19</v>
      </c>
      <c r="E489">
        <v>23</v>
      </c>
      <c r="F489" t="s">
        <v>33</v>
      </c>
      <c r="G489" t="s">
        <v>15</v>
      </c>
      <c r="H489" s="1">
        <v>344.93</v>
      </c>
      <c r="I489" t="s">
        <v>24</v>
      </c>
      <c r="J489">
        <v>0</v>
      </c>
      <c r="K489">
        <v>3</v>
      </c>
    </row>
    <row r="490" spans="1:11" x14ac:dyDescent="0.35">
      <c r="A490" t="s">
        <v>526</v>
      </c>
      <c r="B490">
        <v>66</v>
      </c>
      <c r="C490" t="s">
        <v>12</v>
      </c>
      <c r="D490" t="s">
        <v>19</v>
      </c>
      <c r="E490">
        <v>19</v>
      </c>
      <c r="F490" t="s">
        <v>22</v>
      </c>
      <c r="G490" t="s">
        <v>34</v>
      </c>
      <c r="H490" s="1">
        <v>114.9</v>
      </c>
      <c r="I490" t="s">
        <v>24</v>
      </c>
      <c r="J490">
        <v>1</v>
      </c>
      <c r="K490">
        <v>1</v>
      </c>
    </row>
    <row r="491" spans="1:11" x14ac:dyDescent="0.35">
      <c r="A491" t="s">
        <v>527</v>
      </c>
      <c r="B491">
        <v>43</v>
      </c>
      <c r="C491" t="s">
        <v>528</v>
      </c>
      <c r="D491" t="s">
        <v>19</v>
      </c>
      <c r="E491">
        <v>13</v>
      </c>
      <c r="F491" t="s">
        <v>33</v>
      </c>
      <c r="G491" t="s">
        <v>27</v>
      </c>
      <c r="H491" s="1">
        <v>156.4</v>
      </c>
      <c r="I491" t="s">
        <v>28</v>
      </c>
      <c r="J491">
        <v>3</v>
      </c>
      <c r="K491">
        <v>5</v>
      </c>
    </row>
    <row r="492" spans="1:11" x14ac:dyDescent="0.35">
      <c r="A492" t="s">
        <v>529</v>
      </c>
      <c r="B492">
        <v>40</v>
      </c>
      <c r="C492" t="s">
        <v>18</v>
      </c>
      <c r="D492" t="s">
        <v>19</v>
      </c>
      <c r="E492">
        <v>16</v>
      </c>
      <c r="F492" t="s">
        <v>22</v>
      </c>
      <c r="G492" t="s">
        <v>15</v>
      </c>
      <c r="H492" s="1">
        <v>419.93</v>
      </c>
      <c r="I492" t="s">
        <v>24</v>
      </c>
      <c r="J492">
        <v>1</v>
      </c>
      <c r="K492">
        <v>8</v>
      </c>
    </row>
    <row r="493" spans="1:11" x14ac:dyDescent="0.35">
      <c r="A493" t="s">
        <v>530</v>
      </c>
      <c r="B493">
        <v>76</v>
      </c>
      <c r="C493" t="s">
        <v>12</v>
      </c>
      <c r="D493" t="s">
        <v>30</v>
      </c>
      <c r="E493">
        <v>5</v>
      </c>
      <c r="F493" t="s">
        <v>22</v>
      </c>
      <c r="G493" t="s">
        <v>15</v>
      </c>
      <c r="H493" s="1">
        <v>360.15</v>
      </c>
      <c r="I493" t="s">
        <v>24</v>
      </c>
      <c r="J493">
        <v>2</v>
      </c>
      <c r="K493">
        <v>10</v>
      </c>
    </row>
    <row r="494" spans="1:11" x14ac:dyDescent="0.35">
      <c r="A494" t="s">
        <v>531</v>
      </c>
      <c r="B494">
        <v>45</v>
      </c>
      <c r="C494" t="s">
        <v>18</v>
      </c>
      <c r="D494" t="s">
        <v>47</v>
      </c>
      <c r="E494">
        <v>7</v>
      </c>
      <c r="F494" t="s">
        <v>14</v>
      </c>
      <c r="G494" t="s">
        <v>34</v>
      </c>
      <c r="H494" s="1">
        <v>0</v>
      </c>
      <c r="I494" t="s">
        <v>16</v>
      </c>
      <c r="J494">
        <v>2</v>
      </c>
      <c r="K494">
        <v>9</v>
      </c>
    </row>
    <row r="495" spans="1:11" x14ac:dyDescent="0.35">
      <c r="A495" t="s">
        <v>532</v>
      </c>
      <c r="B495">
        <v>81</v>
      </c>
      <c r="C495" t="s">
        <v>18</v>
      </c>
      <c r="D495" t="s">
        <v>13</v>
      </c>
      <c r="E495">
        <v>16</v>
      </c>
      <c r="F495" t="s">
        <v>14</v>
      </c>
      <c r="G495" t="s">
        <v>34</v>
      </c>
      <c r="H495" s="1">
        <v>0</v>
      </c>
      <c r="I495" t="s">
        <v>16</v>
      </c>
      <c r="J495">
        <v>3</v>
      </c>
      <c r="K495">
        <v>4</v>
      </c>
    </row>
    <row r="496" spans="1:11" x14ac:dyDescent="0.35">
      <c r="A496" t="s">
        <v>533</v>
      </c>
      <c r="B496">
        <v>44</v>
      </c>
      <c r="C496" t="s">
        <v>18</v>
      </c>
      <c r="D496" t="s">
        <v>30</v>
      </c>
      <c r="E496">
        <v>6</v>
      </c>
      <c r="F496" t="s">
        <v>22</v>
      </c>
      <c r="G496" t="s">
        <v>23</v>
      </c>
      <c r="H496" s="1">
        <v>176.09</v>
      </c>
      <c r="I496" t="s">
        <v>24</v>
      </c>
      <c r="J496">
        <v>0</v>
      </c>
      <c r="K496">
        <v>8</v>
      </c>
    </row>
    <row r="497" spans="1:11" x14ac:dyDescent="0.35">
      <c r="A497" t="s">
        <v>534</v>
      </c>
      <c r="B497">
        <v>52</v>
      </c>
      <c r="C497" t="s">
        <v>12</v>
      </c>
      <c r="D497" t="s">
        <v>21</v>
      </c>
      <c r="E497">
        <v>24</v>
      </c>
      <c r="F497" t="s">
        <v>14</v>
      </c>
      <c r="G497" t="s">
        <v>15</v>
      </c>
      <c r="H497" s="1">
        <v>0</v>
      </c>
      <c r="I497" t="s">
        <v>16</v>
      </c>
      <c r="J497">
        <v>4</v>
      </c>
      <c r="K497">
        <v>3</v>
      </c>
    </row>
    <row r="498" spans="1:11" x14ac:dyDescent="0.35">
      <c r="A498" t="s">
        <v>535</v>
      </c>
      <c r="B498">
        <v>61</v>
      </c>
      <c r="C498" t="s">
        <v>12</v>
      </c>
      <c r="D498" t="s">
        <v>21</v>
      </c>
      <c r="E498">
        <v>17</v>
      </c>
      <c r="F498" t="s">
        <v>26</v>
      </c>
      <c r="G498" t="s">
        <v>34</v>
      </c>
      <c r="H498" s="1">
        <v>126.39</v>
      </c>
      <c r="I498" t="s">
        <v>24</v>
      </c>
      <c r="J498">
        <v>2</v>
      </c>
      <c r="K498">
        <v>4</v>
      </c>
    </row>
    <row r="499" spans="1:11" x14ac:dyDescent="0.35">
      <c r="A499" t="s">
        <v>536</v>
      </c>
      <c r="B499">
        <v>63</v>
      </c>
      <c r="C499" t="s">
        <v>18</v>
      </c>
      <c r="D499" t="s">
        <v>21</v>
      </c>
      <c r="E499">
        <v>44</v>
      </c>
      <c r="F499" t="s">
        <v>22</v>
      </c>
      <c r="G499" t="s">
        <v>23</v>
      </c>
      <c r="H499" s="1">
        <v>532.17999999999995</v>
      </c>
      <c r="I499" t="s">
        <v>28</v>
      </c>
      <c r="J499">
        <v>2</v>
      </c>
      <c r="K499">
        <v>5</v>
      </c>
    </row>
    <row r="500" spans="1:11" x14ac:dyDescent="0.35">
      <c r="A500" t="s">
        <v>537</v>
      </c>
      <c r="B500">
        <v>35</v>
      </c>
      <c r="C500" t="s">
        <v>18</v>
      </c>
      <c r="D500" t="s">
        <v>19</v>
      </c>
      <c r="E500">
        <v>13</v>
      </c>
      <c r="F500" t="s">
        <v>22</v>
      </c>
      <c r="G500" t="s">
        <v>37</v>
      </c>
      <c r="H500" s="1">
        <v>109.72</v>
      </c>
      <c r="I500" t="s">
        <v>24</v>
      </c>
      <c r="J500">
        <v>0</v>
      </c>
      <c r="K500">
        <v>4</v>
      </c>
    </row>
    <row r="501" spans="1:11" x14ac:dyDescent="0.35">
      <c r="A501" t="s">
        <v>538</v>
      </c>
      <c r="B501">
        <v>49</v>
      </c>
      <c r="C501" t="s">
        <v>18</v>
      </c>
      <c r="D501" t="s">
        <v>21</v>
      </c>
      <c r="E501">
        <v>36</v>
      </c>
      <c r="F501" t="s">
        <v>22</v>
      </c>
      <c r="G501" t="s">
        <v>27</v>
      </c>
      <c r="H501" s="1">
        <v>127.06</v>
      </c>
      <c r="I501" t="s">
        <v>24</v>
      </c>
      <c r="J501">
        <v>2</v>
      </c>
      <c r="K501">
        <v>5</v>
      </c>
    </row>
    <row r="502" spans="1:11" x14ac:dyDescent="0.35">
      <c r="A502" t="s">
        <v>539</v>
      </c>
      <c r="B502">
        <v>25</v>
      </c>
      <c r="C502" t="s">
        <v>18</v>
      </c>
      <c r="D502" t="s">
        <v>244</v>
      </c>
      <c r="E502">
        <v>6</v>
      </c>
      <c r="F502" t="s">
        <v>26</v>
      </c>
      <c r="G502" t="s">
        <v>23</v>
      </c>
      <c r="H502" s="1">
        <v>553.48</v>
      </c>
      <c r="I502" t="s">
        <v>24</v>
      </c>
      <c r="J502">
        <v>1</v>
      </c>
      <c r="K502">
        <v>7</v>
      </c>
    </row>
    <row r="503" spans="1:11" x14ac:dyDescent="0.35">
      <c r="A503" t="s">
        <v>540</v>
      </c>
      <c r="B503">
        <v>83</v>
      </c>
      <c r="C503" t="s">
        <v>18</v>
      </c>
      <c r="D503" t="s">
        <v>200</v>
      </c>
      <c r="E503">
        <v>8</v>
      </c>
      <c r="F503" t="s">
        <v>33</v>
      </c>
      <c r="G503" t="s">
        <v>37</v>
      </c>
      <c r="H503" s="1">
        <v>168.31</v>
      </c>
      <c r="I503" t="s">
        <v>24</v>
      </c>
      <c r="J503">
        <v>0</v>
      </c>
      <c r="K503">
        <v>10</v>
      </c>
    </row>
    <row r="504" spans="1:11" x14ac:dyDescent="0.35">
      <c r="A504" t="s">
        <v>541</v>
      </c>
      <c r="B504">
        <v>32</v>
      </c>
      <c r="C504" t="s">
        <v>12</v>
      </c>
      <c r="D504" t="s">
        <v>19</v>
      </c>
      <c r="E504">
        <v>15</v>
      </c>
      <c r="F504" t="s">
        <v>33</v>
      </c>
      <c r="G504" t="s">
        <v>23</v>
      </c>
      <c r="H504" s="1">
        <v>551.38</v>
      </c>
      <c r="I504" t="s">
        <v>24</v>
      </c>
      <c r="J504">
        <v>0</v>
      </c>
      <c r="K504">
        <v>5</v>
      </c>
    </row>
    <row r="505" spans="1:11" x14ac:dyDescent="0.35">
      <c r="A505" t="s">
        <v>542</v>
      </c>
      <c r="B505">
        <v>78</v>
      </c>
      <c r="C505" t="s">
        <v>528</v>
      </c>
      <c r="D505" t="s">
        <v>30</v>
      </c>
      <c r="E505">
        <v>4</v>
      </c>
      <c r="F505" t="s">
        <v>22</v>
      </c>
      <c r="G505" t="s">
        <v>27</v>
      </c>
      <c r="H505" s="1">
        <v>139.29</v>
      </c>
      <c r="I505" t="s">
        <v>24</v>
      </c>
      <c r="J505">
        <v>0</v>
      </c>
      <c r="K505">
        <v>8</v>
      </c>
    </row>
    <row r="506" spans="1:11" x14ac:dyDescent="0.35">
      <c r="A506" t="s">
        <v>543</v>
      </c>
      <c r="B506">
        <v>33</v>
      </c>
      <c r="C506" t="s">
        <v>12</v>
      </c>
      <c r="D506" t="s">
        <v>30</v>
      </c>
      <c r="E506">
        <v>5</v>
      </c>
      <c r="F506" t="s">
        <v>14</v>
      </c>
      <c r="G506" t="s">
        <v>27</v>
      </c>
      <c r="H506" s="1">
        <v>0</v>
      </c>
      <c r="I506" t="s">
        <v>16</v>
      </c>
      <c r="J506">
        <v>0</v>
      </c>
      <c r="K506">
        <v>8</v>
      </c>
    </row>
    <row r="507" spans="1:11" x14ac:dyDescent="0.35">
      <c r="A507" t="s">
        <v>544</v>
      </c>
      <c r="B507">
        <v>55</v>
      </c>
      <c r="C507" t="s">
        <v>18</v>
      </c>
      <c r="D507" t="s">
        <v>21</v>
      </c>
      <c r="E507">
        <v>34</v>
      </c>
      <c r="F507" t="s">
        <v>14</v>
      </c>
      <c r="G507" t="s">
        <v>34</v>
      </c>
      <c r="H507" s="1">
        <v>0</v>
      </c>
      <c r="I507" t="s">
        <v>16</v>
      </c>
      <c r="J507">
        <v>0</v>
      </c>
      <c r="K507">
        <v>4</v>
      </c>
    </row>
    <row r="508" spans="1:11" x14ac:dyDescent="0.35">
      <c r="A508" t="s">
        <v>545</v>
      </c>
      <c r="B508">
        <v>29</v>
      </c>
      <c r="C508" t="s">
        <v>18</v>
      </c>
      <c r="D508" t="s">
        <v>19</v>
      </c>
      <c r="E508">
        <v>12</v>
      </c>
      <c r="F508" t="s">
        <v>31</v>
      </c>
      <c r="G508" t="s">
        <v>34</v>
      </c>
      <c r="H508" s="1">
        <v>200.27</v>
      </c>
      <c r="I508" t="s">
        <v>24</v>
      </c>
      <c r="J508">
        <v>2</v>
      </c>
      <c r="K508">
        <v>6</v>
      </c>
    </row>
    <row r="509" spans="1:11" x14ac:dyDescent="0.35">
      <c r="A509" t="s">
        <v>546</v>
      </c>
      <c r="B509">
        <v>23</v>
      </c>
      <c r="C509" t="s">
        <v>12</v>
      </c>
      <c r="D509" t="s">
        <v>19</v>
      </c>
      <c r="E509">
        <v>24</v>
      </c>
      <c r="F509" t="s">
        <v>22</v>
      </c>
      <c r="G509" t="s">
        <v>15</v>
      </c>
      <c r="H509" s="1">
        <v>157.99</v>
      </c>
      <c r="I509" t="s">
        <v>24</v>
      </c>
      <c r="J509">
        <v>3</v>
      </c>
      <c r="K509">
        <v>4</v>
      </c>
    </row>
    <row r="510" spans="1:11" x14ac:dyDescent="0.35">
      <c r="A510" t="s">
        <v>547</v>
      </c>
      <c r="B510">
        <v>52</v>
      </c>
      <c r="C510" t="s">
        <v>18</v>
      </c>
      <c r="D510" t="s">
        <v>21</v>
      </c>
      <c r="E510">
        <v>45</v>
      </c>
      <c r="F510" t="s">
        <v>31</v>
      </c>
      <c r="G510" t="s">
        <v>34</v>
      </c>
      <c r="H510" s="1">
        <v>173.36</v>
      </c>
      <c r="I510" t="s">
        <v>24</v>
      </c>
      <c r="J510">
        <v>2</v>
      </c>
      <c r="K510">
        <v>3</v>
      </c>
    </row>
    <row r="511" spans="1:11" x14ac:dyDescent="0.35">
      <c r="A511" t="s">
        <v>548</v>
      </c>
      <c r="B511">
        <v>72</v>
      </c>
      <c r="C511" t="s">
        <v>18</v>
      </c>
      <c r="D511" t="s">
        <v>19</v>
      </c>
      <c r="E511">
        <v>20</v>
      </c>
      <c r="F511" t="s">
        <v>33</v>
      </c>
      <c r="G511" t="s">
        <v>23</v>
      </c>
      <c r="H511" s="1">
        <v>339.24</v>
      </c>
      <c r="I511" t="s">
        <v>24</v>
      </c>
      <c r="J511">
        <v>2</v>
      </c>
      <c r="K511">
        <v>4</v>
      </c>
    </row>
    <row r="512" spans="1:11" x14ac:dyDescent="0.35">
      <c r="A512" t="s">
        <v>549</v>
      </c>
      <c r="B512">
        <v>75</v>
      </c>
      <c r="C512" t="s">
        <v>18</v>
      </c>
      <c r="D512" t="s">
        <v>19</v>
      </c>
      <c r="E512">
        <v>14</v>
      </c>
      <c r="F512" t="s">
        <v>31</v>
      </c>
      <c r="G512" t="s">
        <v>37</v>
      </c>
      <c r="H512" s="1">
        <v>105.93</v>
      </c>
      <c r="I512" t="s">
        <v>28</v>
      </c>
      <c r="J512">
        <v>2</v>
      </c>
      <c r="K512">
        <v>4</v>
      </c>
    </row>
    <row r="513" spans="1:11" x14ac:dyDescent="0.35">
      <c r="A513" t="s">
        <v>550</v>
      </c>
      <c r="B513">
        <v>24</v>
      </c>
      <c r="C513" t="s">
        <v>18</v>
      </c>
      <c r="D513" t="s">
        <v>19</v>
      </c>
      <c r="E513">
        <v>20</v>
      </c>
      <c r="F513" t="s">
        <v>22</v>
      </c>
      <c r="G513" t="s">
        <v>37</v>
      </c>
      <c r="H513" s="1">
        <v>186.13</v>
      </c>
      <c r="I513" t="s">
        <v>24</v>
      </c>
      <c r="J513">
        <v>0</v>
      </c>
      <c r="K513">
        <v>4</v>
      </c>
    </row>
    <row r="514" spans="1:11" x14ac:dyDescent="0.35">
      <c r="A514" t="s">
        <v>551</v>
      </c>
      <c r="B514">
        <v>47</v>
      </c>
      <c r="C514" t="s">
        <v>12</v>
      </c>
      <c r="D514" t="s">
        <v>30</v>
      </c>
      <c r="E514">
        <v>13</v>
      </c>
      <c r="F514" t="s">
        <v>26</v>
      </c>
      <c r="G514" t="s">
        <v>15</v>
      </c>
      <c r="H514" s="1">
        <v>278.07</v>
      </c>
      <c r="I514" t="s">
        <v>43</v>
      </c>
      <c r="J514">
        <v>2</v>
      </c>
      <c r="K514">
        <v>6</v>
      </c>
    </row>
    <row r="515" spans="1:11" x14ac:dyDescent="0.35">
      <c r="A515" t="s">
        <v>552</v>
      </c>
      <c r="B515">
        <v>68</v>
      </c>
      <c r="C515" t="s">
        <v>189</v>
      </c>
      <c r="D515" t="s">
        <v>120</v>
      </c>
      <c r="E515">
        <v>14</v>
      </c>
      <c r="F515" t="s">
        <v>26</v>
      </c>
      <c r="G515" t="s">
        <v>37</v>
      </c>
      <c r="H515" s="1">
        <v>195.53</v>
      </c>
      <c r="I515" t="s">
        <v>28</v>
      </c>
      <c r="J515">
        <v>1</v>
      </c>
      <c r="K515">
        <v>6</v>
      </c>
    </row>
    <row r="516" spans="1:11" x14ac:dyDescent="0.35">
      <c r="A516" t="s">
        <v>553</v>
      </c>
      <c r="B516">
        <v>38</v>
      </c>
      <c r="C516" t="s">
        <v>12</v>
      </c>
      <c r="D516" t="s">
        <v>13</v>
      </c>
      <c r="E516">
        <v>13</v>
      </c>
      <c r="F516" t="s">
        <v>22</v>
      </c>
      <c r="G516" t="s">
        <v>34</v>
      </c>
      <c r="H516" s="1">
        <v>191.06</v>
      </c>
      <c r="I516" t="s">
        <v>24</v>
      </c>
      <c r="J516">
        <v>0</v>
      </c>
      <c r="K516">
        <v>7</v>
      </c>
    </row>
    <row r="517" spans="1:11" x14ac:dyDescent="0.35">
      <c r="A517" t="s">
        <v>554</v>
      </c>
      <c r="B517">
        <v>29</v>
      </c>
      <c r="C517" t="s">
        <v>12</v>
      </c>
      <c r="D517" t="s">
        <v>30</v>
      </c>
      <c r="E517">
        <v>2</v>
      </c>
      <c r="F517" t="s">
        <v>22</v>
      </c>
      <c r="G517" t="s">
        <v>15</v>
      </c>
      <c r="H517" s="1">
        <v>81.209999999999994</v>
      </c>
      <c r="I517" t="s">
        <v>24</v>
      </c>
      <c r="J517">
        <v>2</v>
      </c>
      <c r="K517">
        <v>7</v>
      </c>
    </row>
    <row r="518" spans="1:11" x14ac:dyDescent="0.35">
      <c r="A518" t="s">
        <v>555</v>
      </c>
      <c r="B518">
        <v>56</v>
      </c>
      <c r="C518" t="s">
        <v>18</v>
      </c>
      <c r="D518" t="s">
        <v>19</v>
      </c>
      <c r="E518">
        <v>20</v>
      </c>
      <c r="F518" t="s">
        <v>31</v>
      </c>
      <c r="G518" t="s">
        <v>23</v>
      </c>
      <c r="H518" s="1">
        <v>370.68</v>
      </c>
      <c r="I518" t="s">
        <v>24</v>
      </c>
      <c r="J518">
        <v>2</v>
      </c>
      <c r="K518">
        <v>4</v>
      </c>
    </row>
    <row r="519" spans="1:11" x14ac:dyDescent="0.35">
      <c r="A519" t="s">
        <v>556</v>
      </c>
      <c r="B519">
        <v>26</v>
      </c>
      <c r="C519" t="s">
        <v>12</v>
      </c>
      <c r="D519" t="s">
        <v>19</v>
      </c>
      <c r="E519">
        <v>7</v>
      </c>
      <c r="F519" t="s">
        <v>31</v>
      </c>
      <c r="G519" t="s">
        <v>23</v>
      </c>
      <c r="H519" s="1">
        <v>598.96</v>
      </c>
      <c r="I519" t="s">
        <v>24</v>
      </c>
      <c r="J519">
        <v>0</v>
      </c>
      <c r="K519">
        <v>10</v>
      </c>
    </row>
    <row r="520" spans="1:11" x14ac:dyDescent="0.35">
      <c r="A520" t="s">
        <v>557</v>
      </c>
      <c r="B520">
        <v>36</v>
      </c>
      <c r="C520" t="s">
        <v>18</v>
      </c>
      <c r="D520" t="s">
        <v>19</v>
      </c>
      <c r="E520">
        <v>6</v>
      </c>
      <c r="F520" t="s">
        <v>31</v>
      </c>
      <c r="G520" t="s">
        <v>27</v>
      </c>
      <c r="H520" s="1">
        <v>155.24</v>
      </c>
      <c r="I520" t="s">
        <v>28</v>
      </c>
      <c r="J520">
        <v>2</v>
      </c>
      <c r="K520">
        <v>8</v>
      </c>
    </row>
    <row r="521" spans="1:11" x14ac:dyDescent="0.35">
      <c r="A521" t="s">
        <v>558</v>
      </c>
      <c r="B521">
        <v>83</v>
      </c>
      <c r="C521" t="s">
        <v>12</v>
      </c>
      <c r="D521" t="s">
        <v>19</v>
      </c>
      <c r="E521">
        <v>6</v>
      </c>
      <c r="F521" t="s">
        <v>33</v>
      </c>
      <c r="G521" t="s">
        <v>15</v>
      </c>
      <c r="H521" s="1">
        <v>294.64999999999998</v>
      </c>
      <c r="I521" t="s">
        <v>28</v>
      </c>
      <c r="J521">
        <v>0</v>
      </c>
      <c r="K521">
        <v>8</v>
      </c>
    </row>
    <row r="522" spans="1:11" x14ac:dyDescent="0.35">
      <c r="A522" t="s">
        <v>559</v>
      </c>
      <c r="B522">
        <v>38</v>
      </c>
      <c r="C522" t="s">
        <v>12</v>
      </c>
      <c r="D522" t="s">
        <v>21</v>
      </c>
      <c r="E522">
        <v>19</v>
      </c>
      <c r="F522" t="s">
        <v>33</v>
      </c>
      <c r="G522" t="s">
        <v>37</v>
      </c>
      <c r="H522" s="1">
        <v>195.96</v>
      </c>
      <c r="I522" t="s">
        <v>28</v>
      </c>
      <c r="J522">
        <v>2</v>
      </c>
      <c r="K522">
        <v>1</v>
      </c>
    </row>
    <row r="523" spans="1:11" x14ac:dyDescent="0.35">
      <c r="A523" t="s">
        <v>560</v>
      </c>
      <c r="B523">
        <v>26</v>
      </c>
      <c r="C523" t="s">
        <v>528</v>
      </c>
      <c r="D523" t="s">
        <v>57</v>
      </c>
      <c r="E523">
        <v>25</v>
      </c>
      <c r="F523" t="s">
        <v>14</v>
      </c>
      <c r="G523" t="s">
        <v>23</v>
      </c>
      <c r="H523" s="1">
        <v>0</v>
      </c>
      <c r="I523" t="s">
        <v>16</v>
      </c>
      <c r="J523">
        <v>4</v>
      </c>
      <c r="K523">
        <v>5</v>
      </c>
    </row>
    <row r="524" spans="1:11" x14ac:dyDescent="0.35">
      <c r="A524" t="s">
        <v>561</v>
      </c>
      <c r="B524">
        <v>30</v>
      </c>
      <c r="C524" t="s">
        <v>18</v>
      </c>
      <c r="D524" t="s">
        <v>30</v>
      </c>
      <c r="E524">
        <v>12</v>
      </c>
      <c r="F524" t="s">
        <v>31</v>
      </c>
      <c r="G524" t="s">
        <v>34</v>
      </c>
      <c r="H524" s="1">
        <v>217.19</v>
      </c>
      <c r="I524" t="s">
        <v>24</v>
      </c>
      <c r="J524">
        <v>3</v>
      </c>
      <c r="K524">
        <v>6</v>
      </c>
    </row>
    <row r="525" spans="1:11" x14ac:dyDescent="0.35">
      <c r="A525" t="s">
        <v>562</v>
      </c>
      <c r="B525">
        <v>36</v>
      </c>
      <c r="C525" t="s">
        <v>12</v>
      </c>
      <c r="D525" t="s">
        <v>19</v>
      </c>
      <c r="E525">
        <v>23</v>
      </c>
      <c r="F525" t="s">
        <v>33</v>
      </c>
      <c r="G525" t="s">
        <v>27</v>
      </c>
      <c r="H525" s="1">
        <v>110.47</v>
      </c>
      <c r="I525" t="s">
        <v>28</v>
      </c>
      <c r="J525">
        <v>2</v>
      </c>
      <c r="K525">
        <v>1</v>
      </c>
    </row>
    <row r="526" spans="1:11" x14ac:dyDescent="0.35">
      <c r="A526" t="s">
        <v>563</v>
      </c>
      <c r="B526">
        <v>78</v>
      </c>
      <c r="C526" t="s">
        <v>18</v>
      </c>
      <c r="D526" t="s">
        <v>13</v>
      </c>
      <c r="E526">
        <v>17</v>
      </c>
      <c r="F526" t="s">
        <v>22</v>
      </c>
      <c r="G526" t="s">
        <v>37</v>
      </c>
      <c r="H526" s="1">
        <v>147.87</v>
      </c>
      <c r="I526" t="s">
        <v>24</v>
      </c>
      <c r="J526">
        <v>0</v>
      </c>
      <c r="K526">
        <v>8</v>
      </c>
    </row>
    <row r="527" spans="1:11" x14ac:dyDescent="0.35">
      <c r="A527" t="s">
        <v>564</v>
      </c>
      <c r="B527">
        <v>69</v>
      </c>
      <c r="C527" t="s">
        <v>12</v>
      </c>
      <c r="D527" t="s">
        <v>19</v>
      </c>
      <c r="E527">
        <v>22</v>
      </c>
      <c r="F527" t="s">
        <v>22</v>
      </c>
      <c r="G527" t="s">
        <v>34</v>
      </c>
      <c r="H527" s="1">
        <v>178.28</v>
      </c>
      <c r="I527" t="s">
        <v>24</v>
      </c>
      <c r="J527">
        <v>1</v>
      </c>
      <c r="K527">
        <v>2</v>
      </c>
    </row>
    <row r="528" spans="1:11" x14ac:dyDescent="0.35">
      <c r="A528" t="s">
        <v>565</v>
      </c>
      <c r="B528">
        <v>66</v>
      </c>
      <c r="C528" t="s">
        <v>12</v>
      </c>
      <c r="D528" t="s">
        <v>21</v>
      </c>
      <c r="E528">
        <v>40</v>
      </c>
      <c r="F528" t="s">
        <v>22</v>
      </c>
      <c r="G528" t="s">
        <v>23</v>
      </c>
      <c r="H528" s="1">
        <v>594.09</v>
      </c>
      <c r="I528" t="s">
        <v>24</v>
      </c>
      <c r="J528">
        <v>1</v>
      </c>
      <c r="K528">
        <v>5</v>
      </c>
    </row>
    <row r="529" spans="1:11" x14ac:dyDescent="0.35">
      <c r="A529" t="s">
        <v>566</v>
      </c>
      <c r="B529">
        <v>73</v>
      </c>
      <c r="C529" t="s">
        <v>18</v>
      </c>
      <c r="D529" t="s">
        <v>21</v>
      </c>
      <c r="E529">
        <v>17</v>
      </c>
      <c r="F529" t="s">
        <v>31</v>
      </c>
      <c r="G529" t="s">
        <v>37</v>
      </c>
      <c r="H529" s="1">
        <v>150.80000000000001</v>
      </c>
      <c r="I529" t="s">
        <v>43</v>
      </c>
      <c r="J529">
        <v>3</v>
      </c>
      <c r="K529">
        <v>8</v>
      </c>
    </row>
    <row r="530" spans="1:11" x14ac:dyDescent="0.35">
      <c r="A530" t="s">
        <v>567</v>
      </c>
      <c r="B530">
        <v>30</v>
      </c>
      <c r="C530" t="s">
        <v>12</v>
      </c>
      <c r="D530" t="s">
        <v>21</v>
      </c>
      <c r="E530">
        <v>20</v>
      </c>
      <c r="F530" t="s">
        <v>26</v>
      </c>
      <c r="G530" t="s">
        <v>23</v>
      </c>
      <c r="H530" s="1">
        <v>224.97</v>
      </c>
      <c r="I530" t="s">
        <v>24</v>
      </c>
      <c r="J530">
        <v>3</v>
      </c>
      <c r="K530">
        <v>1</v>
      </c>
    </row>
    <row r="531" spans="1:11" x14ac:dyDescent="0.35">
      <c r="A531" t="s">
        <v>568</v>
      </c>
      <c r="B531">
        <v>84</v>
      </c>
      <c r="C531" t="s">
        <v>12</v>
      </c>
      <c r="D531" t="s">
        <v>19</v>
      </c>
      <c r="E531">
        <v>7</v>
      </c>
      <c r="F531" t="s">
        <v>14</v>
      </c>
      <c r="G531" t="s">
        <v>34</v>
      </c>
      <c r="H531" s="1">
        <v>0</v>
      </c>
      <c r="I531" t="s">
        <v>16</v>
      </c>
      <c r="J531">
        <v>0</v>
      </c>
      <c r="K531">
        <v>8</v>
      </c>
    </row>
    <row r="532" spans="1:11" x14ac:dyDescent="0.35">
      <c r="A532" t="s">
        <v>569</v>
      </c>
      <c r="B532">
        <v>50</v>
      </c>
      <c r="C532" t="s">
        <v>12</v>
      </c>
      <c r="D532" t="s">
        <v>13</v>
      </c>
      <c r="E532">
        <v>19</v>
      </c>
      <c r="F532" t="s">
        <v>22</v>
      </c>
      <c r="G532" t="s">
        <v>34</v>
      </c>
      <c r="H532" s="1">
        <v>112.65</v>
      </c>
      <c r="I532" t="s">
        <v>24</v>
      </c>
      <c r="J532">
        <v>4</v>
      </c>
      <c r="K532">
        <v>2</v>
      </c>
    </row>
    <row r="533" spans="1:11" x14ac:dyDescent="0.35">
      <c r="A533" t="s">
        <v>570</v>
      </c>
      <c r="B533">
        <v>65</v>
      </c>
      <c r="C533" t="s">
        <v>18</v>
      </c>
      <c r="D533" t="s">
        <v>244</v>
      </c>
      <c r="E533">
        <v>14</v>
      </c>
      <c r="F533" t="s">
        <v>26</v>
      </c>
      <c r="G533" t="s">
        <v>15</v>
      </c>
      <c r="H533" s="1">
        <v>206.2</v>
      </c>
      <c r="I533" t="s">
        <v>24</v>
      </c>
      <c r="J533">
        <v>0</v>
      </c>
      <c r="K533">
        <v>8</v>
      </c>
    </row>
    <row r="534" spans="1:11" x14ac:dyDescent="0.35">
      <c r="A534" t="s">
        <v>571</v>
      </c>
      <c r="B534">
        <v>39</v>
      </c>
      <c r="C534" t="s">
        <v>12</v>
      </c>
      <c r="D534" t="s">
        <v>19</v>
      </c>
      <c r="E534">
        <v>13</v>
      </c>
      <c r="F534" t="s">
        <v>33</v>
      </c>
      <c r="G534" t="s">
        <v>27</v>
      </c>
      <c r="H534" s="1">
        <v>160.68</v>
      </c>
      <c r="I534" t="s">
        <v>24</v>
      </c>
      <c r="J534">
        <v>3</v>
      </c>
      <c r="K534">
        <v>8</v>
      </c>
    </row>
    <row r="535" spans="1:11" x14ac:dyDescent="0.35">
      <c r="A535" t="s">
        <v>572</v>
      </c>
      <c r="B535">
        <v>41</v>
      </c>
      <c r="C535" t="s">
        <v>18</v>
      </c>
      <c r="D535" t="s">
        <v>13</v>
      </c>
      <c r="E535">
        <v>12</v>
      </c>
      <c r="F535" t="s">
        <v>22</v>
      </c>
      <c r="G535" t="s">
        <v>37</v>
      </c>
      <c r="H535" s="1">
        <v>171.08</v>
      </c>
      <c r="I535" t="s">
        <v>28</v>
      </c>
      <c r="J535">
        <v>2</v>
      </c>
      <c r="K535">
        <v>7</v>
      </c>
    </row>
    <row r="536" spans="1:11" x14ac:dyDescent="0.35">
      <c r="A536" t="s">
        <v>573</v>
      </c>
      <c r="B536">
        <v>41</v>
      </c>
      <c r="C536" t="s">
        <v>18</v>
      </c>
      <c r="D536" t="s">
        <v>47</v>
      </c>
      <c r="E536">
        <v>3</v>
      </c>
      <c r="F536" t="s">
        <v>26</v>
      </c>
      <c r="G536" t="s">
        <v>27</v>
      </c>
      <c r="H536" s="1">
        <v>134.55000000000001</v>
      </c>
      <c r="I536" t="s">
        <v>24</v>
      </c>
      <c r="J536">
        <v>0</v>
      </c>
      <c r="K536">
        <v>8</v>
      </c>
    </row>
    <row r="537" spans="1:11" x14ac:dyDescent="0.35">
      <c r="A537" t="s">
        <v>574</v>
      </c>
      <c r="B537">
        <v>29</v>
      </c>
      <c r="C537" t="s">
        <v>18</v>
      </c>
      <c r="D537" t="s">
        <v>21</v>
      </c>
      <c r="E537">
        <v>22</v>
      </c>
      <c r="F537" t="s">
        <v>31</v>
      </c>
      <c r="G537" t="s">
        <v>15</v>
      </c>
      <c r="H537" s="1">
        <v>272.39999999999998</v>
      </c>
      <c r="I537" t="s">
        <v>24</v>
      </c>
      <c r="J537">
        <v>2</v>
      </c>
      <c r="K537">
        <v>2</v>
      </c>
    </row>
    <row r="538" spans="1:11" x14ac:dyDescent="0.35">
      <c r="A538" t="s">
        <v>575</v>
      </c>
      <c r="B538">
        <v>58</v>
      </c>
      <c r="C538" t="s">
        <v>12</v>
      </c>
      <c r="D538" t="s">
        <v>21</v>
      </c>
      <c r="E538">
        <v>31</v>
      </c>
      <c r="F538" t="s">
        <v>33</v>
      </c>
      <c r="G538" t="s">
        <v>15</v>
      </c>
      <c r="H538" s="1">
        <v>384.46</v>
      </c>
      <c r="I538" t="s">
        <v>24</v>
      </c>
      <c r="J538">
        <v>1</v>
      </c>
      <c r="K538">
        <v>3</v>
      </c>
    </row>
    <row r="539" spans="1:11" x14ac:dyDescent="0.35">
      <c r="A539" t="s">
        <v>576</v>
      </c>
      <c r="B539">
        <v>54</v>
      </c>
      <c r="C539" t="s">
        <v>12</v>
      </c>
      <c r="D539" t="s">
        <v>19</v>
      </c>
      <c r="E539">
        <v>18</v>
      </c>
      <c r="F539" t="s">
        <v>22</v>
      </c>
      <c r="G539" t="s">
        <v>23</v>
      </c>
      <c r="H539" s="1">
        <v>458.56</v>
      </c>
      <c r="I539" t="s">
        <v>24</v>
      </c>
      <c r="J539">
        <v>1</v>
      </c>
      <c r="K539">
        <v>5</v>
      </c>
    </row>
    <row r="540" spans="1:11" x14ac:dyDescent="0.35">
      <c r="A540" t="s">
        <v>577</v>
      </c>
      <c r="B540">
        <v>77</v>
      </c>
      <c r="C540" t="s">
        <v>12</v>
      </c>
      <c r="D540" t="s">
        <v>41</v>
      </c>
      <c r="E540">
        <v>7</v>
      </c>
      <c r="F540" t="s">
        <v>14</v>
      </c>
      <c r="G540" t="s">
        <v>15</v>
      </c>
      <c r="H540" s="1">
        <v>0</v>
      </c>
      <c r="I540" t="s">
        <v>16</v>
      </c>
      <c r="J540">
        <v>0</v>
      </c>
      <c r="K540">
        <v>7</v>
      </c>
    </row>
    <row r="541" spans="1:11" x14ac:dyDescent="0.35">
      <c r="A541" t="s">
        <v>578</v>
      </c>
      <c r="B541">
        <v>41</v>
      </c>
      <c r="C541" t="s">
        <v>18</v>
      </c>
      <c r="D541" t="s">
        <v>19</v>
      </c>
      <c r="E541">
        <v>24</v>
      </c>
      <c r="F541" t="s">
        <v>22</v>
      </c>
      <c r="G541" t="s">
        <v>37</v>
      </c>
      <c r="H541" s="1">
        <v>125.99</v>
      </c>
      <c r="I541" t="s">
        <v>24</v>
      </c>
      <c r="J541">
        <v>1</v>
      </c>
      <c r="K541">
        <v>3</v>
      </c>
    </row>
    <row r="542" spans="1:11" x14ac:dyDescent="0.35">
      <c r="A542" t="s">
        <v>579</v>
      </c>
      <c r="B542">
        <v>68</v>
      </c>
      <c r="C542" t="s">
        <v>18</v>
      </c>
      <c r="D542" t="s">
        <v>19</v>
      </c>
      <c r="E542">
        <v>24</v>
      </c>
      <c r="F542" t="s">
        <v>22</v>
      </c>
      <c r="G542" t="s">
        <v>23</v>
      </c>
      <c r="H542" s="1">
        <v>563.4</v>
      </c>
      <c r="I542" t="s">
        <v>24</v>
      </c>
      <c r="J542">
        <v>1</v>
      </c>
      <c r="K542">
        <v>3</v>
      </c>
    </row>
    <row r="543" spans="1:11" x14ac:dyDescent="0.35">
      <c r="A543" t="s">
        <v>580</v>
      </c>
      <c r="B543">
        <v>18</v>
      </c>
      <c r="C543" t="s">
        <v>18</v>
      </c>
      <c r="D543" t="s">
        <v>19</v>
      </c>
      <c r="E543">
        <v>17</v>
      </c>
      <c r="F543" t="s">
        <v>26</v>
      </c>
      <c r="G543" t="s">
        <v>15</v>
      </c>
      <c r="H543" s="1">
        <v>381.84</v>
      </c>
      <c r="I543" t="s">
        <v>24</v>
      </c>
      <c r="J543">
        <v>1</v>
      </c>
      <c r="K543">
        <v>5</v>
      </c>
    </row>
    <row r="544" spans="1:11" x14ac:dyDescent="0.35">
      <c r="A544" t="s">
        <v>581</v>
      </c>
      <c r="B544">
        <v>84</v>
      </c>
      <c r="C544" t="s">
        <v>12</v>
      </c>
      <c r="D544" t="s">
        <v>21</v>
      </c>
      <c r="E544">
        <v>29</v>
      </c>
      <c r="F544" t="s">
        <v>26</v>
      </c>
      <c r="G544" t="s">
        <v>23</v>
      </c>
      <c r="H544" s="1">
        <v>428.78</v>
      </c>
      <c r="I544" t="s">
        <v>24</v>
      </c>
      <c r="J544">
        <v>2</v>
      </c>
      <c r="K544">
        <v>1</v>
      </c>
    </row>
    <row r="545" spans="1:11" x14ac:dyDescent="0.35">
      <c r="A545" t="s">
        <v>582</v>
      </c>
      <c r="B545">
        <v>34</v>
      </c>
      <c r="C545" t="s">
        <v>18</v>
      </c>
      <c r="D545" t="s">
        <v>41</v>
      </c>
      <c r="E545">
        <v>14</v>
      </c>
      <c r="F545" t="s">
        <v>22</v>
      </c>
      <c r="G545" t="s">
        <v>23</v>
      </c>
      <c r="H545" s="1">
        <v>475.76</v>
      </c>
      <c r="I545" t="s">
        <v>24</v>
      </c>
      <c r="J545">
        <v>1</v>
      </c>
      <c r="K545">
        <v>4</v>
      </c>
    </row>
    <row r="546" spans="1:11" x14ac:dyDescent="0.35">
      <c r="A546" t="s">
        <v>583</v>
      </c>
      <c r="B546">
        <v>66</v>
      </c>
      <c r="C546" t="s">
        <v>12</v>
      </c>
      <c r="D546" t="s">
        <v>13</v>
      </c>
      <c r="E546">
        <v>7</v>
      </c>
      <c r="F546" t="s">
        <v>26</v>
      </c>
      <c r="G546" t="s">
        <v>37</v>
      </c>
      <c r="H546" s="1">
        <v>180.87</v>
      </c>
      <c r="I546" t="s">
        <v>24</v>
      </c>
      <c r="J546">
        <v>1</v>
      </c>
      <c r="K546">
        <v>9</v>
      </c>
    </row>
    <row r="547" spans="1:11" x14ac:dyDescent="0.35">
      <c r="A547" t="s">
        <v>584</v>
      </c>
      <c r="B547">
        <v>28</v>
      </c>
      <c r="C547" t="s">
        <v>18</v>
      </c>
      <c r="D547" t="s">
        <v>30</v>
      </c>
      <c r="E547">
        <v>11</v>
      </c>
      <c r="F547" t="s">
        <v>31</v>
      </c>
      <c r="G547" t="s">
        <v>23</v>
      </c>
      <c r="H547" s="1">
        <v>525.97</v>
      </c>
      <c r="I547" t="s">
        <v>24</v>
      </c>
      <c r="J547">
        <v>0</v>
      </c>
      <c r="K547">
        <v>5</v>
      </c>
    </row>
    <row r="548" spans="1:11" x14ac:dyDescent="0.35">
      <c r="A548" t="s">
        <v>585</v>
      </c>
      <c r="B548">
        <v>78</v>
      </c>
      <c r="C548" t="s">
        <v>18</v>
      </c>
      <c r="D548" t="s">
        <v>19</v>
      </c>
      <c r="E548">
        <v>19</v>
      </c>
      <c r="F548" t="s">
        <v>33</v>
      </c>
      <c r="G548" t="s">
        <v>37</v>
      </c>
      <c r="H548" s="1">
        <v>108.24</v>
      </c>
      <c r="I548" t="s">
        <v>24</v>
      </c>
      <c r="J548">
        <v>3</v>
      </c>
      <c r="K548">
        <v>4</v>
      </c>
    </row>
    <row r="549" spans="1:11" x14ac:dyDescent="0.35">
      <c r="A549" t="s">
        <v>586</v>
      </c>
      <c r="B549">
        <v>65</v>
      </c>
      <c r="C549" t="s">
        <v>18</v>
      </c>
      <c r="D549" t="s">
        <v>19</v>
      </c>
      <c r="E549">
        <v>10</v>
      </c>
      <c r="F549" t="s">
        <v>14</v>
      </c>
      <c r="G549" t="s">
        <v>23</v>
      </c>
      <c r="H549" s="1">
        <v>0</v>
      </c>
      <c r="I549" t="s">
        <v>16</v>
      </c>
      <c r="J549">
        <v>0</v>
      </c>
      <c r="K549">
        <v>8</v>
      </c>
    </row>
    <row r="550" spans="1:11" x14ac:dyDescent="0.35">
      <c r="A550" t="s">
        <v>587</v>
      </c>
      <c r="B550">
        <v>83</v>
      </c>
      <c r="C550" t="s">
        <v>12</v>
      </c>
      <c r="D550" t="s">
        <v>30</v>
      </c>
      <c r="E550">
        <v>6</v>
      </c>
      <c r="F550" t="s">
        <v>14</v>
      </c>
      <c r="G550" t="s">
        <v>37</v>
      </c>
      <c r="H550" s="1">
        <v>0</v>
      </c>
      <c r="I550" t="s">
        <v>16</v>
      </c>
      <c r="J550">
        <v>0</v>
      </c>
      <c r="K550">
        <v>10</v>
      </c>
    </row>
    <row r="551" spans="1:11" x14ac:dyDescent="0.35">
      <c r="A551" t="s">
        <v>588</v>
      </c>
      <c r="B551">
        <v>58</v>
      </c>
      <c r="C551" t="s">
        <v>12</v>
      </c>
      <c r="D551" t="s">
        <v>30</v>
      </c>
      <c r="E551">
        <v>8</v>
      </c>
      <c r="F551" t="s">
        <v>22</v>
      </c>
      <c r="G551" t="s">
        <v>27</v>
      </c>
      <c r="H551" s="1">
        <v>109.16</v>
      </c>
      <c r="I551" t="s">
        <v>24</v>
      </c>
      <c r="J551">
        <v>0</v>
      </c>
      <c r="K551">
        <v>8</v>
      </c>
    </row>
    <row r="552" spans="1:11" x14ac:dyDescent="0.35">
      <c r="A552" t="s">
        <v>589</v>
      </c>
      <c r="B552">
        <v>77</v>
      </c>
      <c r="C552" t="s">
        <v>18</v>
      </c>
      <c r="D552" t="s">
        <v>21</v>
      </c>
      <c r="E552">
        <v>14</v>
      </c>
      <c r="F552" t="s">
        <v>31</v>
      </c>
      <c r="G552" t="s">
        <v>37</v>
      </c>
      <c r="H552" s="1">
        <v>122.82</v>
      </c>
      <c r="I552" t="s">
        <v>24</v>
      </c>
      <c r="J552">
        <v>1</v>
      </c>
      <c r="K552">
        <v>5</v>
      </c>
    </row>
    <row r="553" spans="1:11" x14ac:dyDescent="0.35">
      <c r="A553" t="s">
        <v>590</v>
      </c>
      <c r="B553">
        <v>54</v>
      </c>
      <c r="C553" t="s">
        <v>12</v>
      </c>
      <c r="D553" t="s">
        <v>19</v>
      </c>
      <c r="E553">
        <v>19</v>
      </c>
      <c r="F553" t="s">
        <v>22</v>
      </c>
      <c r="G553" t="s">
        <v>34</v>
      </c>
      <c r="H553" s="1">
        <v>165.12</v>
      </c>
      <c r="I553" t="s">
        <v>24</v>
      </c>
      <c r="J553">
        <v>1</v>
      </c>
      <c r="K553">
        <v>4</v>
      </c>
    </row>
    <row r="554" spans="1:11" x14ac:dyDescent="0.35">
      <c r="A554" t="s">
        <v>591</v>
      </c>
      <c r="B554">
        <v>46</v>
      </c>
      <c r="C554" t="s">
        <v>12</v>
      </c>
      <c r="D554" t="s">
        <v>19</v>
      </c>
      <c r="E554">
        <v>17</v>
      </c>
      <c r="F554" t="s">
        <v>31</v>
      </c>
      <c r="G554" t="s">
        <v>15</v>
      </c>
      <c r="H554" s="1">
        <v>86.9</v>
      </c>
      <c r="I554" t="s">
        <v>24</v>
      </c>
      <c r="J554">
        <v>3</v>
      </c>
      <c r="K554">
        <v>6</v>
      </c>
    </row>
    <row r="555" spans="1:11" x14ac:dyDescent="0.35">
      <c r="A555" t="s">
        <v>592</v>
      </c>
      <c r="B555">
        <v>48</v>
      </c>
      <c r="C555" t="s">
        <v>12</v>
      </c>
      <c r="D555" t="s">
        <v>13</v>
      </c>
      <c r="E555">
        <v>10</v>
      </c>
      <c r="F555" t="s">
        <v>26</v>
      </c>
      <c r="G555" t="s">
        <v>34</v>
      </c>
      <c r="H555" s="1">
        <v>192.21</v>
      </c>
      <c r="I555" t="s">
        <v>24</v>
      </c>
      <c r="J555">
        <v>1</v>
      </c>
      <c r="K555">
        <v>8</v>
      </c>
    </row>
    <row r="556" spans="1:11" x14ac:dyDescent="0.35">
      <c r="A556" t="s">
        <v>593</v>
      </c>
      <c r="B556">
        <v>61</v>
      </c>
      <c r="C556" t="s">
        <v>18</v>
      </c>
      <c r="D556" t="s">
        <v>13</v>
      </c>
      <c r="E556">
        <v>7</v>
      </c>
      <c r="F556" t="s">
        <v>31</v>
      </c>
      <c r="G556" t="s">
        <v>37</v>
      </c>
      <c r="H556" s="1">
        <v>211.02</v>
      </c>
      <c r="I556" t="s">
        <v>24</v>
      </c>
      <c r="J556">
        <v>1</v>
      </c>
      <c r="K556">
        <v>7</v>
      </c>
    </row>
    <row r="557" spans="1:11" x14ac:dyDescent="0.35">
      <c r="A557" t="s">
        <v>594</v>
      </c>
      <c r="B557">
        <v>44</v>
      </c>
      <c r="C557" t="s">
        <v>18</v>
      </c>
      <c r="D557" t="s">
        <v>13</v>
      </c>
      <c r="E557">
        <v>16</v>
      </c>
      <c r="F557" t="s">
        <v>33</v>
      </c>
      <c r="G557" t="s">
        <v>15</v>
      </c>
      <c r="H557" s="1">
        <v>397.41</v>
      </c>
      <c r="I557" t="s">
        <v>24</v>
      </c>
      <c r="J557">
        <v>2</v>
      </c>
      <c r="K557">
        <v>8</v>
      </c>
    </row>
    <row r="558" spans="1:11" x14ac:dyDescent="0.35">
      <c r="A558" t="s">
        <v>595</v>
      </c>
      <c r="B558">
        <v>79</v>
      </c>
      <c r="C558" t="s">
        <v>12</v>
      </c>
      <c r="D558" t="s">
        <v>57</v>
      </c>
      <c r="E558">
        <v>36</v>
      </c>
      <c r="F558" t="s">
        <v>33</v>
      </c>
      <c r="G558" t="s">
        <v>23</v>
      </c>
      <c r="H558" s="1">
        <v>426.73</v>
      </c>
      <c r="I558" t="s">
        <v>24</v>
      </c>
      <c r="J558">
        <v>1</v>
      </c>
      <c r="K558">
        <v>5</v>
      </c>
    </row>
    <row r="559" spans="1:11" x14ac:dyDescent="0.35">
      <c r="A559" t="s">
        <v>596</v>
      </c>
      <c r="B559">
        <v>41</v>
      </c>
      <c r="C559" t="s">
        <v>12</v>
      </c>
      <c r="D559" t="s">
        <v>13</v>
      </c>
      <c r="E559">
        <v>24</v>
      </c>
      <c r="F559" t="s">
        <v>33</v>
      </c>
      <c r="G559" t="s">
        <v>15</v>
      </c>
      <c r="H559" s="1">
        <v>407.85</v>
      </c>
      <c r="I559" t="s">
        <v>24</v>
      </c>
      <c r="J559">
        <v>2</v>
      </c>
      <c r="K559">
        <v>4</v>
      </c>
    </row>
    <row r="560" spans="1:11" x14ac:dyDescent="0.35">
      <c r="A560" t="s">
        <v>597</v>
      </c>
      <c r="B560">
        <v>53</v>
      </c>
      <c r="C560" t="s">
        <v>12</v>
      </c>
      <c r="D560" t="s">
        <v>19</v>
      </c>
      <c r="E560">
        <v>22</v>
      </c>
      <c r="F560" t="s">
        <v>31</v>
      </c>
      <c r="G560" t="s">
        <v>23</v>
      </c>
      <c r="H560" s="1">
        <v>453.27</v>
      </c>
      <c r="I560" t="s">
        <v>43</v>
      </c>
      <c r="J560">
        <v>1</v>
      </c>
      <c r="K560">
        <v>4</v>
      </c>
    </row>
    <row r="561" spans="1:11" x14ac:dyDescent="0.35">
      <c r="A561" t="s">
        <v>598</v>
      </c>
      <c r="B561">
        <v>52</v>
      </c>
      <c r="C561" t="s">
        <v>18</v>
      </c>
      <c r="D561" t="s">
        <v>47</v>
      </c>
      <c r="E561">
        <v>2</v>
      </c>
      <c r="F561" t="s">
        <v>33</v>
      </c>
      <c r="G561" t="s">
        <v>37</v>
      </c>
      <c r="H561" s="1">
        <v>177.91</v>
      </c>
      <c r="I561" t="s">
        <v>24</v>
      </c>
      <c r="J561">
        <v>2</v>
      </c>
      <c r="K561">
        <v>7</v>
      </c>
    </row>
    <row r="562" spans="1:11" x14ac:dyDescent="0.35">
      <c r="A562" t="s">
        <v>599</v>
      </c>
      <c r="B562">
        <v>85</v>
      </c>
      <c r="C562" t="s">
        <v>12</v>
      </c>
      <c r="D562" t="s">
        <v>13</v>
      </c>
      <c r="E562">
        <v>8</v>
      </c>
      <c r="F562" t="s">
        <v>14</v>
      </c>
      <c r="G562" t="s">
        <v>23</v>
      </c>
      <c r="H562" s="1">
        <v>0</v>
      </c>
      <c r="I562" t="s">
        <v>16</v>
      </c>
      <c r="J562">
        <v>0</v>
      </c>
      <c r="K562">
        <v>10</v>
      </c>
    </row>
    <row r="563" spans="1:11" x14ac:dyDescent="0.35">
      <c r="A563" t="s">
        <v>600</v>
      </c>
      <c r="B563">
        <v>43</v>
      </c>
      <c r="C563" t="s">
        <v>12</v>
      </c>
      <c r="D563" t="s">
        <v>19</v>
      </c>
      <c r="E563">
        <v>16</v>
      </c>
      <c r="F563" t="s">
        <v>31</v>
      </c>
      <c r="G563" t="s">
        <v>23</v>
      </c>
      <c r="H563" s="1">
        <v>381.26</v>
      </c>
      <c r="I563" t="s">
        <v>24</v>
      </c>
      <c r="J563">
        <v>3</v>
      </c>
      <c r="K563">
        <v>4</v>
      </c>
    </row>
    <row r="564" spans="1:11" x14ac:dyDescent="0.35">
      <c r="A564" t="s">
        <v>601</v>
      </c>
      <c r="B564">
        <v>81</v>
      </c>
      <c r="C564" t="s">
        <v>18</v>
      </c>
      <c r="D564" t="s">
        <v>21</v>
      </c>
      <c r="E564">
        <v>12</v>
      </c>
      <c r="F564" t="s">
        <v>22</v>
      </c>
      <c r="G564" t="s">
        <v>27</v>
      </c>
      <c r="H564" s="1">
        <v>141.77000000000001</v>
      </c>
      <c r="I564" t="s">
        <v>24</v>
      </c>
      <c r="J564">
        <v>3</v>
      </c>
      <c r="K564">
        <v>4</v>
      </c>
    </row>
    <row r="565" spans="1:11" x14ac:dyDescent="0.35">
      <c r="A565" t="s">
        <v>602</v>
      </c>
      <c r="B565">
        <v>48</v>
      </c>
      <c r="C565" t="s">
        <v>18</v>
      </c>
      <c r="D565" t="s">
        <v>30</v>
      </c>
      <c r="E565">
        <v>3</v>
      </c>
      <c r="F565" t="s">
        <v>22</v>
      </c>
      <c r="G565" t="s">
        <v>27</v>
      </c>
      <c r="H565" s="1">
        <v>113.96</v>
      </c>
      <c r="I565" t="s">
        <v>24</v>
      </c>
      <c r="J565">
        <v>0</v>
      </c>
      <c r="K565">
        <v>8</v>
      </c>
    </row>
    <row r="566" spans="1:11" x14ac:dyDescent="0.35">
      <c r="A566" t="s">
        <v>603</v>
      </c>
      <c r="B566">
        <v>56</v>
      </c>
      <c r="C566" t="s">
        <v>18</v>
      </c>
      <c r="D566" t="s">
        <v>19</v>
      </c>
      <c r="E566">
        <v>23</v>
      </c>
      <c r="F566" t="s">
        <v>33</v>
      </c>
      <c r="G566" t="s">
        <v>15</v>
      </c>
      <c r="H566" s="1">
        <v>297.54000000000002</v>
      </c>
      <c r="I566" t="s">
        <v>24</v>
      </c>
      <c r="J566">
        <v>2</v>
      </c>
      <c r="K566">
        <v>5</v>
      </c>
    </row>
    <row r="567" spans="1:11" x14ac:dyDescent="0.35">
      <c r="A567" t="s">
        <v>604</v>
      </c>
      <c r="B567">
        <v>61</v>
      </c>
      <c r="C567" t="s">
        <v>12</v>
      </c>
      <c r="D567" t="s">
        <v>30</v>
      </c>
      <c r="E567">
        <v>6</v>
      </c>
      <c r="F567" t="s">
        <v>22</v>
      </c>
      <c r="G567" t="s">
        <v>23</v>
      </c>
      <c r="H567" s="1">
        <v>418.83</v>
      </c>
      <c r="I567" t="s">
        <v>43</v>
      </c>
      <c r="J567">
        <v>0</v>
      </c>
      <c r="K567">
        <v>8</v>
      </c>
    </row>
    <row r="568" spans="1:11" x14ac:dyDescent="0.35">
      <c r="A568" t="s">
        <v>605</v>
      </c>
      <c r="B568">
        <v>76</v>
      </c>
      <c r="C568" t="s">
        <v>18</v>
      </c>
      <c r="D568" t="s">
        <v>21</v>
      </c>
      <c r="E568">
        <v>38</v>
      </c>
      <c r="F568" t="s">
        <v>33</v>
      </c>
      <c r="G568" t="s">
        <v>27</v>
      </c>
      <c r="H568" s="1">
        <v>86.46</v>
      </c>
      <c r="I568" t="s">
        <v>24</v>
      </c>
      <c r="J568">
        <v>1</v>
      </c>
      <c r="K568">
        <v>5</v>
      </c>
    </row>
    <row r="569" spans="1:11" x14ac:dyDescent="0.35">
      <c r="A569" t="s">
        <v>606</v>
      </c>
      <c r="B569">
        <v>25</v>
      </c>
      <c r="C569" t="s">
        <v>18</v>
      </c>
      <c r="D569" t="s">
        <v>19</v>
      </c>
      <c r="E569">
        <v>19</v>
      </c>
      <c r="F569" t="s">
        <v>14</v>
      </c>
      <c r="G569" t="s">
        <v>23</v>
      </c>
      <c r="H569" s="1">
        <v>0</v>
      </c>
      <c r="I569" t="s">
        <v>16</v>
      </c>
      <c r="J569">
        <v>2</v>
      </c>
      <c r="K569">
        <v>5</v>
      </c>
    </row>
    <row r="570" spans="1:11" x14ac:dyDescent="0.35">
      <c r="A570" t="s">
        <v>607</v>
      </c>
      <c r="B570">
        <v>84</v>
      </c>
      <c r="C570" t="s">
        <v>12</v>
      </c>
      <c r="D570" t="s">
        <v>21</v>
      </c>
      <c r="E570">
        <v>38</v>
      </c>
      <c r="F570" t="s">
        <v>22</v>
      </c>
      <c r="G570" t="s">
        <v>34</v>
      </c>
      <c r="H570" s="1">
        <v>98.82</v>
      </c>
      <c r="I570" t="s">
        <v>24</v>
      </c>
      <c r="J570">
        <v>0</v>
      </c>
      <c r="K570">
        <v>4</v>
      </c>
    </row>
    <row r="571" spans="1:11" x14ac:dyDescent="0.35">
      <c r="A571" t="s">
        <v>608</v>
      </c>
      <c r="B571">
        <v>85</v>
      </c>
      <c r="C571" t="s">
        <v>18</v>
      </c>
      <c r="D571" t="s">
        <v>21</v>
      </c>
      <c r="E571">
        <v>17</v>
      </c>
      <c r="F571" t="s">
        <v>22</v>
      </c>
      <c r="G571" t="s">
        <v>34</v>
      </c>
      <c r="H571" s="1">
        <v>128.88</v>
      </c>
      <c r="I571" t="s">
        <v>24</v>
      </c>
      <c r="J571">
        <v>2</v>
      </c>
      <c r="K571">
        <v>8</v>
      </c>
    </row>
    <row r="572" spans="1:11" x14ac:dyDescent="0.35">
      <c r="A572" t="s">
        <v>609</v>
      </c>
      <c r="B572">
        <v>23</v>
      </c>
      <c r="C572" t="s">
        <v>18</v>
      </c>
      <c r="D572" t="s">
        <v>19</v>
      </c>
      <c r="E572">
        <v>22</v>
      </c>
      <c r="F572" t="s">
        <v>22</v>
      </c>
      <c r="G572" t="s">
        <v>27</v>
      </c>
      <c r="H572" s="1">
        <v>25.87</v>
      </c>
      <c r="I572" t="s">
        <v>24</v>
      </c>
      <c r="J572">
        <v>1</v>
      </c>
      <c r="K572">
        <v>3</v>
      </c>
    </row>
    <row r="573" spans="1:11" x14ac:dyDescent="0.35">
      <c r="A573" t="s">
        <v>610</v>
      </c>
      <c r="B573">
        <v>75</v>
      </c>
      <c r="C573" t="s">
        <v>18</v>
      </c>
      <c r="D573" t="s">
        <v>19</v>
      </c>
      <c r="E573">
        <v>17</v>
      </c>
      <c r="F573" t="s">
        <v>22</v>
      </c>
      <c r="G573" t="s">
        <v>23</v>
      </c>
      <c r="H573" s="1">
        <v>466.94</v>
      </c>
      <c r="I573" t="s">
        <v>24</v>
      </c>
      <c r="J573">
        <v>3</v>
      </c>
      <c r="K573">
        <v>6</v>
      </c>
    </row>
    <row r="574" spans="1:11" x14ac:dyDescent="0.35">
      <c r="A574" t="s">
        <v>611</v>
      </c>
      <c r="B574">
        <v>37</v>
      </c>
      <c r="C574" t="s">
        <v>12</v>
      </c>
      <c r="D574" t="s">
        <v>19</v>
      </c>
      <c r="E574">
        <v>7</v>
      </c>
      <c r="F574" t="s">
        <v>26</v>
      </c>
      <c r="G574" t="s">
        <v>37</v>
      </c>
      <c r="H574" s="1">
        <v>118.95</v>
      </c>
      <c r="I574" t="s">
        <v>24</v>
      </c>
      <c r="J574">
        <v>0</v>
      </c>
      <c r="K574">
        <v>8</v>
      </c>
    </row>
    <row r="575" spans="1:11" x14ac:dyDescent="0.35">
      <c r="A575" t="s">
        <v>612</v>
      </c>
      <c r="B575">
        <v>77</v>
      </c>
      <c r="C575" t="s">
        <v>18</v>
      </c>
      <c r="D575" t="s">
        <v>21</v>
      </c>
      <c r="E575">
        <v>19</v>
      </c>
      <c r="F575" t="s">
        <v>33</v>
      </c>
      <c r="G575" t="s">
        <v>37</v>
      </c>
      <c r="H575" s="1">
        <v>149.84</v>
      </c>
      <c r="I575" t="s">
        <v>24</v>
      </c>
      <c r="J575">
        <v>2</v>
      </c>
      <c r="K575">
        <v>4</v>
      </c>
    </row>
    <row r="576" spans="1:11" x14ac:dyDescent="0.35">
      <c r="A576" t="s">
        <v>613</v>
      </c>
      <c r="B576">
        <v>34</v>
      </c>
      <c r="C576" t="s">
        <v>18</v>
      </c>
      <c r="D576" t="s">
        <v>41</v>
      </c>
      <c r="E576">
        <v>8</v>
      </c>
      <c r="F576" t="s">
        <v>31</v>
      </c>
      <c r="G576" t="s">
        <v>34</v>
      </c>
      <c r="H576" s="1">
        <v>105.92</v>
      </c>
      <c r="I576" t="s">
        <v>28</v>
      </c>
      <c r="J576">
        <v>1</v>
      </c>
      <c r="K576">
        <v>9</v>
      </c>
    </row>
    <row r="577" spans="1:11" x14ac:dyDescent="0.35">
      <c r="A577" t="s">
        <v>614</v>
      </c>
      <c r="B577">
        <v>50</v>
      </c>
      <c r="C577" t="s">
        <v>18</v>
      </c>
      <c r="D577" t="s">
        <v>30</v>
      </c>
      <c r="E577">
        <v>11</v>
      </c>
      <c r="F577" t="s">
        <v>31</v>
      </c>
      <c r="G577" t="s">
        <v>15</v>
      </c>
      <c r="H577" s="1">
        <v>409.38</v>
      </c>
      <c r="I577" t="s">
        <v>24</v>
      </c>
      <c r="J577">
        <v>0</v>
      </c>
      <c r="K577">
        <v>7</v>
      </c>
    </row>
    <row r="578" spans="1:11" x14ac:dyDescent="0.35">
      <c r="A578" t="s">
        <v>615</v>
      </c>
      <c r="B578">
        <v>51</v>
      </c>
      <c r="C578" t="s">
        <v>18</v>
      </c>
      <c r="D578" t="s">
        <v>200</v>
      </c>
      <c r="E578">
        <v>20</v>
      </c>
      <c r="F578" t="s">
        <v>26</v>
      </c>
      <c r="G578" t="s">
        <v>27</v>
      </c>
      <c r="H578" s="1">
        <v>111.93</v>
      </c>
      <c r="I578" t="s">
        <v>43</v>
      </c>
      <c r="J578">
        <v>1</v>
      </c>
      <c r="K578">
        <v>5</v>
      </c>
    </row>
    <row r="579" spans="1:11" x14ac:dyDescent="0.35">
      <c r="A579" t="s">
        <v>616</v>
      </c>
      <c r="B579">
        <v>21</v>
      </c>
      <c r="C579" t="s">
        <v>18</v>
      </c>
      <c r="D579" t="s">
        <v>19</v>
      </c>
      <c r="E579">
        <v>16</v>
      </c>
      <c r="F579" t="s">
        <v>22</v>
      </c>
      <c r="G579" t="s">
        <v>37</v>
      </c>
      <c r="H579" s="1">
        <v>179.82</v>
      </c>
      <c r="I579" t="s">
        <v>24</v>
      </c>
      <c r="J579">
        <v>0</v>
      </c>
      <c r="K579">
        <v>6</v>
      </c>
    </row>
    <row r="580" spans="1:11" x14ac:dyDescent="0.35">
      <c r="A580" t="s">
        <v>617</v>
      </c>
      <c r="B580">
        <v>55</v>
      </c>
      <c r="C580" t="s">
        <v>18</v>
      </c>
      <c r="D580" t="s">
        <v>21</v>
      </c>
      <c r="E580">
        <v>47</v>
      </c>
      <c r="F580" t="s">
        <v>33</v>
      </c>
      <c r="G580" t="s">
        <v>37</v>
      </c>
      <c r="H580" s="1">
        <v>172.85</v>
      </c>
      <c r="I580" t="s">
        <v>24</v>
      </c>
      <c r="J580">
        <v>3</v>
      </c>
      <c r="K580">
        <v>4</v>
      </c>
    </row>
    <row r="581" spans="1:11" x14ac:dyDescent="0.35">
      <c r="A581" t="s">
        <v>618</v>
      </c>
      <c r="B581">
        <v>59</v>
      </c>
      <c r="C581" t="s">
        <v>12</v>
      </c>
      <c r="D581" t="s">
        <v>21</v>
      </c>
      <c r="E581">
        <v>33</v>
      </c>
      <c r="F581" t="s">
        <v>33</v>
      </c>
      <c r="G581" t="s">
        <v>34</v>
      </c>
      <c r="H581" s="1">
        <v>205.78</v>
      </c>
      <c r="I581" t="s">
        <v>24</v>
      </c>
      <c r="J581">
        <v>2</v>
      </c>
      <c r="K581">
        <v>4</v>
      </c>
    </row>
    <row r="582" spans="1:11" x14ac:dyDescent="0.35">
      <c r="A582" t="s">
        <v>619</v>
      </c>
      <c r="B582">
        <v>24</v>
      </c>
      <c r="C582" t="s">
        <v>12</v>
      </c>
      <c r="D582" t="s">
        <v>21</v>
      </c>
      <c r="E582">
        <v>25</v>
      </c>
      <c r="F582" t="s">
        <v>14</v>
      </c>
      <c r="G582" t="s">
        <v>15</v>
      </c>
      <c r="H582" s="1">
        <v>0</v>
      </c>
      <c r="I582" t="s">
        <v>16</v>
      </c>
      <c r="J582">
        <v>1</v>
      </c>
      <c r="K582">
        <v>2</v>
      </c>
    </row>
    <row r="583" spans="1:11" x14ac:dyDescent="0.35">
      <c r="A583" t="s">
        <v>620</v>
      </c>
      <c r="B583">
        <v>54</v>
      </c>
      <c r="C583" t="s">
        <v>12</v>
      </c>
      <c r="D583" t="s">
        <v>30</v>
      </c>
      <c r="E583">
        <v>4</v>
      </c>
      <c r="F583" t="s">
        <v>22</v>
      </c>
      <c r="G583" t="s">
        <v>27</v>
      </c>
      <c r="H583" s="1">
        <v>15.42</v>
      </c>
      <c r="I583" t="s">
        <v>24</v>
      </c>
      <c r="J583">
        <v>0</v>
      </c>
      <c r="K583">
        <v>9</v>
      </c>
    </row>
    <row r="584" spans="1:11" x14ac:dyDescent="0.35">
      <c r="A584" t="s">
        <v>621</v>
      </c>
      <c r="B584">
        <v>55</v>
      </c>
      <c r="C584" t="s">
        <v>12</v>
      </c>
      <c r="D584" t="s">
        <v>30</v>
      </c>
      <c r="E584">
        <v>4</v>
      </c>
      <c r="F584" t="s">
        <v>33</v>
      </c>
      <c r="G584" t="s">
        <v>37</v>
      </c>
      <c r="H584" s="1">
        <v>196.38</v>
      </c>
      <c r="I584" t="s">
        <v>24</v>
      </c>
      <c r="J584">
        <v>0</v>
      </c>
      <c r="K584">
        <v>8</v>
      </c>
    </row>
    <row r="585" spans="1:11" x14ac:dyDescent="0.35">
      <c r="A585" t="s">
        <v>622</v>
      </c>
      <c r="B585">
        <v>45</v>
      </c>
      <c r="C585" t="s">
        <v>18</v>
      </c>
      <c r="D585" t="s">
        <v>13</v>
      </c>
      <c r="E585">
        <v>13</v>
      </c>
      <c r="F585" t="s">
        <v>22</v>
      </c>
      <c r="G585" t="s">
        <v>34</v>
      </c>
      <c r="H585" s="1">
        <v>112.22</v>
      </c>
      <c r="I585" t="s">
        <v>24</v>
      </c>
      <c r="J585">
        <v>3</v>
      </c>
      <c r="K585">
        <v>4</v>
      </c>
    </row>
    <row r="586" spans="1:11" x14ac:dyDescent="0.35">
      <c r="A586" t="s">
        <v>623</v>
      </c>
      <c r="B586">
        <v>38</v>
      </c>
      <c r="C586" t="s">
        <v>18</v>
      </c>
      <c r="D586" t="s">
        <v>30</v>
      </c>
      <c r="E586">
        <v>2</v>
      </c>
      <c r="F586" t="s">
        <v>26</v>
      </c>
      <c r="G586" t="s">
        <v>27</v>
      </c>
      <c r="H586" s="1">
        <v>64.73</v>
      </c>
      <c r="I586" t="s">
        <v>24</v>
      </c>
      <c r="J586">
        <v>2</v>
      </c>
      <c r="K586">
        <v>7</v>
      </c>
    </row>
    <row r="587" spans="1:11" x14ac:dyDescent="0.35">
      <c r="A587" t="s">
        <v>624</v>
      </c>
      <c r="B587">
        <v>28</v>
      </c>
      <c r="C587" t="s">
        <v>12</v>
      </c>
      <c r="D587" t="s">
        <v>21</v>
      </c>
      <c r="E587">
        <v>32</v>
      </c>
      <c r="F587" t="s">
        <v>33</v>
      </c>
      <c r="G587" t="s">
        <v>23</v>
      </c>
      <c r="H587" s="1">
        <v>419.13</v>
      </c>
      <c r="I587" t="s">
        <v>43</v>
      </c>
      <c r="J587">
        <v>2</v>
      </c>
      <c r="K587">
        <v>2</v>
      </c>
    </row>
    <row r="588" spans="1:11" x14ac:dyDescent="0.35">
      <c r="A588" t="s">
        <v>625</v>
      </c>
      <c r="B588">
        <v>48</v>
      </c>
      <c r="C588" t="s">
        <v>18</v>
      </c>
      <c r="D588" t="s">
        <v>244</v>
      </c>
      <c r="E588">
        <v>13</v>
      </c>
      <c r="F588" t="s">
        <v>33</v>
      </c>
      <c r="G588" t="s">
        <v>23</v>
      </c>
      <c r="H588" s="1">
        <v>69.56</v>
      </c>
      <c r="I588" t="s">
        <v>24</v>
      </c>
      <c r="J588">
        <v>3</v>
      </c>
      <c r="K588">
        <v>4</v>
      </c>
    </row>
    <row r="589" spans="1:11" x14ac:dyDescent="0.35">
      <c r="A589" t="s">
        <v>626</v>
      </c>
      <c r="B589">
        <v>34</v>
      </c>
      <c r="C589" t="s">
        <v>18</v>
      </c>
      <c r="D589" t="s">
        <v>21</v>
      </c>
      <c r="E589">
        <v>44</v>
      </c>
      <c r="F589" t="s">
        <v>22</v>
      </c>
      <c r="G589" t="s">
        <v>15</v>
      </c>
      <c r="H589" s="1">
        <v>314.81</v>
      </c>
      <c r="I589" t="s">
        <v>24</v>
      </c>
      <c r="J589">
        <v>1</v>
      </c>
      <c r="K589">
        <v>1</v>
      </c>
    </row>
    <row r="590" spans="1:11" x14ac:dyDescent="0.35">
      <c r="A590" t="s">
        <v>627</v>
      </c>
      <c r="B590">
        <v>82</v>
      </c>
      <c r="C590" t="s">
        <v>18</v>
      </c>
      <c r="D590" t="s">
        <v>19</v>
      </c>
      <c r="E590">
        <v>10</v>
      </c>
      <c r="F590" t="s">
        <v>31</v>
      </c>
      <c r="G590" t="s">
        <v>15</v>
      </c>
      <c r="H590" s="1">
        <v>288.01</v>
      </c>
      <c r="I590" t="s">
        <v>24</v>
      </c>
      <c r="J590">
        <v>3</v>
      </c>
      <c r="K590">
        <v>5</v>
      </c>
    </row>
    <row r="591" spans="1:11" x14ac:dyDescent="0.35">
      <c r="A591" t="s">
        <v>628</v>
      </c>
      <c r="B591">
        <v>37</v>
      </c>
      <c r="C591" t="s">
        <v>18</v>
      </c>
      <c r="D591" t="s">
        <v>21</v>
      </c>
      <c r="E591">
        <v>43</v>
      </c>
      <c r="F591" t="s">
        <v>22</v>
      </c>
      <c r="G591" t="s">
        <v>34</v>
      </c>
      <c r="H591" s="1">
        <v>142.71</v>
      </c>
      <c r="I591" t="s">
        <v>24</v>
      </c>
      <c r="J591">
        <v>3</v>
      </c>
      <c r="K591">
        <v>5</v>
      </c>
    </row>
    <row r="592" spans="1:11" x14ac:dyDescent="0.35">
      <c r="A592" t="s">
        <v>629</v>
      </c>
      <c r="B592">
        <v>32</v>
      </c>
      <c r="C592" t="s">
        <v>12</v>
      </c>
      <c r="D592" t="s">
        <v>47</v>
      </c>
      <c r="E592">
        <v>10</v>
      </c>
      <c r="F592" t="s">
        <v>26</v>
      </c>
      <c r="G592" t="s">
        <v>34</v>
      </c>
      <c r="H592" s="1">
        <v>118.43</v>
      </c>
      <c r="I592" t="s">
        <v>24</v>
      </c>
      <c r="J592">
        <v>3</v>
      </c>
      <c r="K592">
        <v>6</v>
      </c>
    </row>
    <row r="593" spans="1:11" x14ac:dyDescent="0.35">
      <c r="A593" t="s">
        <v>630</v>
      </c>
      <c r="B593">
        <v>60</v>
      </c>
      <c r="C593" t="s">
        <v>18</v>
      </c>
      <c r="D593" t="s">
        <v>13</v>
      </c>
      <c r="E593">
        <v>6</v>
      </c>
      <c r="F593" t="s">
        <v>33</v>
      </c>
      <c r="G593" t="s">
        <v>27</v>
      </c>
      <c r="H593" s="1">
        <v>142.19</v>
      </c>
      <c r="I593" t="s">
        <v>24</v>
      </c>
      <c r="J593">
        <v>0</v>
      </c>
      <c r="K593">
        <v>8</v>
      </c>
    </row>
    <row r="594" spans="1:11" x14ac:dyDescent="0.35">
      <c r="A594" t="s">
        <v>631</v>
      </c>
      <c r="B594">
        <v>44</v>
      </c>
      <c r="C594" t="s">
        <v>18</v>
      </c>
      <c r="D594" t="s">
        <v>30</v>
      </c>
      <c r="E594">
        <v>14</v>
      </c>
      <c r="F594" t="s">
        <v>22</v>
      </c>
      <c r="G594" t="s">
        <v>23</v>
      </c>
      <c r="H594" s="1">
        <v>325.54000000000002</v>
      </c>
      <c r="I594" t="s">
        <v>24</v>
      </c>
      <c r="J594">
        <v>3</v>
      </c>
      <c r="K594">
        <v>7</v>
      </c>
    </row>
    <row r="595" spans="1:11" x14ac:dyDescent="0.35">
      <c r="A595" t="s">
        <v>632</v>
      </c>
      <c r="B595">
        <v>58</v>
      </c>
      <c r="C595" t="s">
        <v>18</v>
      </c>
      <c r="D595" t="s">
        <v>19</v>
      </c>
      <c r="E595">
        <v>17</v>
      </c>
      <c r="F595" t="s">
        <v>26</v>
      </c>
      <c r="G595" t="s">
        <v>37</v>
      </c>
      <c r="H595" s="1">
        <v>136.77000000000001</v>
      </c>
      <c r="I595" t="s">
        <v>24</v>
      </c>
      <c r="J595">
        <v>1</v>
      </c>
      <c r="K595">
        <v>4</v>
      </c>
    </row>
    <row r="596" spans="1:11" x14ac:dyDescent="0.35">
      <c r="A596" t="s">
        <v>633</v>
      </c>
      <c r="B596">
        <v>41</v>
      </c>
      <c r="C596" t="s">
        <v>18</v>
      </c>
      <c r="D596" t="s">
        <v>13</v>
      </c>
      <c r="E596">
        <v>15</v>
      </c>
      <c r="F596" t="s">
        <v>31</v>
      </c>
      <c r="G596" t="s">
        <v>23</v>
      </c>
      <c r="H596" s="1">
        <v>317.98</v>
      </c>
      <c r="I596" t="s">
        <v>24</v>
      </c>
      <c r="J596">
        <v>0</v>
      </c>
      <c r="K596">
        <v>5</v>
      </c>
    </row>
    <row r="597" spans="1:11" x14ac:dyDescent="0.35">
      <c r="A597" t="s">
        <v>634</v>
      </c>
      <c r="B597">
        <v>45</v>
      </c>
      <c r="C597" t="s">
        <v>18</v>
      </c>
      <c r="D597" t="s">
        <v>21</v>
      </c>
      <c r="E597">
        <v>26</v>
      </c>
      <c r="F597" t="s">
        <v>33</v>
      </c>
      <c r="G597" t="s">
        <v>23</v>
      </c>
      <c r="H597" s="1">
        <v>460.9</v>
      </c>
      <c r="I597" t="s">
        <v>24</v>
      </c>
      <c r="J597">
        <v>3</v>
      </c>
      <c r="K597">
        <v>4</v>
      </c>
    </row>
    <row r="598" spans="1:11" x14ac:dyDescent="0.35">
      <c r="A598" t="s">
        <v>635</v>
      </c>
      <c r="B598">
        <v>40</v>
      </c>
      <c r="C598" t="s">
        <v>12</v>
      </c>
      <c r="D598" t="s">
        <v>19</v>
      </c>
      <c r="E598">
        <v>17</v>
      </c>
      <c r="F598" t="s">
        <v>31</v>
      </c>
      <c r="G598" t="s">
        <v>23</v>
      </c>
      <c r="H598" s="1">
        <v>563.26</v>
      </c>
      <c r="I598" t="s">
        <v>28</v>
      </c>
      <c r="J598">
        <v>1</v>
      </c>
      <c r="K598">
        <v>4</v>
      </c>
    </row>
    <row r="599" spans="1:11" x14ac:dyDescent="0.35">
      <c r="A599" t="s">
        <v>636</v>
      </c>
      <c r="B599">
        <v>85</v>
      </c>
      <c r="C599" t="s">
        <v>18</v>
      </c>
      <c r="D599" t="s">
        <v>19</v>
      </c>
      <c r="E599">
        <v>6</v>
      </c>
      <c r="F599" t="s">
        <v>33</v>
      </c>
      <c r="G599" t="s">
        <v>27</v>
      </c>
      <c r="H599" s="1">
        <v>93.5</v>
      </c>
      <c r="I599" t="s">
        <v>24</v>
      </c>
      <c r="J599">
        <v>0</v>
      </c>
      <c r="K599">
        <v>7</v>
      </c>
    </row>
    <row r="600" spans="1:11" x14ac:dyDescent="0.35">
      <c r="A600" t="s">
        <v>637</v>
      </c>
      <c r="B600">
        <v>19</v>
      </c>
      <c r="C600" t="s">
        <v>18</v>
      </c>
      <c r="D600" t="s">
        <v>13</v>
      </c>
      <c r="E600">
        <v>7</v>
      </c>
      <c r="F600" t="s">
        <v>22</v>
      </c>
      <c r="G600" t="s">
        <v>37</v>
      </c>
      <c r="H600" s="1">
        <v>203.56</v>
      </c>
      <c r="I600" t="s">
        <v>24</v>
      </c>
      <c r="J600">
        <v>0</v>
      </c>
      <c r="K600">
        <v>7</v>
      </c>
    </row>
    <row r="601" spans="1:11" x14ac:dyDescent="0.35">
      <c r="A601" t="s">
        <v>638</v>
      </c>
      <c r="B601">
        <v>41</v>
      </c>
      <c r="C601" t="s">
        <v>18</v>
      </c>
      <c r="D601" t="s">
        <v>21</v>
      </c>
      <c r="E601">
        <v>21</v>
      </c>
      <c r="F601" t="s">
        <v>14</v>
      </c>
      <c r="G601" t="s">
        <v>27</v>
      </c>
      <c r="H601" s="1">
        <v>0</v>
      </c>
      <c r="I601" t="s">
        <v>16</v>
      </c>
      <c r="J601">
        <v>1</v>
      </c>
      <c r="K601">
        <v>4</v>
      </c>
    </row>
    <row r="602" spans="1:11" x14ac:dyDescent="0.35">
      <c r="A602" t="s">
        <v>639</v>
      </c>
      <c r="B602">
        <v>18</v>
      </c>
      <c r="C602" t="s">
        <v>12</v>
      </c>
      <c r="D602" t="s">
        <v>13</v>
      </c>
      <c r="E602">
        <v>19</v>
      </c>
      <c r="F602" t="s">
        <v>33</v>
      </c>
      <c r="G602" t="s">
        <v>27</v>
      </c>
      <c r="H602" s="1">
        <v>70.900000000000006</v>
      </c>
      <c r="I602" t="s">
        <v>24</v>
      </c>
      <c r="J602">
        <v>2</v>
      </c>
      <c r="K602">
        <v>2</v>
      </c>
    </row>
    <row r="603" spans="1:11" x14ac:dyDescent="0.35">
      <c r="A603" t="s">
        <v>640</v>
      </c>
      <c r="B603">
        <v>22</v>
      </c>
      <c r="C603" t="s">
        <v>12</v>
      </c>
      <c r="D603" t="s">
        <v>57</v>
      </c>
      <c r="E603">
        <v>15</v>
      </c>
      <c r="F603" t="s">
        <v>31</v>
      </c>
      <c r="G603" t="s">
        <v>37</v>
      </c>
      <c r="H603" s="1">
        <v>178.84</v>
      </c>
      <c r="I603" t="s">
        <v>28</v>
      </c>
      <c r="J603">
        <v>1</v>
      </c>
      <c r="K603">
        <v>5</v>
      </c>
    </row>
    <row r="604" spans="1:11" x14ac:dyDescent="0.35">
      <c r="A604" t="s">
        <v>641</v>
      </c>
      <c r="B604">
        <v>73</v>
      </c>
      <c r="C604" t="s">
        <v>18</v>
      </c>
      <c r="D604" t="s">
        <v>21</v>
      </c>
      <c r="E604">
        <v>12</v>
      </c>
      <c r="F604" t="s">
        <v>22</v>
      </c>
      <c r="G604" t="s">
        <v>34</v>
      </c>
      <c r="H604" s="1">
        <v>200.56</v>
      </c>
      <c r="I604" t="s">
        <v>24</v>
      </c>
      <c r="J604">
        <v>3</v>
      </c>
      <c r="K604">
        <v>7</v>
      </c>
    </row>
    <row r="605" spans="1:11" x14ac:dyDescent="0.35">
      <c r="A605" t="s">
        <v>642</v>
      </c>
      <c r="B605">
        <v>23</v>
      </c>
      <c r="C605" t="s">
        <v>12</v>
      </c>
      <c r="D605" t="s">
        <v>13</v>
      </c>
      <c r="E605">
        <v>15</v>
      </c>
      <c r="F605" t="s">
        <v>22</v>
      </c>
      <c r="G605" t="s">
        <v>15</v>
      </c>
      <c r="H605" s="1">
        <v>155.78</v>
      </c>
      <c r="I605" t="s">
        <v>24</v>
      </c>
      <c r="J605">
        <v>1</v>
      </c>
      <c r="K605">
        <v>6</v>
      </c>
    </row>
    <row r="606" spans="1:11" x14ac:dyDescent="0.35">
      <c r="A606" t="s">
        <v>643</v>
      </c>
      <c r="B606">
        <v>35</v>
      </c>
      <c r="C606" t="s">
        <v>18</v>
      </c>
      <c r="D606" t="s">
        <v>19</v>
      </c>
      <c r="E606">
        <v>12</v>
      </c>
      <c r="F606" t="s">
        <v>33</v>
      </c>
      <c r="G606" t="s">
        <v>34</v>
      </c>
      <c r="H606" s="1">
        <v>191.66</v>
      </c>
      <c r="I606" t="s">
        <v>28</v>
      </c>
      <c r="J606">
        <v>0</v>
      </c>
      <c r="K606">
        <v>4</v>
      </c>
    </row>
    <row r="607" spans="1:11" x14ac:dyDescent="0.35">
      <c r="A607" t="s">
        <v>644</v>
      </c>
      <c r="B607">
        <v>19</v>
      </c>
      <c r="C607" t="s">
        <v>12</v>
      </c>
      <c r="D607" t="s">
        <v>19</v>
      </c>
      <c r="E607">
        <v>23</v>
      </c>
      <c r="F607" t="s">
        <v>22</v>
      </c>
      <c r="G607" t="s">
        <v>23</v>
      </c>
      <c r="H607" s="1">
        <v>84.75</v>
      </c>
      <c r="I607" t="s">
        <v>24</v>
      </c>
      <c r="J607">
        <v>2</v>
      </c>
      <c r="K607">
        <v>2</v>
      </c>
    </row>
    <row r="608" spans="1:11" x14ac:dyDescent="0.35">
      <c r="A608" t="s">
        <v>645</v>
      </c>
      <c r="B608">
        <v>65</v>
      </c>
      <c r="C608" t="s">
        <v>12</v>
      </c>
      <c r="D608" t="s">
        <v>13</v>
      </c>
      <c r="E608">
        <v>13</v>
      </c>
      <c r="F608" t="s">
        <v>31</v>
      </c>
      <c r="G608" t="s">
        <v>37</v>
      </c>
      <c r="H608" s="1">
        <v>136.13999999999999</v>
      </c>
      <c r="I608" t="s">
        <v>24</v>
      </c>
      <c r="J608">
        <v>2</v>
      </c>
      <c r="K608">
        <v>5</v>
      </c>
    </row>
    <row r="609" spans="1:11" x14ac:dyDescent="0.35">
      <c r="A609" t="s">
        <v>646</v>
      </c>
      <c r="B609">
        <v>69</v>
      </c>
      <c r="C609" t="s">
        <v>12</v>
      </c>
      <c r="D609" t="s">
        <v>120</v>
      </c>
      <c r="E609">
        <v>40</v>
      </c>
      <c r="F609" t="s">
        <v>31</v>
      </c>
      <c r="G609" t="s">
        <v>34</v>
      </c>
      <c r="H609" s="1">
        <v>173.62</v>
      </c>
      <c r="I609" t="s">
        <v>28</v>
      </c>
      <c r="J609">
        <v>1</v>
      </c>
      <c r="K609">
        <v>4</v>
      </c>
    </row>
    <row r="610" spans="1:11" x14ac:dyDescent="0.35">
      <c r="A610" t="s">
        <v>647</v>
      </c>
      <c r="B610">
        <v>64</v>
      </c>
      <c r="C610" t="s">
        <v>18</v>
      </c>
      <c r="D610" t="s">
        <v>30</v>
      </c>
      <c r="E610">
        <v>3</v>
      </c>
      <c r="F610" t="s">
        <v>22</v>
      </c>
      <c r="G610" t="s">
        <v>27</v>
      </c>
      <c r="H610" s="1">
        <v>90.28</v>
      </c>
      <c r="I610" t="s">
        <v>24</v>
      </c>
      <c r="J610">
        <v>0</v>
      </c>
      <c r="K610">
        <v>7</v>
      </c>
    </row>
    <row r="611" spans="1:11" x14ac:dyDescent="0.35">
      <c r="A611" t="s">
        <v>648</v>
      </c>
      <c r="B611">
        <v>62</v>
      </c>
      <c r="C611" t="s">
        <v>18</v>
      </c>
      <c r="D611" t="s">
        <v>21</v>
      </c>
      <c r="E611">
        <v>38</v>
      </c>
      <c r="F611" t="s">
        <v>31</v>
      </c>
      <c r="G611" t="s">
        <v>15</v>
      </c>
      <c r="H611" s="1">
        <v>358.57</v>
      </c>
      <c r="I611" t="s">
        <v>24</v>
      </c>
      <c r="J611">
        <v>3</v>
      </c>
      <c r="K611">
        <v>1</v>
      </c>
    </row>
    <row r="612" spans="1:11" x14ac:dyDescent="0.35">
      <c r="A612" t="s">
        <v>649</v>
      </c>
      <c r="B612">
        <v>45</v>
      </c>
      <c r="C612" t="s">
        <v>12</v>
      </c>
      <c r="D612" t="s">
        <v>30</v>
      </c>
      <c r="E612">
        <v>5</v>
      </c>
      <c r="F612" t="s">
        <v>31</v>
      </c>
      <c r="G612" t="s">
        <v>27</v>
      </c>
      <c r="H612" s="1">
        <v>173.42</v>
      </c>
      <c r="I612" t="s">
        <v>24</v>
      </c>
      <c r="J612">
        <v>1</v>
      </c>
      <c r="K612">
        <v>7</v>
      </c>
    </row>
    <row r="613" spans="1:11" x14ac:dyDescent="0.35">
      <c r="A613" t="s">
        <v>650</v>
      </c>
      <c r="B613">
        <v>66</v>
      </c>
      <c r="C613" t="s">
        <v>12</v>
      </c>
      <c r="D613" t="s">
        <v>19</v>
      </c>
      <c r="E613">
        <v>18</v>
      </c>
      <c r="F613" t="s">
        <v>31</v>
      </c>
      <c r="G613" t="s">
        <v>23</v>
      </c>
      <c r="H613" s="1">
        <v>450.23</v>
      </c>
      <c r="I613" t="s">
        <v>43</v>
      </c>
      <c r="J613">
        <v>2</v>
      </c>
      <c r="K613">
        <v>7</v>
      </c>
    </row>
    <row r="614" spans="1:11" x14ac:dyDescent="0.35">
      <c r="A614" t="s">
        <v>651</v>
      </c>
      <c r="B614">
        <v>58</v>
      </c>
      <c r="C614" t="s">
        <v>18</v>
      </c>
      <c r="D614" t="s">
        <v>13</v>
      </c>
      <c r="E614">
        <v>7</v>
      </c>
      <c r="F614" t="s">
        <v>14</v>
      </c>
      <c r="G614" t="s">
        <v>27</v>
      </c>
      <c r="H614" s="1">
        <v>0</v>
      </c>
      <c r="I614" t="s">
        <v>16</v>
      </c>
      <c r="J614">
        <v>2</v>
      </c>
      <c r="K614">
        <v>7</v>
      </c>
    </row>
    <row r="615" spans="1:11" x14ac:dyDescent="0.35">
      <c r="A615" t="s">
        <v>652</v>
      </c>
      <c r="B615">
        <v>53</v>
      </c>
      <c r="C615" t="s">
        <v>12</v>
      </c>
      <c r="D615" t="s">
        <v>19</v>
      </c>
      <c r="E615">
        <v>20</v>
      </c>
      <c r="F615" t="s">
        <v>33</v>
      </c>
      <c r="G615" t="s">
        <v>34</v>
      </c>
      <c r="H615" s="1">
        <v>107.7</v>
      </c>
      <c r="I615" t="s">
        <v>24</v>
      </c>
      <c r="J615">
        <v>3</v>
      </c>
      <c r="K615">
        <v>3</v>
      </c>
    </row>
    <row r="616" spans="1:11" x14ac:dyDescent="0.35">
      <c r="A616" t="s">
        <v>653</v>
      </c>
      <c r="B616">
        <v>48</v>
      </c>
      <c r="C616" t="s">
        <v>12</v>
      </c>
      <c r="D616" t="s">
        <v>19</v>
      </c>
      <c r="E616">
        <v>17</v>
      </c>
      <c r="F616" t="s">
        <v>22</v>
      </c>
      <c r="G616" t="s">
        <v>34</v>
      </c>
      <c r="H616" s="1">
        <v>116.05</v>
      </c>
      <c r="I616" t="s">
        <v>24</v>
      </c>
      <c r="J616">
        <v>1</v>
      </c>
      <c r="K616">
        <v>4</v>
      </c>
    </row>
    <row r="617" spans="1:11" x14ac:dyDescent="0.35">
      <c r="A617" t="s">
        <v>654</v>
      </c>
      <c r="B617">
        <v>58</v>
      </c>
      <c r="C617" t="s">
        <v>18</v>
      </c>
      <c r="D617" t="s">
        <v>19</v>
      </c>
      <c r="E617">
        <v>14</v>
      </c>
      <c r="F617" t="s">
        <v>31</v>
      </c>
      <c r="G617" t="s">
        <v>27</v>
      </c>
      <c r="H617" s="1">
        <v>57.15</v>
      </c>
      <c r="I617" t="s">
        <v>24</v>
      </c>
      <c r="J617">
        <v>0</v>
      </c>
      <c r="K617">
        <v>6</v>
      </c>
    </row>
    <row r="618" spans="1:11" x14ac:dyDescent="0.35">
      <c r="A618" t="s">
        <v>655</v>
      </c>
      <c r="B618">
        <v>39</v>
      </c>
      <c r="C618" t="s">
        <v>12</v>
      </c>
      <c r="D618" t="s">
        <v>19</v>
      </c>
      <c r="E618">
        <v>10</v>
      </c>
      <c r="F618" t="s">
        <v>31</v>
      </c>
      <c r="G618" t="s">
        <v>34</v>
      </c>
      <c r="H618" s="1">
        <v>145.91</v>
      </c>
      <c r="I618" t="s">
        <v>28</v>
      </c>
      <c r="J618">
        <v>1</v>
      </c>
      <c r="K618">
        <v>4</v>
      </c>
    </row>
    <row r="619" spans="1:11" x14ac:dyDescent="0.35">
      <c r="A619" t="s">
        <v>656</v>
      </c>
      <c r="B619">
        <v>56</v>
      </c>
      <c r="C619" t="s">
        <v>18</v>
      </c>
      <c r="D619" t="s">
        <v>19</v>
      </c>
      <c r="E619">
        <v>15</v>
      </c>
      <c r="F619" t="s">
        <v>26</v>
      </c>
      <c r="G619" t="s">
        <v>34</v>
      </c>
      <c r="H619" s="1">
        <v>129.63999999999999</v>
      </c>
      <c r="I619" t="s">
        <v>43</v>
      </c>
      <c r="J619">
        <v>3</v>
      </c>
      <c r="K619">
        <v>4</v>
      </c>
    </row>
    <row r="620" spans="1:11" x14ac:dyDescent="0.35">
      <c r="A620" t="s">
        <v>657</v>
      </c>
      <c r="B620">
        <v>46</v>
      </c>
      <c r="C620" t="s">
        <v>12</v>
      </c>
      <c r="D620" t="s">
        <v>19</v>
      </c>
      <c r="E620">
        <v>13</v>
      </c>
      <c r="F620" t="s">
        <v>33</v>
      </c>
      <c r="G620" t="s">
        <v>37</v>
      </c>
      <c r="H620" s="1">
        <v>93.2</v>
      </c>
      <c r="I620" t="s">
        <v>24</v>
      </c>
      <c r="J620">
        <v>3</v>
      </c>
      <c r="K620">
        <v>7</v>
      </c>
    </row>
    <row r="621" spans="1:11" x14ac:dyDescent="0.35">
      <c r="A621" t="s">
        <v>658</v>
      </c>
      <c r="B621">
        <v>21</v>
      </c>
      <c r="C621" t="s">
        <v>12</v>
      </c>
      <c r="D621" t="s">
        <v>19</v>
      </c>
      <c r="E621">
        <v>23</v>
      </c>
      <c r="F621" t="s">
        <v>14</v>
      </c>
      <c r="G621" t="s">
        <v>15</v>
      </c>
      <c r="H621" s="1">
        <v>0</v>
      </c>
      <c r="I621" t="s">
        <v>16</v>
      </c>
      <c r="J621">
        <v>3</v>
      </c>
      <c r="K621">
        <v>4</v>
      </c>
    </row>
    <row r="622" spans="1:11" x14ac:dyDescent="0.35">
      <c r="A622" t="s">
        <v>659</v>
      </c>
      <c r="B622">
        <v>26</v>
      </c>
      <c r="C622" t="s">
        <v>18</v>
      </c>
      <c r="D622" t="s">
        <v>19</v>
      </c>
      <c r="E622">
        <v>12</v>
      </c>
      <c r="F622" t="s">
        <v>22</v>
      </c>
      <c r="G622" t="s">
        <v>37</v>
      </c>
      <c r="H622" s="1">
        <v>125.93</v>
      </c>
      <c r="I622" t="s">
        <v>28</v>
      </c>
      <c r="J622">
        <v>2</v>
      </c>
      <c r="K622">
        <v>8</v>
      </c>
    </row>
    <row r="623" spans="1:11" x14ac:dyDescent="0.35">
      <c r="A623" t="s">
        <v>660</v>
      </c>
      <c r="B623">
        <v>37</v>
      </c>
      <c r="C623" t="s">
        <v>18</v>
      </c>
      <c r="D623" t="s">
        <v>19</v>
      </c>
      <c r="E623">
        <v>14</v>
      </c>
      <c r="F623" t="s">
        <v>22</v>
      </c>
      <c r="G623" t="s">
        <v>15</v>
      </c>
      <c r="H623" s="1">
        <v>102.5</v>
      </c>
      <c r="I623" t="s">
        <v>28</v>
      </c>
      <c r="J623">
        <v>1</v>
      </c>
      <c r="K623">
        <v>7</v>
      </c>
    </row>
    <row r="624" spans="1:11" x14ac:dyDescent="0.35">
      <c r="A624" t="s">
        <v>661</v>
      </c>
      <c r="B624">
        <v>21</v>
      </c>
      <c r="C624" t="s">
        <v>12</v>
      </c>
      <c r="D624" t="s">
        <v>47</v>
      </c>
      <c r="E624">
        <v>6</v>
      </c>
      <c r="F624" t="s">
        <v>33</v>
      </c>
      <c r="G624" t="s">
        <v>27</v>
      </c>
      <c r="H624" s="1">
        <v>128.32</v>
      </c>
      <c r="I624" t="s">
        <v>28</v>
      </c>
      <c r="J624">
        <v>0</v>
      </c>
      <c r="K624">
        <v>10</v>
      </c>
    </row>
    <row r="625" spans="1:11" x14ac:dyDescent="0.35">
      <c r="A625" t="s">
        <v>662</v>
      </c>
      <c r="B625">
        <v>58</v>
      </c>
      <c r="C625" t="s">
        <v>12</v>
      </c>
      <c r="D625" t="s">
        <v>19</v>
      </c>
      <c r="E625">
        <v>17</v>
      </c>
      <c r="F625" t="s">
        <v>31</v>
      </c>
      <c r="G625" t="s">
        <v>37</v>
      </c>
      <c r="H625" s="1">
        <v>135.81</v>
      </c>
      <c r="I625" t="s">
        <v>24</v>
      </c>
      <c r="J625">
        <v>2</v>
      </c>
      <c r="K625">
        <v>7</v>
      </c>
    </row>
    <row r="626" spans="1:11" x14ac:dyDescent="0.35">
      <c r="A626" t="s">
        <v>663</v>
      </c>
      <c r="B626">
        <v>82</v>
      </c>
      <c r="C626" t="s">
        <v>18</v>
      </c>
      <c r="D626" t="s">
        <v>21</v>
      </c>
      <c r="E626">
        <v>40</v>
      </c>
      <c r="F626" t="s">
        <v>22</v>
      </c>
      <c r="G626" t="s">
        <v>34</v>
      </c>
      <c r="H626" s="1">
        <v>179.33</v>
      </c>
      <c r="I626" t="s">
        <v>24</v>
      </c>
      <c r="J626">
        <v>2</v>
      </c>
      <c r="K626">
        <v>5</v>
      </c>
    </row>
    <row r="627" spans="1:11" x14ac:dyDescent="0.35">
      <c r="A627" t="s">
        <v>664</v>
      </c>
      <c r="B627">
        <v>59</v>
      </c>
      <c r="C627" t="s">
        <v>18</v>
      </c>
      <c r="D627" t="s">
        <v>21</v>
      </c>
      <c r="E627">
        <v>47</v>
      </c>
      <c r="F627" t="s">
        <v>26</v>
      </c>
      <c r="G627" t="s">
        <v>34</v>
      </c>
      <c r="H627" s="1">
        <v>109.87</v>
      </c>
      <c r="I627" t="s">
        <v>24</v>
      </c>
      <c r="J627">
        <v>1</v>
      </c>
      <c r="K627">
        <v>3</v>
      </c>
    </row>
    <row r="628" spans="1:11" x14ac:dyDescent="0.35">
      <c r="A628" t="s">
        <v>665</v>
      </c>
      <c r="B628">
        <v>63</v>
      </c>
      <c r="C628" t="s">
        <v>12</v>
      </c>
      <c r="D628" t="s">
        <v>19</v>
      </c>
      <c r="E628">
        <v>13</v>
      </c>
      <c r="F628" t="s">
        <v>22</v>
      </c>
      <c r="G628" t="s">
        <v>15</v>
      </c>
      <c r="H628" s="1">
        <v>84.35</v>
      </c>
      <c r="I628" t="s">
        <v>28</v>
      </c>
      <c r="J628">
        <v>0</v>
      </c>
      <c r="K628">
        <v>5</v>
      </c>
    </row>
    <row r="629" spans="1:11" x14ac:dyDescent="0.35">
      <c r="A629" t="s">
        <v>666</v>
      </c>
      <c r="B629">
        <v>64</v>
      </c>
      <c r="C629" t="s">
        <v>12</v>
      </c>
      <c r="D629" t="s">
        <v>19</v>
      </c>
      <c r="E629">
        <v>20</v>
      </c>
      <c r="F629" t="s">
        <v>22</v>
      </c>
      <c r="G629" t="s">
        <v>27</v>
      </c>
      <c r="H629" s="1">
        <v>142.62</v>
      </c>
      <c r="I629" t="s">
        <v>24</v>
      </c>
      <c r="J629">
        <v>2</v>
      </c>
      <c r="K629">
        <v>3</v>
      </c>
    </row>
    <row r="630" spans="1:11" x14ac:dyDescent="0.35">
      <c r="A630" t="s">
        <v>667</v>
      </c>
      <c r="B630">
        <v>44</v>
      </c>
      <c r="C630" t="s">
        <v>18</v>
      </c>
      <c r="D630" t="s">
        <v>19</v>
      </c>
      <c r="E630">
        <v>20</v>
      </c>
      <c r="F630" t="s">
        <v>31</v>
      </c>
      <c r="G630" t="s">
        <v>27</v>
      </c>
      <c r="H630" s="1">
        <v>104.34</v>
      </c>
      <c r="I630" t="s">
        <v>24</v>
      </c>
      <c r="J630">
        <v>0</v>
      </c>
      <c r="K630">
        <v>4</v>
      </c>
    </row>
    <row r="631" spans="1:11" x14ac:dyDescent="0.35">
      <c r="A631" t="s">
        <v>668</v>
      </c>
      <c r="B631">
        <v>44</v>
      </c>
      <c r="C631" t="s">
        <v>12</v>
      </c>
      <c r="D631" t="s">
        <v>41</v>
      </c>
      <c r="E631">
        <v>6</v>
      </c>
      <c r="F631" t="s">
        <v>31</v>
      </c>
      <c r="G631" t="s">
        <v>27</v>
      </c>
      <c r="H631" s="1">
        <v>118.51</v>
      </c>
      <c r="I631" t="s">
        <v>24</v>
      </c>
      <c r="J631">
        <v>0</v>
      </c>
      <c r="K631">
        <v>8</v>
      </c>
    </row>
    <row r="632" spans="1:11" x14ac:dyDescent="0.35">
      <c r="A632" t="s">
        <v>669</v>
      </c>
      <c r="B632">
        <v>44</v>
      </c>
      <c r="C632" t="s">
        <v>18</v>
      </c>
      <c r="D632" t="s">
        <v>21</v>
      </c>
      <c r="E632">
        <v>18</v>
      </c>
      <c r="F632" t="s">
        <v>22</v>
      </c>
      <c r="G632" t="s">
        <v>23</v>
      </c>
      <c r="H632" s="1">
        <v>235.84</v>
      </c>
      <c r="I632" t="s">
        <v>24</v>
      </c>
      <c r="J632">
        <v>3</v>
      </c>
      <c r="K632">
        <v>4</v>
      </c>
    </row>
    <row r="633" spans="1:11" x14ac:dyDescent="0.35">
      <c r="A633" t="s">
        <v>670</v>
      </c>
      <c r="B633">
        <v>80</v>
      </c>
      <c r="C633" t="s">
        <v>18</v>
      </c>
      <c r="D633" t="s">
        <v>21</v>
      </c>
      <c r="E633">
        <v>23</v>
      </c>
      <c r="F633" t="s">
        <v>31</v>
      </c>
      <c r="G633" t="s">
        <v>34</v>
      </c>
      <c r="H633" s="1">
        <v>184.77</v>
      </c>
      <c r="I633" t="s">
        <v>24</v>
      </c>
      <c r="J633">
        <v>4</v>
      </c>
      <c r="K633">
        <v>1</v>
      </c>
    </row>
    <row r="634" spans="1:11" x14ac:dyDescent="0.35">
      <c r="A634" t="s">
        <v>671</v>
      </c>
      <c r="B634">
        <v>75</v>
      </c>
      <c r="C634" t="s">
        <v>12</v>
      </c>
      <c r="D634" t="s">
        <v>19</v>
      </c>
      <c r="E634">
        <v>8</v>
      </c>
      <c r="F634" t="s">
        <v>26</v>
      </c>
      <c r="G634" t="s">
        <v>37</v>
      </c>
      <c r="H634" s="1">
        <v>199.81</v>
      </c>
      <c r="I634" t="s">
        <v>24</v>
      </c>
      <c r="J634">
        <v>0</v>
      </c>
      <c r="K634">
        <v>10</v>
      </c>
    </row>
    <row r="635" spans="1:11" x14ac:dyDescent="0.35">
      <c r="A635" t="s">
        <v>672</v>
      </c>
      <c r="B635">
        <v>70</v>
      </c>
      <c r="C635" t="s">
        <v>12</v>
      </c>
      <c r="D635" t="s">
        <v>19</v>
      </c>
      <c r="E635">
        <v>19</v>
      </c>
      <c r="F635" t="s">
        <v>22</v>
      </c>
      <c r="G635" t="s">
        <v>15</v>
      </c>
      <c r="H635" s="1">
        <v>421.31</v>
      </c>
      <c r="I635" t="s">
        <v>24</v>
      </c>
      <c r="J635">
        <v>1</v>
      </c>
      <c r="K635">
        <v>3</v>
      </c>
    </row>
    <row r="636" spans="1:11" x14ac:dyDescent="0.35">
      <c r="A636" t="s">
        <v>673</v>
      </c>
      <c r="B636">
        <v>56</v>
      </c>
      <c r="C636" t="s">
        <v>18</v>
      </c>
      <c r="D636" t="s">
        <v>30</v>
      </c>
      <c r="E636">
        <v>2</v>
      </c>
      <c r="F636" t="s">
        <v>22</v>
      </c>
      <c r="G636" t="s">
        <v>15</v>
      </c>
      <c r="H636" s="1">
        <v>81.08</v>
      </c>
      <c r="I636" t="s">
        <v>24</v>
      </c>
      <c r="J636">
        <v>2</v>
      </c>
      <c r="K636">
        <v>9</v>
      </c>
    </row>
    <row r="637" spans="1:11" x14ac:dyDescent="0.35">
      <c r="A637" t="s">
        <v>674</v>
      </c>
      <c r="B637">
        <v>43</v>
      </c>
      <c r="C637" t="s">
        <v>12</v>
      </c>
      <c r="D637" t="s">
        <v>19</v>
      </c>
      <c r="E637">
        <v>10</v>
      </c>
      <c r="F637" t="s">
        <v>14</v>
      </c>
      <c r="G637" t="s">
        <v>15</v>
      </c>
      <c r="H637" s="1">
        <v>0</v>
      </c>
      <c r="I637" t="s">
        <v>16</v>
      </c>
      <c r="J637">
        <v>3</v>
      </c>
      <c r="K637">
        <v>8</v>
      </c>
    </row>
    <row r="638" spans="1:11" x14ac:dyDescent="0.35">
      <c r="A638" t="s">
        <v>675</v>
      </c>
      <c r="B638">
        <v>31</v>
      </c>
      <c r="C638" t="s">
        <v>12</v>
      </c>
      <c r="D638" t="s">
        <v>19</v>
      </c>
      <c r="E638">
        <v>11</v>
      </c>
      <c r="F638" t="s">
        <v>22</v>
      </c>
      <c r="G638" t="s">
        <v>23</v>
      </c>
      <c r="H638" s="1">
        <v>102.31</v>
      </c>
      <c r="I638" t="s">
        <v>24</v>
      </c>
      <c r="J638">
        <v>1</v>
      </c>
      <c r="K638">
        <v>5</v>
      </c>
    </row>
    <row r="639" spans="1:11" x14ac:dyDescent="0.35">
      <c r="A639" t="s">
        <v>676</v>
      </c>
      <c r="B639">
        <v>54</v>
      </c>
      <c r="C639" t="s">
        <v>18</v>
      </c>
      <c r="D639" t="s">
        <v>30</v>
      </c>
      <c r="E639">
        <v>2</v>
      </c>
      <c r="F639" t="s">
        <v>33</v>
      </c>
      <c r="G639" t="s">
        <v>23</v>
      </c>
      <c r="H639" s="1">
        <v>486.32</v>
      </c>
      <c r="I639" t="s">
        <v>24</v>
      </c>
      <c r="J639">
        <v>0</v>
      </c>
      <c r="K639">
        <v>7</v>
      </c>
    </row>
    <row r="640" spans="1:11" x14ac:dyDescent="0.35">
      <c r="A640" t="s">
        <v>677</v>
      </c>
      <c r="B640">
        <v>60</v>
      </c>
      <c r="C640" t="s">
        <v>189</v>
      </c>
      <c r="D640" t="s">
        <v>19</v>
      </c>
      <c r="E640">
        <v>7</v>
      </c>
      <c r="F640" t="s">
        <v>14</v>
      </c>
      <c r="G640" t="s">
        <v>37</v>
      </c>
      <c r="H640" s="1">
        <v>0</v>
      </c>
      <c r="I640" t="s">
        <v>16</v>
      </c>
      <c r="J640">
        <v>0</v>
      </c>
      <c r="K640">
        <v>10</v>
      </c>
    </row>
    <row r="641" spans="1:11" x14ac:dyDescent="0.35">
      <c r="A641" t="s">
        <v>678</v>
      </c>
      <c r="B641">
        <v>73</v>
      </c>
      <c r="C641" t="s">
        <v>18</v>
      </c>
      <c r="D641" t="s">
        <v>21</v>
      </c>
      <c r="E641">
        <v>20</v>
      </c>
      <c r="F641" t="s">
        <v>33</v>
      </c>
      <c r="G641" t="s">
        <v>27</v>
      </c>
      <c r="H641" s="1">
        <v>29.45</v>
      </c>
      <c r="I641" t="s">
        <v>28</v>
      </c>
      <c r="J641">
        <v>1</v>
      </c>
      <c r="K641">
        <v>5</v>
      </c>
    </row>
    <row r="642" spans="1:11" x14ac:dyDescent="0.35">
      <c r="A642" t="s">
        <v>679</v>
      </c>
      <c r="B642">
        <v>80</v>
      </c>
      <c r="C642" t="s">
        <v>12</v>
      </c>
      <c r="D642" t="s">
        <v>21</v>
      </c>
      <c r="E642">
        <v>34</v>
      </c>
      <c r="F642" t="s">
        <v>33</v>
      </c>
      <c r="G642" t="s">
        <v>15</v>
      </c>
      <c r="H642" s="1">
        <v>160.5</v>
      </c>
      <c r="I642" t="s">
        <v>24</v>
      </c>
      <c r="J642">
        <v>0</v>
      </c>
      <c r="K642">
        <v>2</v>
      </c>
    </row>
    <row r="643" spans="1:11" x14ac:dyDescent="0.35">
      <c r="A643" t="s">
        <v>680</v>
      </c>
      <c r="B643">
        <v>22</v>
      </c>
      <c r="C643" t="s">
        <v>18</v>
      </c>
      <c r="D643" t="s">
        <v>19</v>
      </c>
      <c r="E643">
        <v>10</v>
      </c>
      <c r="F643" t="s">
        <v>31</v>
      </c>
      <c r="G643" t="s">
        <v>23</v>
      </c>
      <c r="H643" s="1">
        <v>532.66999999999996</v>
      </c>
      <c r="I643" t="s">
        <v>24</v>
      </c>
      <c r="J643">
        <v>0</v>
      </c>
      <c r="K643">
        <v>7</v>
      </c>
    </row>
    <row r="644" spans="1:11" x14ac:dyDescent="0.35">
      <c r="A644" t="s">
        <v>681</v>
      </c>
      <c r="B644">
        <v>26</v>
      </c>
      <c r="C644" t="s">
        <v>18</v>
      </c>
      <c r="D644" t="s">
        <v>13</v>
      </c>
      <c r="E644">
        <v>16</v>
      </c>
      <c r="F644" t="s">
        <v>33</v>
      </c>
      <c r="G644" t="s">
        <v>15</v>
      </c>
      <c r="H644" s="1">
        <v>166.81</v>
      </c>
      <c r="I644" t="s">
        <v>24</v>
      </c>
      <c r="J644">
        <v>1</v>
      </c>
      <c r="K644">
        <v>4</v>
      </c>
    </row>
    <row r="645" spans="1:11" x14ac:dyDescent="0.35">
      <c r="A645" t="s">
        <v>682</v>
      </c>
      <c r="B645">
        <v>79</v>
      </c>
      <c r="C645" t="s">
        <v>189</v>
      </c>
      <c r="D645" t="s">
        <v>19</v>
      </c>
      <c r="E645">
        <v>10</v>
      </c>
      <c r="F645" t="s">
        <v>22</v>
      </c>
      <c r="G645" t="s">
        <v>23</v>
      </c>
      <c r="H645" s="1">
        <v>97.48</v>
      </c>
      <c r="I645" t="s">
        <v>43</v>
      </c>
      <c r="J645">
        <v>1</v>
      </c>
      <c r="K645">
        <v>8</v>
      </c>
    </row>
    <row r="646" spans="1:11" x14ac:dyDescent="0.35">
      <c r="A646" t="s">
        <v>683</v>
      </c>
      <c r="B646">
        <v>83</v>
      </c>
      <c r="C646" t="s">
        <v>18</v>
      </c>
      <c r="D646" t="s">
        <v>57</v>
      </c>
      <c r="E646">
        <v>47</v>
      </c>
      <c r="F646" t="s">
        <v>26</v>
      </c>
      <c r="G646" t="s">
        <v>37</v>
      </c>
      <c r="H646" s="1">
        <v>160.96</v>
      </c>
      <c r="I646" t="s">
        <v>28</v>
      </c>
      <c r="J646">
        <v>4</v>
      </c>
      <c r="K646">
        <v>2</v>
      </c>
    </row>
    <row r="647" spans="1:11" x14ac:dyDescent="0.35">
      <c r="A647" t="s">
        <v>684</v>
      </c>
      <c r="B647">
        <v>32</v>
      </c>
      <c r="C647" t="s">
        <v>12</v>
      </c>
      <c r="D647" t="s">
        <v>19</v>
      </c>
      <c r="E647">
        <v>15</v>
      </c>
      <c r="F647" t="s">
        <v>22</v>
      </c>
      <c r="G647" t="s">
        <v>34</v>
      </c>
      <c r="H647" s="1">
        <v>135.12</v>
      </c>
      <c r="I647" t="s">
        <v>24</v>
      </c>
      <c r="J647">
        <v>0</v>
      </c>
      <c r="K647">
        <v>8</v>
      </c>
    </row>
    <row r="648" spans="1:11" x14ac:dyDescent="0.35">
      <c r="A648" t="s">
        <v>685</v>
      </c>
      <c r="B648">
        <v>73</v>
      </c>
      <c r="C648" t="s">
        <v>189</v>
      </c>
      <c r="D648" t="s">
        <v>21</v>
      </c>
      <c r="E648">
        <v>47</v>
      </c>
      <c r="F648" t="s">
        <v>14</v>
      </c>
      <c r="G648" t="s">
        <v>37</v>
      </c>
      <c r="H648" s="1">
        <v>0</v>
      </c>
      <c r="I648" t="s">
        <v>16</v>
      </c>
      <c r="J648">
        <v>1</v>
      </c>
      <c r="K648">
        <v>3</v>
      </c>
    </row>
    <row r="649" spans="1:11" x14ac:dyDescent="0.35">
      <c r="A649" t="s">
        <v>686</v>
      </c>
      <c r="B649">
        <v>80</v>
      </c>
      <c r="C649" t="s">
        <v>18</v>
      </c>
      <c r="D649" t="s">
        <v>30</v>
      </c>
      <c r="E649">
        <v>8</v>
      </c>
      <c r="F649" t="s">
        <v>14</v>
      </c>
      <c r="G649" t="s">
        <v>27</v>
      </c>
      <c r="H649" s="1">
        <v>0</v>
      </c>
      <c r="I649" t="s">
        <v>16</v>
      </c>
      <c r="J649">
        <v>0</v>
      </c>
      <c r="K649">
        <v>10</v>
      </c>
    </row>
    <row r="650" spans="1:11" x14ac:dyDescent="0.35">
      <c r="A650" t="s">
        <v>687</v>
      </c>
      <c r="B650">
        <v>37</v>
      </c>
      <c r="C650" t="s">
        <v>12</v>
      </c>
      <c r="D650" t="s">
        <v>19</v>
      </c>
      <c r="E650">
        <v>21</v>
      </c>
      <c r="F650" t="s">
        <v>26</v>
      </c>
      <c r="G650" t="s">
        <v>34</v>
      </c>
      <c r="H650" s="1">
        <v>93.98</v>
      </c>
      <c r="I650" t="s">
        <v>24</v>
      </c>
      <c r="J650">
        <v>3</v>
      </c>
      <c r="K650">
        <v>1</v>
      </c>
    </row>
    <row r="651" spans="1:11" x14ac:dyDescent="0.35">
      <c r="A651" t="s">
        <v>688</v>
      </c>
      <c r="B651">
        <v>35</v>
      </c>
      <c r="C651" t="s">
        <v>12</v>
      </c>
      <c r="D651" t="s">
        <v>19</v>
      </c>
      <c r="E651">
        <v>21</v>
      </c>
      <c r="F651" t="s">
        <v>31</v>
      </c>
      <c r="G651" t="s">
        <v>34</v>
      </c>
      <c r="H651" s="1">
        <v>212.2</v>
      </c>
      <c r="I651" t="s">
        <v>24</v>
      </c>
      <c r="J651">
        <v>1</v>
      </c>
      <c r="K651">
        <v>2</v>
      </c>
    </row>
    <row r="652" spans="1:11" x14ac:dyDescent="0.35">
      <c r="A652" t="s">
        <v>689</v>
      </c>
      <c r="B652">
        <v>33</v>
      </c>
      <c r="C652" t="s">
        <v>12</v>
      </c>
      <c r="D652" t="s">
        <v>19</v>
      </c>
      <c r="E652">
        <v>12</v>
      </c>
      <c r="F652" t="s">
        <v>22</v>
      </c>
      <c r="G652" t="s">
        <v>27</v>
      </c>
      <c r="H652" s="1">
        <v>22.77</v>
      </c>
      <c r="I652" t="s">
        <v>24</v>
      </c>
      <c r="J652">
        <v>2</v>
      </c>
      <c r="K652">
        <v>5</v>
      </c>
    </row>
    <row r="653" spans="1:11" x14ac:dyDescent="0.35">
      <c r="A653" t="s">
        <v>690</v>
      </c>
      <c r="B653">
        <v>73</v>
      </c>
      <c r="C653" t="s">
        <v>18</v>
      </c>
      <c r="D653" t="s">
        <v>19</v>
      </c>
      <c r="E653">
        <v>20</v>
      </c>
      <c r="F653" t="s">
        <v>22</v>
      </c>
      <c r="G653" t="s">
        <v>15</v>
      </c>
      <c r="H653" s="1">
        <v>295.08</v>
      </c>
      <c r="I653" t="s">
        <v>24</v>
      </c>
      <c r="J653">
        <v>0</v>
      </c>
      <c r="K653">
        <v>4</v>
      </c>
    </row>
    <row r="654" spans="1:11" x14ac:dyDescent="0.35">
      <c r="A654" t="s">
        <v>691</v>
      </c>
      <c r="B654">
        <v>52</v>
      </c>
      <c r="C654" t="s">
        <v>18</v>
      </c>
      <c r="D654" t="s">
        <v>13</v>
      </c>
      <c r="E654">
        <v>11</v>
      </c>
      <c r="F654" t="s">
        <v>31</v>
      </c>
      <c r="G654" t="s">
        <v>27</v>
      </c>
      <c r="H654" s="1">
        <v>155</v>
      </c>
      <c r="I654" t="s">
        <v>24</v>
      </c>
      <c r="J654">
        <v>0</v>
      </c>
      <c r="K654">
        <v>7</v>
      </c>
    </row>
    <row r="655" spans="1:11" x14ac:dyDescent="0.35">
      <c r="A655" t="s">
        <v>692</v>
      </c>
      <c r="B655">
        <v>25</v>
      </c>
      <c r="C655" t="s">
        <v>18</v>
      </c>
      <c r="D655" t="s">
        <v>19</v>
      </c>
      <c r="E655">
        <v>8</v>
      </c>
      <c r="F655" t="s">
        <v>26</v>
      </c>
      <c r="G655" t="s">
        <v>34</v>
      </c>
      <c r="H655" s="1">
        <v>94.54</v>
      </c>
      <c r="I655" t="s">
        <v>24</v>
      </c>
      <c r="J655">
        <v>0</v>
      </c>
      <c r="K655">
        <v>8</v>
      </c>
    </row>
    <row r="656" spans="1:11" x14ac:dyDescent="0.35">
      <c r="A656" t="s">
        <v>693</v>
      </c>
      <c r="B656">
        <v>83</v>
      </c>
      <c r="C656" t="s">
        <v>18</v>
      </c>
      <c r="D656" t="s">
        <v>19</v>
      </c>
      <c r="E656">
        <v>23</v>
      </c>
      <c r="F656" t="s">
        <v>22</v>
      </c>
      <c r="G656" t="s">
        <v>23</v>
      </c>
      <c r="H656" s="1">
        <v>476.72</v>
      </c>
      <c r="I656" t="s">
        <v>28</v>
      </c>
      <c r="J656">
        <v>3</v>
      </c>
      <c r="K656">
        <v>5</v>
      </c>
    </row>
    <row r="657" spans="1:11" x14ac:dyDescent="0.35">
      <c r="A657" t="s">
        <v>694</v>
      </c>
      <c r="B657">
        <v>68</v>
      </c>
      <c r="C657" t="s">
        <v>18</v>
      </c>
      <c r="D657" t="s">
        <v>120</v>
      </c>
      <c r="E657">
        <v>17</v>
      </c>
      <c r="F657" t="s">
        <v>33</v>
      </c>
      <c r="G657" t="s">
        <v>27</v>
      </c>
      <c r="H657" s="1">
        <v>95.62</v>
      </c>
      <c r="I657" t="s">
        <v>28</v>
      </c>
      <c r="J657">
        <v>3</v>
      </c>
      <c r="K657">
        <v>5</v>
      </c>
    </row>
    <row r="658" spans="1:11" x14ac:dyDescent="0.35">
      <c r="A658" t="s">
        <v>695</v>
      </c>
      <c r="B658">
        <v>70</v>
      </c>
      <c r="C658" t="s">
        <v>18</v>
      </c>
      <c r="D658" t="s">
        <v>21</v>
      </c>
      <c r="E658">
        <v>26</v>
      </c>
      <c r="F658" t="s">
        <v>26</v>
      </c>
      <c r="G658" t="s">
        <v>27</v>
      </c>
      <c r="H658" s="1">
        <v>66.52</v>
      </c>
      <c r="I658" t="s">
        <v>24</v>
      </c>
      <c r="J658">
        <v>2</v>
      </c>
      <c r="K658">
        <v>2</v>
      </c>
    </row>
    <row r="659" spans="1:11" x14ac:dyDescent="0.35">
      <c r="A659" t="s">
        <v>696</v>
      </c>
      <c r="B659">
        <v>56</v>
      </c>
      <c r="C659" t="s">
        <v>12</v>
      </c>
      <c r="D659" t="s">
        <v>47</v>
      </c>
      <c r="E659">
        <v>4</v>
      </c>
      <c r="F659" t="s">
        <v>22</v>
      </c>
      <c r="G659" t="s">
        <v>23</v>
      </c>
      <c r="H659" s="1">
        <v>85.22</v>
      </c>
      <c r="I659" t="s">
        <v>24</v>
      </c>
      <c r="J659">
        <v>0</v>
      </c>
      <c r="K659">
        <v>9</v>
      </c>
    </row>
    <row r="660" spans="1:11" x14ac:dyDescent="0.35">
      <c r="A660" t="s">
        <v>697</v>
      </c>
      <c r="B660">
        <v>39</v>
      </c>
      <c r="C660" t="s">
        <v>12</v>
      </c>
      <c r="D660" t="s">
        <v>13</v>
      </c>
      <c r="E660">
        <v>11</v>
      </c>
      <c r="F660" t="s">
        <v>26</v>
      </c>
      <c r="G660" t="s">
        <v>37</v>
      </c>
      <c r="H660" s="1">
        <v>137.33000000000001</v>
      </c>
      <c r="I660" t="s">
        <v>24</v>
      </c>
      <c r="J660">
        <v>3</v>
      </c>
      <c r="K660">
        <v>6</v>
      </c>
    </row>
    <row r="661" spans="1:11" x14ac:dyDescent="0.35">
      <c r="A661" t="s">
        <v>698</v>
      </c>
      <c r="B661">
        <v>77</v>
      </c>
      <c r="C661" t="s">
        <v>12</v>
      </c>
      <c r="D661" t="s">
        <v>19</v>
      </c>
      <c r="E661">
        <v>21</v>
      </c>
      <c r="F661" t="s">
        <v>14</v>
      </c>
      <c r="G661" t="s">
        <v>37</v>
      </c>
      <c r="H661" s="1">
        <v>0</v>
      </c>
      <c r="I661" t="s">
        <v>16</v>
      </c>
      <c r="J661">
        <v>1</v>
      </c>
      <c r="K661">
        <v>5</v>
      </c>
    </row>
    <row r="662" spans="1:11" x14ac:dyDescent="0.35">
      <c r="A662" t="s">
        <v>699</v>
      </c>
      <c r="B662">
        <v>51</v>
      </c>
      <c r="C662" t="s">
        <v>18</v>
      </c>
      <c r="D662" t="s">
        <v>19</v>
      </c>
      <c r="E662">
        <v>14</v>
      </c>
      <c r="F662" t="s">
        <v>14</v>
      </c>
      <c r="G662" t="s">
        <v>23</v>
      </c>
      <c r="H662" s="1">
        <v>0</v>
      </c>
      <c r="I662" t="s">
        <v>16</v>
      </c>
      <c r="J662">
        <v>1</v>
      </c>
      <c r="K662">
        <v>5</v>
      </c>
    </row>
    <row r="663" spans="1:11" x14ac:dyDescent="0.35">
      <c r="A663" t="s">
        <v>700</v>
      </c>
      <c r="B663">
        <v>73</v>
      </c>
      <c r="C663" t="s">
        <v>18</v>
      </c>
      <c r="D663" t="s">
        <v>47</v>
      </c>
      <c r="E663">
        <v>12</v>
      </c>
      <c r="F663" t="s">
        <v>31</v>
      </c>
      <c r="G663" t="s">
        <v>34</v>
      </c>
      <c r="H663" s="1">
        <v>123.81</v>
      </c>
      <c r="I663" t="s">
        <v>24</v>
      </c>
      <c r="J663">
        <v>1</v>
      </c>
      <c r="K663">
        <v>8</v>
      </c>
    </row>
    <row r="664" spans="1:11" x14ac:dyDescent="0.35">
      <c r="A664" t="s">
        <v>701</v>
      </c>
      <c r="B664">
        <v>24</v>
      </c>
      <c r="C664" t="s">
        <v>18</v>
      </c>
      <c r="D664" t="s">
        <v>21</v>
      </c>
      <c r="E664">
        <v>21</v>
      </c>
      <c r="F664" t="s">
        <v>22</v>
      </c>
      <c r="G664" t="s">
        <v>27</v>
      </c>
      <c r="H664" s="1">
        <v>91.01</v>
      </c>
      <c r="I664" t="s">
        <v>24</v>
      </c>
      <c r="J664">
        <v>3</v>
      </c>
      <c r="K664">
        <v>4</v>
      </c>
    </row>
    <row r="665" spans="1:11" x14ac:dyDescent="0.35">
      <c r="A665" t="s">
        <v>702</v>
      </c>
      <c r="B665">
        <v>21</v>
      </c>
      <c r="C665" t="s">
        <v>12</v>
      </c>
      <c r="D665" t="s">
        <v>30</v>
      </c>
      <c r="E665">
        <v>14</v>
      </c>
      <c r="F665" t="s">
        <v>22</v>
      </c>
      <c r="G665" t="s">
        <v>34</v>
      </c>
      <c r="H665" s="1">
        <v>217.25</v>
      </c>
      <c r="I665" t="s">
        <v>24</v>
      </c>
      <c r="J665">
        <v>1</v>
      </c>
      <c r="K665">
        <v>7</v>
      </c>
    </row>
    <row r="666" spans="1:11" x14ac:dyDescent="0.35">
      <c r="A666" t="s">
        <v>703</v>
      </c>
      <c r="B666">
        <v>84</v>
      </c>
      <c r="C666" t="s">
        <v>18</v>
      </c>
      <c r="D666" t="s">
        <v>13</v>
      </c>
      <c r="E666">
        <v>8</v>
      </c>
      <c r="F666" t="s">
        <v>14</v>
      </c>
      <c r="G666" t="s">
        <v>34</v>
      </c>
      <c r="H666" s="1">
        <v>0</v>
      </c>
      <c r="I666" t="s">
        <v>16</v>
      </c>
      <c r="J666">
        <v>0</v>
      </c>
      <c r="K666">
        <v>8</v>
      </c>
    </row>
    <row r="667" spans="1:11" x14ac:dyDescent="0.35">
      <c r="A667" t="s">
        <v>704</v>
      </c>
      <c r="B667">
        <v>75</v>
      </c>
      <c r="C667" t="s">
        <v>18</v>
      </c>
      <c r="D667" t="s">
        <v>13</v>
      </c>
      <c r="E667">
        <v>19</v>
      </c>
      <c r="F667" t="s">
        <v>31</v>
      </c>
      <c r="G667" t="s">
        <v>34</v>
      </c>
      <c r="H667" s="1">
        <v>134.66999999999999</v>
      </c>
      <c r="I667" t="s">
        <v>43</v>
      </c>
      <c r="J667">
        <v>2</v>
      </c>
      <c r="K667">
        <v>3</v>
      </c>
    </row>
    <row r="668" spans="1:11" x14ac:dyDescent="0.35">
      <c r="A668" t="s">
        <v>705</v>
      </c>
      <c r="B668">
        <v>63</v>
      </c>
      <c r="C668" t="s">
        <v>18</v>
      </c>
      <c r="D668" t="s">
        <v>30</v>
      </c>
      <c r="E668">
        <v>9</v>
      </c>
      <c r="F668" t="s">
        <v>14</v>
      </c>
      <c r="G668" t="s">
        <v>37</v>
      </c>
      <c r="H668" s="1">
        <v>0</v>
      </c>
      <c r="I668" t="s">
        <v>16</v>
      </c>
      <c r="J668">
        <v>3</v>
      </c>
      <c r="K668">
        <v>7</v>
      </c>
    </row>
    <row r="669" spans="1:11" x14ac:dyDescent="0.35">
      <c r="A669" t="s">
        <v>706</v>
      </c>
      <c r="B669">
        <v>47</v>
      </c>
      <c r="C669" t="s">
        <v>12</v>
      </c>
      <c r="D669" t="s">
        <v>21</v>
      </c>
      <c r="E669">
        <v>33</v>
      </c>
      <c r="F669" t="s">
        <v>26</v>
      </c>
      <c r="G669" t="s">
        <v>34</v>
      </c>
      <c r="H669" s="1">
        <v>142.53</v>
      </c>
      <c r="I669" t="s">
        <v>24</v>
      </c>
      <c r="J669">
        <v>0</v>
      </c>
      <c r="K669">
        <v>2</v>
      </c>
    </row>
    <row r="670" spans="1:11" x14ac:dyDescent="0.35">
      <c r="A670" t="s">
        <v>707</v>
      </c>
      <c r="B670">
        <v>64</v>
      </c>
      <c r="C670" t="s">
        <v>18</v>
      </c>
      <c r="D670" t="s">
        <v>13</v>
      </c>
      <c r="E670">
        <v>21</v>
      </c>
      <c r="F670" t="s">
        <v>33</v>
      </c>
      <c r="G670" t="s">
        <v>34</v>
      </c>
      <c r="H670" s="1">
        <v>208.66</v>
      </c>
      <c r="I670" t="s">
        <v>24</v>
      </c>
      <c r="J670">
        <v>2</v>
      </c>
      <c r="K670">
        <v>1</v>
      </c>
    </row>
    <row r="671" spans="1:11" x14ac:dyDescent="0.35">
      <c r="A671" t="s">
        <v>708</v>
      </c>
      <c r="B671">
        <v>68</v>
      </c>
      <c r="C671" t="s">
        <v>18</v>
      </c>
      <c r="D671" t="s">
        <v>19</v>
      </c>
      <c r="E671">
        <v>15</v>
      </c>
      <c r="F671" t="s">
        <v>22</v>
      </c>
      <c r="G671" t="s">
        <v>27</v>
      </c>
      <c r="H671" s="1">
        <v>100.27</v>
      </c>
      <c r="I671" t="s">
        <v>24</v>
      </c>
      <c r="J671">
        <v>0</v>
      </c>
      <c r="K671">
        <v>6</v>
      </c>
    </row>
    <row r="672" spans="1:11" x14ac:dyDescent="0.35">
      <c r="A672" t="s">
        <v>709</v>
      </c>
      <c r="B672">
        <v>51</v>
      </c>
      <c r="C672" t="s">
        <v>12</v>
      </c>
      <c r="D672" t="s">
        <v>19</v>
      </c>
      <c r="E672">
        <v>20</v>
      </c>
      <c r="F672" t="s">
        <v>26</v>
      </c>
      <c r="G672" t="s">
        <v>37</v>
      </c>
      <c r="H672" s="1">
        <v>197.09</v>
      </c>
      <c r="I672" t="s">
        <v>24</v>
      </c>
      <c r="J672">
        <v>1</v>
      </c>
      <c r="K672">
        <v>3</v>
      </c>
    </row>
    <row r="673" spans="1:11" x14ac:dyDescent="0.35">
      <c r="A673" t="s">
        <v>710</v>
      </c>
      <c r="B673">
        <v>37</v>
      </c>
      <c r="C673" t="s">
        <v>12</v>
      </c>
      <c r="D673" t="s">
        <v>13</v>
      </c>
      <c r="E673">
        <v>14</v>
      </c>
      <c r="F673" t="s">
        <v>33</v>
      </c>
      <c r="G673" t="s">
        <v>37</v>
      </c>
      <c r="H673" s="1">
        <v>100.1</v>
      </c>
      <c r="I673" t="s">
        <v>24</v>
      </c>
      <c r="J673">
        <v>3</v>
      </c>
      <c r="K673">
        <v>4</v>
      </c>
    </row>
    <row r="674" spans="1:11" x14ac:dyDescent="0.35">
      <c r="A674" t="s">
        <v>711</v>
      </c>
      <c r="B674">
        <v>24</v>
      </c>
      <c r="C674" t="s">
        <v>12</v>
      </c>
      <c r="D674" t="s">
        <v>57</v>
      </c>
      <c r="E674">
        <v>29</v>
      </c>
      <c r="F674" t="s">
        <v>33</v>
      </c>
      <c r="G674" t="s">
        <v>15</v>
      </c>
      <c r="H674" s="1">
        <v>309.51</v>
      </c>
      <c r="I674" t="s">
        <v>24</v>
      </c>
      <c r="J674">
        <v>1</v>
      </c>
      <c r="K674">
        <v>3</v>
      </c>
    </row>
    <row r="675" spans="1:11" x14ac:dyDescent="0.35">
      <c r="A675" t="s">
        <v>712</v>
      </c>
      <c r="B675">
        <v>84</v>
      </c>
      <c r="C675" t="s">
        <v>12</v>
      </c>
      <c r="D675" t="s">
        <v>21</v>
      </c>
      <c r="E675">
        <v>28</v>
      </c>
      <c r="F675" t="s">
        <v>31</v>
      </c>
      <c r="G675" t="s">
        <v>34</v>
      </c>
      <c r="H675" s="1">
        <v>190.08</v>
      </c>
      <c r="I675" t="s">
        <v>24</v>
      </c>
      <c r="J675">
        <v>2</v>
      </c>
      <c r="K675">
        <v>2</v>
      </c>
    </row>
    <row r="676" spans="1:11" x14ac:dyDescent="0.35">
      <c r="A676" t="s">
        <v>713</v>
      </c>
      <c r="B676">
        <v>42</v>
      </c>
      <c r="C676" t="s">
        <v>18</v>
      </c>
      <c r="D676" t="s">
        <v>30</v>
      </c>
      <c r="E676">
        <v>10</v>
      </c>
      <c r="F676" t="s">
        <v>26</v>
      </c>
      <c r="G676" t="s">
        <v>23</v>
      </c>
      <c r="H676" s="1">
        <v>323.76</v>
      </c>
      <c r="I676" t="s">
        <v>24</v>
      </c>
      <c r="J676">
        <v>1</v>
      </c>
      <c r="K676">
        <v>5</v>
      </c>
    </row>
    <row r="677" spans="1:11" x14ac:dyDescent="0.35">
      <c r="A677" t="s">
        <v>714</v>
      </c>
      <c r="B677">
        <v>43</v>
      </c>
      <c r="C677" t="s">
        <v>189</v>
      </c>
      <c r="D677" t="s">
        <v>13</v>
      </c>
      <c r="E677">
        <v>7</v>
      </c>
      <c r="F677" t="s">
        <v>14</v>
      </c>
      <c r="G677" t="s">
        <v>15</v>
      </c>
      <c r="H677" s="1">
        <v>0</v>
      </c>
      <c r="I677" t="s">
        <v>16</v>
      </c>
      <c r="J677">
        <v>0</v>
      </c>
      <c r="K677">
        <v>10</v>
      </c>
    </row>
    <row r="678" spans="1:11" x14ac:dyDescent="0.35">
      <c r="A678" t="s">
        <v>715</v>
      </c>
      <c r="B678">
        <v>46</v>
      </c>
      <c r="C678" t="s">
        <v>12</v>
      </c>
      <c r="D678" t="s">
        <v>30</v>
      </c>
      <c r="E678">
        <v>12</v>
      </c>
      <c r="F678" t="s">
        <v>31</v>
      </c>
      <c r="G678" t="s">
        <v>37</v>
      </c>
      <c r="H678" s="1">
        <v>188.63</v>
      </c>
      <c r="I678" t="s">
        <v>28</v>
      </c>
      <c r="J678">
        <v>1</v>
      </c>
      <c r="K678">
        <v>5</v>
      </c>
    </row>
    <row r="679" spans="1:11" x14ac:dyDescent="0.35">
      <c r="A679" t="s">
        <v>716</v>
      </c>
      <c r="B679">
        <v>20</v>
      </c>
      <c r="C679" t="s">
        <v>12</v>
      </c>
      <c r="D679" t="s">
        <v>30</v>
      </c>
      <c r="E679">
        <v>6</v>
      </c>
      <c r="F679" t="s">
        <v>22</v>
      </c>
      <c r="G679" t="s">
        <v>27</v>
      </c>
      <c r="H679" s="1">
        <v>34.28</v>
      </c>
      <c r="I679" t="s">
        <v>24</v>
      </c>
      <c r="J679">
        <v>1</v>
      </c>
      <c r="K679">
        <v>9</v>
      </c>
    </row>
    <row r="680" spans="1:11" x14ac:dyDescent="0.35">
      <c r="A680" t="s">
        <v>717</v>
      </c>
      <c r="B680">
        <v>49</v>
      </c>
      <c r="C680" t="s">
        <v>12</v>
      </c>
      <c r="D680" t="s">
        <v>19</v>
      </c>
      <c r="E680">
        <v>11</v>
      </c>
      <c r="F680" t="s">
        <v>33</v>
      </c>
      <c r="G680" t="s">
        <v>23</v>
      </c>
      <c r="H680" s="1">
        <v>556.86</v>
      </c>
      <c r="I680" t="s">
        <v>24</v>
      </c>
      <c r="J680">
        <v>1</v>
      </c>
      <c r="K680">
        <v>6</v>
      </c>
    </row>
    <row r="681" spans="1:11" x14ac:dyDescent="0.35">
      <c r="A681" t="s">
        <v>718</v>
      </c>
      <c r="B681">
        <v>39</v>
      </c>
      <c r="C681" t="s">
        <v>12</v>
      </c>
      <c r="D681" t="s">
        <v>19</v>
      </c>
      <c r="E681">
        <v>20</v>
      </c>
      <c r="F681" t="s">
        <v>14</v>
      </c>
      <c r="G681" t="s">
        <v>37</v>
      </c>
      <c r="H681" s="1">
        <v>0</v>
      </c>
      <c r="I681" t="s">
        <v>16</v>
      </c>
      <c r="J681">
        <v>1</v>
      </c>
      <c r="K681">
        <v>5</v>
      </c>
    </row>
    <row r="682" spans="1:11" x14ac:dyDescent="0.35">
      <c r="A682" t="s">
        <v>719</v>
      </c>
      <c r="B682">
        <v>44</v>
      </c>
      <c r="C682" t="s">
        <v>12</v>
      </c>
      <c r="D682" t="s">
        <v>47</v>
      </c>
      <c r="E682">
        <v>3</v>
      </c>
      <c r="F682" t="s">
        <v>26</v>
      </c>
      <c r="G682" t="s">
        <v>23</v>
      </c>
      <c r="H682" s="1">
        <v>248.01</v>
      </c>
      <c r="I682" t="s">
        <v>24</v>
      </c>
      <c r="J682">
        <v>0</v>
      </c>
      <c r="K682">
        <v>8</v>
      </c>
    </row>
    <row r="683" spans="1:11" x14ac:dyDescent="0.35">
      <c r="A683" t="s">
        <v>720</v>
      </c>
      <c r="B683">
        <v>50</v>
      </c>
      <c r="C683" t="s">
        <v>12</v>
      </c>
      <c r="D683" t="s">
        <v>13</v>
      </c>
      <c r="E683">
        <v>14</v>
      </c>
      <c r="F683" t="s">
        <v>33</v>
      </c>
      <c r="G683" t="s">
        <v>23</v>
      </c>
      <c r="H683" s="1">
        <v>281.88</v>
      </c>
      <c r="I683" t="s">
        <v>24</v>
      </c>
      <c r="J683">
        <v>3</v>
      </c>
      <c r="K683">
        <v>4</v>
      </c>
    </row>
    <row r="684" spans="1:11" x14ac:dyDescent="0.35">
      <c r="A684" t="s">
        <v>721</v>
      </c>
      <c r="B684">
        <v>81</v>
      </c>
      <c r="C684" t="s">
        <v>18</v>
      </c>
      <c r="D684" t="s">
        <v>57</v>
      </c>
      <c r="E684">
        <v>32</v>
      </c>
      <c r="F684" t="s">
        <v>33</v>
      </c>
      <c r="G684" t="s">
        <v>37</v>
      </c>
      <c r="H684" s="1">
        <v>93.59</v>
      </c>
      <c r="I684" t="s">
        <v>24</v>
      </c>
      <c r="J684">
        <v>0</v>
      </c>
      <c r="K684">
        <v>1</v>
      </c>
    </row>
    <row r="685" spans="1:11" x14ac:dyDescent="0.35">
      <c r="A685" t="s">
        <v>722</v>
      </c>
      <c r="B685">
        <v>22</v>
      </c>
      <c r="C685" t="s">
        <v>12</v>
      </c>
      <c r="D685" t="s">
        <v>30</v>
      </c>
      <c r="E685">
        <v>9</v>
      </c>
      <c r="F685" t="s">
        <v>33</v>
      </c>
      <c r="G685" t="s">
        <v>15</v>
      </c>
      <c r="H685" s="1">
        <v>439.29</v>
      </c>
      <c r="I685" t="s">
        <v>43</v>
      </c>
      <c r="J685">
        <v>0</v>
      </c>
      <c r="K685">
        <v>6</v>
      </c>
    </row>
    <row r="686" spans="1:11" x14ac:dyDescent="0.35">
      <c r="A686" t="s">
        <v>723</v>
      </c>
      <c r="B686">
        <v>79</v>
      </c>
      <c r="C686" t="s">
        <v>12</v>
      </c>
      <c r="D686" t="s">
        <v>21</v>
      </c>
      <c r="E686">
        <v>31</v>
      </c>
      <c r="F686" t="s">
        <v>22</v>
      </c>
      <c r="G686" t="s">
        <v>27</v>
      </c>
      <c r="H686" s="1">
        <v>33.29</v>
      </c>
      <c r="I686" t="s">
        <v>24</v>
      </c>
      <c r="J686">
        <v>1</v>
      </c>
      <c r="K686">
        <v>5</v>
      </c>
    </row>
    <row r="687" spans="1:11" x14ac:dyDescent="0.35">
      <c r="A687" t="s">
        <v>724</v>
      </c>
      <c r="B687">
        <v>68</v>
      </c>
      <c r="C687" t="s">
        <v>12</v>
      </c>
      <c r="D687" t="s">
        <v>21</v>
      </c>
      <c r="E687">
        <v>44</v>
      </c>
      <c r="F687" t="s">
        <v>33</v>
      </c>
      <c r="G687" t="s">
        <v>27</v>
      </c>
      <c r="H687" s="1">
        <v>28.41</v>
      </c>
      <c r="I687" t="s">
        <v>24</v>
      </c>
      <c r="J687">
        <v>2</v>
      </c>
      <c r="K687">
        <v>1</v>
      </c>
    </row>
    <row r="688" spans="1:11" x14ac:dyDescent="0.35">
      <c r="A688" t="s">
        <v>725</v>
      </c>
      <c r="B688">
        <v>63</v>
      </c>
      <c r="C688" t="s">
        <v>12</v>
      </c>
      <c r="D688" t="s">
        <v>19</v>
      </c>
      <c r="E688">
        <v>18</v>
      </c>
      <c r="F688" t="s">
        <v>33</v>
      </c>
      <c r="G688" t="s">
        <v>37</v>
      </c>
      <c r="H688" s="1">
        <v>109.89</v>
      </c>
      <c r="I688" t="s">
        <v>24</v>
      </c>
      <c r="J688">
        <v>1</v>
      </c>
      <c r="K688">
        <v>8</v>
      </c>
    </row>
    <row r="689" spans="1:11" x14ac:dyDescent="0.35">
      <c r="A689" t="s">
        <v>726</v>
      </c>
      <c r="B689">
        <v>66</v>
      </c>
      <c r="C689" t="s">
        <v>18</v>
      </c>
      <c r="D689" t="s">
        <v>21</v>
      </c>
      <c r="E689">
        <v>31</v>
      </c>
      <c r="F689" t="s">
        <v>22</v>
      </c>
      <c r="G689" t="s">
        <v>34</v>
      </c>
      <c r="H689" s="1">
        <v>94.73</v>
      </c>
      <c r="I689" t="s">
        <v>24</v>
      </c>
      <c r="J689">
        <v>3</v>
      </c>
      <c r="K689">
        <v>1</v>
      </c>
    </row>
    <row r="690" spans="1:11" x14ac:dyDescent="0.35">
      <c r="A690" t="s">
        <v>727</v>
      </c>
      <c r="B690">
        <v>63</v>
      </c>
      <c r="C690" t="s">
        <v>12</v>
      </c>
      <c r="D690" t="s">
        <v>30</v>
      </c>
      <c r="E690">
        <v>4</v>
      </c>
      <c r="F690" t="s">
        <v>26</v>
      </c>
      <c r="G690" t="s">
        <v>23</v>
      </c>
      <c r="H690" s="1">
        <v>179.22</v>
      </c>
      <c r="I690" t="s">
        <v>24</v>
      </c>
      <c r="J690">
        <v>1</v>
      </c>
      <c r="K690">
        <v>8</v>
      </c>
    </row>
    <row r="691" spans="1:11" x14ac:dyDescent="0.35">
      <c r="A691" t="s">
        <v>728</v>
      </c>
      <c r="B691">
        <v>59</v>
      </c>
      <c r="C691" t="s">
        <v>18</v>
      </c>
      <c r="D691" t="s">
        <v>21</v>
      </c>
      <c r="E691">
        <v>33</v>
      </c>
      <c r="F691" t="s">
        <v>14</v>
      </c>
      <c r="G691" t="s">
        <v>23</v>
      </c>
      <c r="H691" s="1">
        <v>0</v>
      </c>
      <c r="I691" t="s">
        <v>16</v>
      </c>
      <c r="J691">
        <v>4</v>
      </c>
      <c r="K691">
        <v>2</v>
      </c>
    </row>
    <row r="692" spans="1:11" x14ac:dyDescent="0.35">
      <c r="A692" t="s">
        <v>729</v>
      </c>
      <c r="B692">
        <v>38</v>
      </c>
      <c r="C692" t="s">
        <v>18</v>
      </c>
      <c r="D692" t="s">
        <v>21</v>
      </c>
      <c r="E692">
        <v>36</v>
      </c>
      <c r="F692" t="s">
        <v>31</v>
      </c>
      <c r="G692" t="s">
        <v>27</v>
      </c>
      <c r="H692" s="1">
        <v>86.12</v>
      </c>
      <c r="I692" t="s">
        <v>24</v>
      </c>
      <c r="J692">
        <v>3</v>
      </c>
      <c r="K692">
        <v>4</v>
      </c>
    </row>
    <row r="693" spans="1:11" x14ac:dyDescent="0.35">
      <c r="A693" t="s">
        <v>730</v>
      </c>
      <c r="B693">
        <v>79</v>
      </c>
      <c r="C693" t="s">
        <v>18</v>
      </c>
      <c r="D693" t="s">
        <v>13</v>
      </c>
      <c r="E693">
        <v>9</v>
      </c>
      <c r="F693" t="s">
        <v>33</v>
      </c>
      <c r="G693" t="s">
        <v>37</v>
      </c>
      <c r="H693" s="1">
        <v>119.97</v>
      </c>
      <c r="I693" t="s">
        <v>24</v>
      </c>
      <c r="J693">
        <v>2</v>
      </c>
      <c r="K693">
        <v>7</v>
      </c>
    </row>
    <row r="694" spans="1:11" x14ac:dyDescent="0.35">
      <c r="A694" t="s">
        <v>731</v>
      </c>
      <c r="B694">
        <v>20</v>
      </c>
      <c r="C694" t="s">
        <v>18</v>
      </c>
      <c r="D694" t="s">
        <v>19</v>
      </c>
      <c r="E694">
        <v>14</v>
      </c>
      <c r="F694" t="s">
        <v>14</v>
      </c>
      <c r="G694" t="s">
        <v>15</v>
      </c>
      <c r="H694" s="1">
        <v>0</v>
      </c>
      <c r="I694" t="s">
        <v>16</v>
      </c>
      <c r="J694">
        <v>2</v>
      </c>
      <c r="K694">
        <v>5</v>
      </c>
    </row>
    <row r="695" spans="1:11" x14ac:dyDescent="0.35">
      <c r="A695" t="s">
        <v>732</v>
      </c>
      <c r="B695">
        <v>66</v>
      </c>
      <c r="C695" t="s">
        <v>18</v>
      </c>
      <c r="D695" t="s">
        <v>13</v>
      </c>
      <c r="E695">
        <v>6</v>
      </c>
      <c r="F695" t="s">
        <v>33</v>
      </c>
      <c r="G695" t="s">
        <v>37</v>
      </c>
      <c r="H695" s="1">
        <v>205.85</v>
      </c>
      <c r="I695" t="s">
        <v>24</v>
      </c>
      <c r="J695">
        <v>2</v>
      </c>
      <c r="K695">
        <v>7</v>
      </c>
    </row>
    <row r="696" spans="1:11" x14ac:dyDescent="0.35">
      <c r="A696" t="s">
        <v>733</v>
      </c>
      <c r="B696">
        <v>60</v>
      </c>
      <c r="C696" t="s">
        <v>12</v>
      </c>
      <c r="D696" t="s">
        <v>30</v>
      </c>
      <c r="E696">
        <v>13</v>
      </c>
      <c r="F696" t="s">
        <v>31</v>
      </c>
      <c r="G696" t="s">
        <v>34</v>
      </c>
      <c r="H696" s="1">
        <v>169.91</v>
      </c>
      <c r="I696" t="s">
        <v>24</v>
      </c>
      <c r="J696">
        <v>1</v>
      </c>
      <c r="K696">
        <v>8</v>
      </c>
    </row>
    <row r="697" spans="1:11" x14ac:dyDescent="0.35">
      <c r="A697" t="s">
        <v>734</v>
      </c>
      <c r="B697">
        <v>43</v>
      </c>
      <c r="C697" t="s">
        <v>18</v>
      </c>
      <c r="D697" t="s">
        <v>13</v>
      </c>
      <c r="E697">
        <v>12</v>
      </c>
      <c r="F697" t="s">
        <v>33</v>
      </c>
      <c r="G697" t="s">
        <v>15</v>
      </c>
      <c r="H697" s="1">
        <v>110.67</v>
      </c>
      <c r="I697" t="s">
        <v>24</v>
      </c>
      <c r="J697">
        <v>1</v>
      </c>
      <c r="K697">
        <v>4</v>
      </c>
    </row>
    <row r="698" spans="1:11" x14ac:dyDescent="0.35">
      <c r="A698" t="s">
        <v>735</v>
      </c>
      <c r="B698">
        <v>27</v>
      </c>
      <c r="C698" t="s">
        <v>12</v>
      </c>
      <c r="D698" t="s">
        <v>19</v>
      </c>
      <c r="E698">
        <v>14</v>
      </c>
      <c r="F698" t="s">
        <v>31</v>
      </c>
      <c r="G698" t="s">
        <v>34</v>
      </c>
      <c r="H698" s="1">
        <v>180.76</v>
      </c>
      <c r="I698" t="s">
        <v>24</v>
      </c>
      <c r="J698">
        <v>1</v>
      </c>
      <c r="K698">
        <v>7</v>
      </c>
    </row>
    <row r="699" spans="1:11" x14ac:dyDescent="0.35">
      <c r="A699" t="s">
        <v>736</v>
      </c>
      <c r="B699">
        <v>52</v>
      </c>
      <c r="C699" t="s">
        <v>18</v>
      </c>
      <c r="D699" t="s">
        <v>13</v>
      </c>
      <c r="E699">
        <v>21</v>
      </c>
      <c r="F699" t="s">
        <v>22</v>
      </c>
      <c r="G699" t="s">
        <v>15</v>
      </c>
      <c r="H699" s="1">
        <v>436.51</v>
      </c>
      <c r="I699" t="s">
        <v>24</v>
      </c>
      <c r="J699">
        <v>2</v>
      </c>
      <c r="K699">
        <v>3</v>
      </c>
    </row>
    <row r="700" spans="1:11" x14ac:dyDescent="0.35">
      <c r="A700" t="s">
        <v>737</v>
      </c>
      <c r="B700">
        <v>80</v>
      </c>
      <c r="C700" t="s">
        <v>18</v>
      </c>
      <c r="D700" t="s">
        <v>13</v>
      </c>
      <c r="E700">
        <v>8</v>
      </c>
      <c r="F700" t="s">
        <v>33</v>
      </c>
      <c r="G700" t="s">
        <v>37</v>
      </c>
      <c r="H700" s="1">
        <v>116.49</v>
      </c>
      <c r="I700" t="s">
        <v>24</v>
      </c>
      <c r="J700">
        <v>0</v>
      </c>
      <c r="K700">
        <v>10</v>
      </c>
    </row>
    <row r="701" spans="1:11" x14ac:dyDescent="0.35">
      <c r="A701" t="s">
        <v>738</v>
      </c>
      <c r="B701">
        <v>72</v>
      </c>
      <c r="C701" t="s">
        <v>12</v>
      </c>
      <c r="D701" t="s">
        <v>19</v>
      </c>
      <c r="E701">
        <v>14</v>
      </c>
      <c r="F701" t="s">
        <v>26</v>
      </c>
      <c r="G701" t="s">
        <v>34</v>
      </c>
      <c r="H701" s="1">
        <v>155.26</v>
      </c>
      <c r="I701" t="s">
        <v>24</v>
      </c>
      <c r="J701">
        <v>0</v>
      </c>
      <c r="K701">
        <v>5</v>
      </c>
    </row>
    <row r="702" spans="1:11" x14ac:dyDescent="0.35">
      <c r="A702" t="s">
        <v>739</v>
      </c>
      <c r="B702">
        <v>61</v>
      </c>
      <c r="C702" t="s">
        <v>18</v>
      </c>
      <c r="D702" t="s">
        <v>19</v>
      </c>
      <c r="E702">
        <v>10</v>
      </c>
      <c r="F702" t="s">
        <v>33</v>
      </c>
      <c r="G702" t="s">
        <v>27</v>
      </c>
      <c r="H702" s="1">
        <v>59.25</v>
      </c>
      <c r="I702" t="s">
        <v>24</v>
      </c>
      <c r="J702">
        <v>0</v>
      </c>
      <c r="K702">
        <v>5</v>
      </c>
    </row>
    <row r="703" spans="1:11" x14ac:dyDescent="0.35">
      <c r="A703" t="s">
        <v>740</v>
      </c>
      <c r="B703">
        <v>75</v>
      </c>
      <c r="C703" t="s">
        <v>18</v>
      </c>
      <c r="D703" t="s">
        <v>21</v>
      </c>
      <c r="E703">
        <v>21</v>
      </c>
      <c r="F703" t="s">
        <v>33</v>
      </c>
      <c r="G703" t="s">
        <v>37</v>
      </c>
      <c r="H703" s="1">
        <v>148.38</v>
      </c>
      <c r="I703" t="s">
        <v>24</v>
      </c>
      <c r="J703">
        <v>4</v>
      </c>
      <c r="K703">
        <v>3</v>
      </c>
    </row>
    <row r="704" spans="1:11" x14ac:dyDescent="0.35">
      <c r="A704" t="s">
        <v>741</v>
      </c>
      <c r="B704">
        <v>34</v>
      </c>
      <c r="C704" t="s">
        <v>12</v>
      </c>
      <c r="D704" t="s">
        <v>19</v>
      </c>
      <c r="E704">
        <v>12</v>
      </c>
      <c r="F704" t="s">
        <v>31</v>
      </c>
      <c r="G704" t="s">
        <v>15</v>
      </c>
      <c r="H704" s="1">
        <v>218.95</v>
      </c>
      <c r="I704" t="s">
        <v>24</v>
      </c>
      <c r="J704">
        <v>0</v>
      </c>
      <c r="K704">
        <v>7</v>
      </c>
    </row>
    <row r="705" spans="1:11" x14ac:dyDescent="0.35">
      <c r="A705" t="s">
        <v>742</v>
      </c>
      <c r="B705">
        <v>83</v>
      </c>
      <c r="C705" t="s">
        <v>18</v>
      </c>
      <c r="D705" t="s">
        <v>21</v>
      </c>
      <c r="E705">
        <v>34</v>
      </c>
      <c r="F705" t="s">
        <v>22</v>
      </c>
      <c r="G705" t="s">
        <v>15</v>
      </c>
      <c r="H705" s="1">
        <v>318.95</v>
      </c>
      <c r="I705" t="s">
        <v>28</v>
      </c>
      <c r="J705">
        <v>2</v>
      </c>
      <c r="K705">
        <v>1</v>
      </c>
    </row>
    <row r="706" spans="1:11" x14ac:dyDescent="0.35">
      <c r="A706" t="s">
        <v>743</v>
      </c>
      <c r="B706">
        <v>57</v>
      </c>
      <c r="C706" t="s">
        <v>12</v>
      </c>
      <c r="D706" t="s">
        <v>13</v>
      </c>
      <c r="E706">
        <v>12</v>
      </c>
      <c r="F706" t="s">
        <v>22</v>
      </c>
      <c r="G706" t="s">
        <v>15</v>
      </c>
      <c r="H706" s="1">
        <v>335.82</v>
      </c>
      <c r="I706" t="s">
        <v>24</v>
      </c>
      <c r="J706">
        <v>3</v>
      </c>
      <c r="K706">
        <v>5</v>
      </c>
    </row>
    <row r="707" spans="1:11" x14ac:dyDescent="0.35">
      <c r="A707" t="s">
        <v>744</v>
      </c>
      <c r="B707">
        <v>47</v>
      </c>
      <c r="C707" t="s">
        <v>18</v>
      </c>
      <c r="D707" t="s">
        <v>21</v>
      </c>
      <c r="E707">
        <v>12</v>
      </c>
      <c r="F707" t="s">
        <v>31</v>
      </c>
      <c r="G707" t="s">
        <v>27</v>
      </c>
      <c r="H707" s="1">
        <v>168.37</v>
      </c>
      <c r="I707" t="s">
        <v>24</v>
      </c>
      <c r="J707">
        <v>0</v>
      </c>
      <c r="K707">
        <v>5</v>
      </c>
    </row>
    <row r="708" spans="1:11" x14ac:dyDescent="0.35">
      <c r="A708" t="s">
        <v>745</v>
      </c>
      <c r="B708">
        <v>72</v>
      </c>
      <c r="C708" t="s">
        <v>12</v>
      </c>
      <c r="D708" t="s">
        <v>21</v>
      </c>
      <c r="E708">
        <v>24</v>
      </c>
      <c r="F708" t="s">
        <v>31</v>
      </c>
      <c r="G708" t="s">
        <v>27</v>
      </c>
      <c r="H708" s="1">
        <v>162.29</v>
      </c>
      <c r="I708" t="s">
        <v>24</v>
      </c>
      <c r="J708">
        <v>2</v>
      </c>
      <c r="K708">
        <v>4</v>
      </c>
    </row>
    <row r="709" spans="1:11" x14ac:dyDescent="0.35">
      <c r="A709" t="s">
        <v>746</v>
      </c>
      <c r="B709">
        <v>84</v>
      </c>
      <c r="C709" t="s">
        <v>12</v>
      </c>
      <c r="D709" t="s">
        <v>19</v>
      </c>
      <c r="E709">
        <v>18</v>
      </c>
      <c r="F709" t="s">
        <v>33</v>
      </c>
      <c r="G709" t="s">
        <v>23</v>
      </c>
      <c r="H709" s="1">
        <v>319.58999999999997</v>
      </c>
      <c r="I709" t="s">
        <v>24</v>
      </c>
      <c r="J709">
        <v>3</v>
      </c>
      <c r="K709">
        <v>7</v>
      </c>
    </row>
    <row r="710" spans="1:11" x14ac:dyDescent="0.35">
      <c r="A710" t="s">
        <v>747</v>
      </c>
      <c r="B710">
        <v>24</v>
      </c>
      <c r="C710" t="s">
        <v>12</v>
      </c>
      <c r="D710" t="s">
        <v>19</v>
      </c>
      <c r="E710">
        <v>11</v>
      </c>
      <c r="F710" t="s">
        <v>22</v>
      </c>
      <c r="G710" t="s">
        <v>15</v>
      </c>
      <c r="H710" s="1">
        <v>184.34</v>
      </c>
      <c r="I710" t="s">
        <v>24</v>
      </c>
      <c r="J710">
        <v>1</v>
      </c>
      <c r="K710">
        <v>4</v>
      </c>
    </row>
    <row r="711" spans="1:11" x14ac:dyDescent="0.35">
      <c r="A711" t="s">
        <v>748</v>
      </c>
      <c r="B711">
        <v>22</v>
      </c>
      <c r="C711" t="s">
        <v>18</v>
      </c>
      <c r="D711" t="s">
        <v>19</v>
      </c>
      <c r="E711">
        <v>9</v>
      </c>
      <c r="F711" t="s">
        <v>14</v>
      </c>
      <c r="G711" t="s">
        <v>15</v>
      </c>
      <c r="H711" s="1">
        <v>0</v>
      </c>
      <c r="I711" t="s">
        <v>16</v>
      </c>
      <c r="J711">
        <v>1</v>
      </c>
      <c r="K711">
        <v>5</v>
      </c>
    </row>
    <row r="712" spans="1:11" x14ac:dyDescent="0.35">
      <c r="A712" t="s">
        <v>749</v>
      </c>
      <c r="B712">
        <v>31</v>
      </c>
      <c r="C712" t="s">
        <v>18</v>
      </c>
      <c r="D712" t="s">
        <v>21</v>
      </c>
      <c r="E712">
        <v>48</v>
      </c>
      <c r="F712" t="s">
        <v>22</v>
      </c>
      <c r="G712" t="s">
        <v>23</v>
      </c>
      <c r="H712" s="1">
        <v>473.55</v>
      </c>
      <c r="I712" t="s">
        <v>24</v>
      </c>
      <c r="J712">
        <v>2</v>
      </c>
      <c r="K712">
        <v>5</v>
      </c>
    </row>
    <row r="713" spans="1:11" x14ac:dyDescent="0.35">
      <c r="A713" t="s">
        <v>750</v>
      </c>
      <c r="B713">
        <v>42</v>
      </c>
      <c r="C713" t="s">
        <v>12</v>
      </c>
      <c r="D713" t="s">
        <v>19</v>
      </c>
      <c r="E713">
        <v>11</v>
      </c>
      <c r="F713" t="s">
        <v>33</v>
      </c>
      <c r="G713" t="s">
        <v>23</v>
      </c>
      <c r="H713" s="1">
        <v>383.61</v>
      </c>
      <c r="I713" t="s">
        <v>24</v>
      </c>
      <c r="J713">
        <v>1</v>
      </c>
      <c r="K713">
        <v>8</v>
      </c>
    </row>
    <row r="714" spans="1:11" x14ac:dyDescent="0.35">
      <c r="A714" t="s">
        <v>751</v>
      </c>
      <c r="B714">
        <v>24</v>
      </c>
      <c r="C714" t="s">
        <v>12</v>
      </c>
      <c r="D714" t="s">
        <v>200</v>
      </c>
      <c r="E714">
        <v>10</v>
      </c>
      <c r="F714" t="s">
        <v>22</v>
      </c>
      <c r="G714" t="s">
        <v>34</v>
      </c>
      <c r="H714" s="1">
        <v>163.37</v>
      </c>
      <c r="I714" t="s">
        <v>43</v>
      </c>
      <c r="J714">
        <v>0</v>
      </c>
      <c r="K714">
        <v>6</v>
      </c>
    </row>
    <row r="715" spans="1:11" x14ac:dyDescent="0.35">
      <c r="A715" t="s">
        <v>752</v>
      </c>
      <c r="B715">
        <v>23</v>
      </c>
      <c r="C715" t="s">
        <v>18</v>
      </c>
      <c r="D715" t="s">
        <v>21</v>
      </c>
      <c r="E715">
        <v>30</v>
      </c>
      <c r="F715" t="s">
        <v>14</v>
      </c>
      <c r="G715" t="s">
        <v>37</v>
      </c>
      <c r="H715" s="1">
        <v>0</v>
      </c>
      <c r="I715" t="s">
        <v>16</v>
      </c>
      <c r="J715">
        <v>4</v>
      </c>
      <c r="K715">
        <v>1</v>
      </c>
    </row>
    <row r="716" spans="1:11" x14ac:dyDescent="0.35">
      <c r="A716" t="s">
        <v>753</v>
      </c>
      <c r="B716">
        <v>38</v>
      </c>
      <c r="C716" t="s">
        <v>18</v>
      </c>
      <c r="D716" t="s">
        <v>47</v>
      </c>
      <c r="E716">
        <v>7</v>
      </c>
      <c r="F716" t="s">
        <v>22</v>
      </c>
      <c r="G716" t="s">
        <v>15</v>
      </c>
      <c r="H716" s="1">
        <v>443.04</v>
      </c>
      <c r="I716" t="s">
        <v>24</v>
      </c>
      <c r="J716">
        <v>0</v>
      </c>
      <c r="K716">
        <v>9</v>
      </c>
    </row>
    <row r="717" spans="1:11" x14ac:dyDescent="0.35">
      <c r="A717" t="s">
        <v>754</v>
      </c>
      <c r="B717">
        <v>68</v>
      </c>
      <c r="C717" t="s">
        <v>528</v>
      </c>
      <c r="D717" t="s">
        <v>19</v>
      </c>
      <c r="E717">
        <v>8</v>
      </c>
      <c r="F717" t="s">
        <v>22</v>
      </c>
      <c r="G717" t="s">
        <v>37</v>
      </c>
      <c r="H717" s="1">
        <v>91.52</v>
      </c>
      <c r="I717" t="s">
        <v>24</v>
      </c>
      <c r="J717">
        <v>2</v>
      </c>
      <c r="K717">
        <v>7</v>
      </c>
    </row>
    <row r="718" spans="1:11" x14ac:dyDescent="0.35">
      <c r="A718" t="s">
        <v>755</v>
      </c>
      <c r="B718">
        <v>47</v>
      </c>
      <c r="C718" t="s">
        <v>12</v>
      </c>
      <c r="D718" t="s">
        <v>19</v>
      </c>
      <c r="E718">
        <v>6</v>
      </c>
      <c r="F718" t="s">
        <v>22</v>
      </c>
      <c r="G718" t="s">
        <v>23</v>
      </c>
      <c r="H718" s="1">
        <v>377.82</v>
      </c>
      <c r="I718" t="s">
        <v>24</v>
      </c>
      <c r="J718">
        <v>0</v>
      </c>
      <c r="K718">
        <v>10</v>
      </c>
    </row>
    <row r="719" spans="1:11" x14ac:dyDescent="0.35">
      <c r="A719" t="s">
        <v>756</v>
      </c>
      <c r="B719">
        <v>58</v>
      </c>
      <c r="C719" t="s">
        <v>18</v>
      </c>
      <c r="D719" t="s">
        <v>200</v>
      </c>
      <c r="E719">
        <v>13</v>
      </c>
      <c r="F719" t="s">
        <v>26</v>
      </c>
      <c r="G719" t="s">
        <v>34</v>
      </c>
      <c r="H719" s="1">
        <v>184.71</v>
      </c>
      <c r="I719" t="s">
        <v>24</v>
      </c>
      <c r="J719">
        <v>2</v>
      </c>
      <c r="K719">
        <v>4</v>
      </c>
    </row>
    <row r="720" spans="1:11" x14ac:dyDescent="0.35">
      <c r="A720" t="s">
        <v>757</v>
      </c>
      <c r="B720">
        <v>32</v>
      </c>
      <c r="C720" t="s">
        <v>12</v>
      </c>
      <c r="D720" t="s">
        <v>120</v>
      </c>
      <c r="E720">
        <v>32</v>
      </c>
      <c r="F720" t="s">
        <v>22</v>
      </c>
      <c r="G720" t="s">
        <v>37</v>
      </c>
      <c r="H720" s="1">
        <v>218.02</v>
      </c>
      <c r="I720" t="s">
        <v>24</v>
      </c>
      <c r="J720">
        <v>1</v>
      </c>
      <c r="K720">
        <v>3</v>
      </c>
    </row>
    <row r="721" spans="1:11" x14ac:dyDescent="0.35">
      <c r="A721" t="s">
        <v>758</v>
      </c>
      <c r="B721">
        <v>72</v>
      </c>
      <c r="C721" t="s">
        <v>18</v>
      </c>
      <c r="D721" t="s">
        <v>21</v>
      </c>
      <c r="E721">
        <v>27</v>
      </c>
      <c r="F721" t="s">
        <v>33</v>
      </c>
      <c r="G721" t="s">
        <v>27</v>
      </c>
      <c r="H721" s="1">
        <v>35.869999999999997</v>
      </c>
      <c r="I721" t="s">
        <v>24</v>
      </c>
      <c r="J721">
        <v>2</v>
      </c>
      <c r="K721">
        <v>1</v>
      </c>
    </row>
    <row r="722" spans="1:11" x14ac:dyDescent="0.35">
      <c r="A722" t="s">
        <v>759</v>
      </c>
      <c r="B722">
        <v>43</v>
      </c>
      <c r="C722" t="s">
        <v>18</v>
      </c>
      <c r="D722" t="s">
        <v>57</v>
      </c>
      <c r="E722">
        <v>34</v>
      </c>
      <c r="F722" t="s">
        <v>22</v>
      </c>
      <c r="G722" t="s">
        <v>27</v>
      </c>
      <c r="H722" s="1">
        <v>91.7</v>
      </c>
      <c r="I722" t="s">
        <v>24</v>
      </c>
      <c r="J722">
        <v>0</v>
      </c>
      <c r="K722">
        <v>4</v>
      </c>
    </row>
    <row r="723" spans="1:11" x14ac:dyDescent="0.35">
      <c r="A723" t="s">
        <v>760</v>
      </c>
      <c r="B723">
        <v>70</v>
      </c>
      <c r="C723" t="s">
        <v>12</v>
      </c>
      <c r="D723" t="s">
        <v>19</v>
      </c>
      <c r="E723">
        <v>20</v>
      </c>
      <c r="F723" t="s">
        <v>22</v>
      </c>
      <c r="G723" t="s">
        <v>34</v>
      </c>
      <c r="H723" s="1">
        <v>175.83</v>
      </c>
      <c r="I723" t="s">
        <v>24</v>
      </c>
      <c r="J723">
        <v>3</v>
      </c>
      <c r="K723">
        <v>2</v>
      </c>
    </row>
    <row r="724" spans="1:11" x14ac:dyDescent="0.35">
      <c r="A724" t="s">
        <v>761</v>
      </c>
      <c r="B724">
        <v>85</v>
      </c>
      <c r="C724" t="s">
        <v>12</v>
      </c>
      <c r="D724" t="s">
        <v>19</v>
      </c>
      <c r="E724">
        <v>12</v>
      </c>
      <c r="F724" t="s">
        <v>22</v>
      </c>
      <c r="G724" t="s">
        <v>23</v>
      </c>
      <c r="H724" s="1">
        <v>502.64</v>
      </c>
      <c r="I724" t="s">
        <v>24</v>
      </c>
      <c r="J724">
        <v>1</v>
      </c>
      <c r="K724">
        <v>6</v>
      </c>
    </row>
    <row r="725" spans="1:11" x14ac:dyDescent="0.35">
      <c r="A725" t="s">
        <v>762</v>
      </c>
      <c r="B725">
        <v>19</v>
      </c>
      <c r="C725" t="s">
        <v>12</v>
      </c>
      <c r="D725" t="s">
        <v>13</v>
      </c>
      <c r="E725">
        <v>19</v>
      </c>
      <c r="F725" t="s">
        <v>33</v>
      </c>
      <c r="G725" t="s">
        <v>23</v>
      </c>
      <c r="H725" s="1">
        <v>265.85000000000002</v>
      </c>
      <c r="I725" t="s">
        <v>24</v>
      </c>
      <c r="J725">
        <v>2</v>
      </c>
      <c r="K725">
        <v>1</v>
      </c>
    </row>
    <row r="726" spans="1:11" x14ac:dyDescent="0.35">
      <c r="A726" t="s">
        <v>763</v>
      </c>
      <c r="B726">
        <v>41</v>
      </c>
      <c r="C726" t="s">
        <v>12</v>
      </c>
      <c r="D726" t="s">
        <v>19</v>
      </c>
      <c r="E726">
        <v>15</v>
      </c>
      <c r="F726" t="s">
        <v>31</v>
      </c>
      <c r="G726" t="s">
        <v>27</v>
      </c>
      <c r="H726" s="1">
        <v>47.72</v>
      </c>
      <c r="I726" t="s">
        <v>43</v>
      </c>
      <c r="J726">
        <v>0</v>
      </c>
      <c r="K726">
        <v>7</v>
      </c>
    </row>
    <row r="727" spans="1:11" x14ac:dyDescent="0.35">
      <c r="A727" t="s">
        <v>764</v>
      </c>
      <c r="B727">
        <v>51</v>
      </c>
      <c r="C727" t="s">
        <v>18</v>
      </c>
      <c r="D727" t="s">
        <v>30</v>
      </c>
      <c r="E727">
        <v>13</v>
      </c>
      <c r="F727" t="s">
        <v>31</v>
      </c>
      <c r="G727" t="s">
        <v>23</v>
      </c>
      <c r="H727" s="1">
        <v>76.540000000000006</v>
      </c>
      <c r="I727" t="s">
        <v>24</v>
      </c>
      <c r="J727">
        <v>0</v>
      </c>
      <c r="K727">
        <v>5</v>
      </c>
    </row>
    <row r="728" spans="1:11" x14ac:dyDescent="0.35">
      <c r="A728" t="s">
        <v>765</v>
      </c>
      <c r="B728">
        <v>68</v>
      </c>
      <c r="C728" t="s">
        <v>12</v>
      </c>
      <c r="D728" t="s">
        <v>13</v>
      </c>
      <c r="E728">
        <v>23</v>
      </c>
      <c r="F728" t="s">
        <v>31</v>
      </c>
      <c r="G728" t="s">
        <v>37</v>
      </c>
      <c r="H728" s="1">
        <v>143.32</v>
      </c>
      <c r="I728" t="s">
        <v>28</v>
      </c>
      <c r="J728">
        <v>4</v>
      </c>
      <c r="K728">
        <v>2</v>
      </c>
    </row>
    <row r="729" spans="1:11" x14ac:dyDescent="0.35">
      <c r="A729" t="s">
        <v>766</v>
      </c>
      <c r="B729">
        <v>39</v>
      </c>
      <c r="C729" t="s">
        <v>18</v>
      </c>
      <c r="D729" t="s">
        <v>21</v>
      </c>
      <c r="E729">
        <v>37</v>
      </c>
      <c r="F729" t="s">
        <v>26</v>
      </c>
      <c r="G729" t="s">
        <v>37</v>
      </c>
      <c r="H729" s="1">
        <v>204.46</v>
      </c>
      <c r="I729" t="s">
        <v>28</v>
      </c>
      <c r="J729">
        <v>1</v>
      </c>
      <c r="K729">
        <v>3</v>
      </c>
    </row>
    <row r="730" spans="1:11" x14ac:dyDescent="0.35">
      <c r="A730" t="s">
        <v>767</v>
      </c>
      <c r="B730">
        <v>64</v>
      </c>
      <c r="C730" t="s">
        <v>12</v>
      </c>
      <c r="D730" t="s">
        <v>19</v>
      </c>
      <c r="E730">
        <v>22</v>
      </c>
      <c r="F730" t="s">
        <v>22</v>
      </c>
      <c r="G730" t="s">
        <v>15</v>
      </c>
      <c r="H730" s="1">
        <v>149.13999999999999</v>
      </c>
      <c r="I730" t="s">
        <v>28</v>
      </c>
      <c r="J730">
        <v>2</v>
      </c>
      <c r="K730">
        <v>1</v>
      </c>
    </row>
    <row r="731" spans="1:11" x14ac:dyDescent="0.35">
      <c r="A731" t="s">
        <v>768</v>
      </c>
      <c r="B731">
        <v>80</v>
      </c>
      <c r="C731" t="s">
        <v>18</v>
      </c>
      <c r="D731" t="s">
        <v>19</v>
      </c>
      <c r="E731">
        <v>12</v>
      </c>
      <c r="F731" t="s">
        <v>33</v>
      </c>
      <c r="G731" t="s">
        <v>27</v>
      </c>
      <c r="H731" s="1">
        <v>66.5</v>
      </c>
      <c r="I731" t="s">
        <v>24</v>
      </c>
      <c r="J731">
        <v>0</v>
      </c>
      <c r="K731">
        <v>5</v>
      </c>
    </row>
    <row r="732" spans="1:11" x14ac:dyDescent="0.35">
      <c r="A732" t="s">
        <v>769</v>
      </c>
      <c r="B732">
        <v>85</v>
      </c>
      <c r="C732" t="s">
        <v>12</v>
      </c>
      <c r="D732" t="s">
        <v>19</v>
      </c>
      <c r="E732">
        <v>14</v>
      </c>
      <c r="F732" t="s">
        <v>14</v>
      </c>
      <c r="G732" t="s">
        <v>27</v>
      </c>
      <c r="H732" s="1">
        <v>0</v>
      </c>
      <c r="I732" t="s">
        <v>16</v>
      </c>
      <c r="J732">
        <v>1</v>
      </c>
      <c r="K732">
        <v>5</v>
      </c>
    </row>
    <row r="733" spans="1:11" x14ac:dyDescent="0.35">
      <c r="A733" t="s">
        <v>770</v>
      </c>
      <c r="B733">
        <v>62</v>
      </c>
      <c r="C733" t="s">
        <v>12</v>
      </c>
      <c r="D733" t="s">
        <v>21</v>
      </c>
      <c r="E733">
        <v>40</v>
      </c>
      <c r="F733" t="s">
        <v>31</v>
      </c>
      <c r="G733" t="s">
        <v>37</v>
      </c>
      <c r="H733" s="1">
        <v>95.31</v>
      </c>
      <c r="I733" t="s">
        <v>24</v>
      </c>
      <c r="J733">
        <v>1</v>
      </c>
      <c r="K733">
        <v>1</v>
      </c>
    </row>
    <row r="734" spans="1:11" x14ac:dyDescent="0.35">
      <c r="A734" t="s">
        <v>771</v>
      </c>
      <c r="B734">
        <v>70</v>
      </c>
      <c r="C734" t="s">
        <v>12</v>
      </c>
      <c r="D734" t="s">
        <v>13</v>
      </c>
      <c r="E734">
        <v>8</v>
      </c>
      <c r="F734" t="s">
        <v>31</v>
      </c>
      <c r="G734" t="s">
        <v>37</v>
      </c>
      <c r="H734" s="1">
        <v>140.1</v>
      </c>
      <c r="I734" t="s">
        <v>43</v>
      </c>
      <c r="J734">
        <v>0</v>
      </c>
      <c r="K734">
        <v>7</v>
      </c>
    </row>
    <row r="735" spans="1:11" x14ac:dyDescent="0.35">
      <c r="A735" t="s">
        <v>772</v>
      </c>
      <c r="B735">
        <v>43</v>
      </c>
      <c r="C735" t="s">
        <v>12</v>
      </c>
      <c r="D735" t="s">
        <v>13</v>
      </c>
      <c r="E735">
        <v>11</v>
      </c>
      <c r="F735" t="s">
        <v>22</v>
      </c>
      <c r="G735" t="s">
        <v>27</v>
      </c>
      <c r="H735" s="1">
        <v>101.78</v>
      </c>
      <c r="I735" t="s">
        <v>24</v>
      </c>
      <c r="J735">
        <v>3</v>
      </c>
      <c r="K735">
        <v>5</v>
      </c>
    </row>
    <row r="736" spans="1:11" x14ac:dyDescent="0.35">
      <c r="A736" t="s">
        <v>773</v>
      </c>
      <c r="B736">
        <v>49</v>
      </c>
      <c r="C736" t="s">
        <v>12</v>
      </c>
      <c r="D736" t="s">
        <v>19</v>
      </c>
      <c r="E736">
        <v>20</v>
      </c>
      <c r="F736" t="s">
        <v>31</v>
      </c>
      <c r="G736" t="s">
        <v>15</v>
      </c>
      <c r="H736" s="1">
        <v>416.46</v>
      </c>
      <c r="I736" t="s">
        <v>43</v>
      </c>
      <c r="J736">
        <v>2</v>
      </c>
      <c r="K736">
        <v>5</v>
      </c>
    </row>
    <row r="737" spans="1:11" x14ac:dyDescent="0.35">
      <c r="A737" t="s">
        <v>774</v>
      </c>
      <c r="B737">
        <v>79</v>
      </c>
      <c r="C737" t="s">
        <v>12</v>
      </c>
      <c r="D737" t="s">
        <v>13</v>
      </c>
      <c r="E737">
        <v>6</v>
      </c>
      <c r="F737" t="s">
        <v>22</v>
      </c>
      <c r="G737" t="s">
        <v>23</v>
      </c>
      <c r="H737" s="1">
        <v>440.88</v>
      </c>
      <c r="I737" t="s">
        <v>28</v>
      </c>
      <c r="J737">
        <v>1</v>
      </c>
      <c r="K737">
        <v>8</v>
      </c>
    </row>
    <row r="738" spans="1:11" x14ac:dyDescent="0.35">
      <c r="A738" t="s">
        <v>775</v>
      </c>
      <c r="B738">
        <v>40</v>
      </c>
      <c r="C738" t="s">
        <v>12</v>
      </c>
      <c r="D738" t="s">
        <v>244</v>
      </c>
      <c r="E738">
        <v>6</v>
      </c>
      <c r="F738" t="s">
        <v>33</v>
      </c>
      <c r="G738" t="s">
        <v>15</v>
      </c>
      <c r="H738" s="1">
        <v>106.18</v>
      </c>
      <c r="I738" t="s">
        <v>24</v>
      </c>
      <c r="J738">
        <v>0</v>
      </c>
      <c r="K738">
        <v>8</v>
      </c>
    </row>
    <row r="739" spans="1:11" x14ac:dyDescent="0.35">
      <c r="A739" t="s">
        <v>776</v>
      </c>
      <c r="B739">
        <v>73</v>
      </c>
      <c r="C739" t="s">
        <v>18</v>
      </c>
      <c r="D739" t="s">
        <v>13</v>
      </c>
      <c r="E739">
        <v>11</v>
      </c>
      <c r="F739" t="s">
        <v>33</v>
      </c>
      <c r="G739" t="s">
        <v>27</v>
      </c>
      <c r="H739" s="1">
        <v>153.19999999999999</v>
      </c>
      <c r="I739" t="s">
        <v>24</v>
      </c>
      <c r="J739">
        <v>2</v>
      </c>
      <c r="K739">
        <v>8</v>
      </c>
    </row>
    <row r="740" spans="1:11" x14ac:dyDescent="0.35">
      <c r="A740" t="s">
        <v>777</v>
      </c>
      <c r="B740">
        <v>49</v>
      </c>
      <c r="C740" t="s">
        <v>18</v>
      </c>
      <c r="D740" t="s">
        <v>21</v>
      </c>
      <c r="E740">
        <v>15</v>
      </c>
      <c r="F740" t="s">
        <v>26</v>
      </c>
      <c r="G740" t="s">
        <v>15</v>
      </c>
      <c r="H740" s="1">
        <v>222.1</v>
      </c>
      <c r="I740" t="s">
        <v>24</v>
      </c>
      <c r="J740">
        <v>0</v>
      </c>
      <c r="K740">
        <v>4</v>
      </c>
    </row>
    <row r="741" spans="1:11" x14ac:dyDescent="0.35">
      <c r="A741" t="s">
        <v>778</v>
      </c>
      <c r="B741">
        <v>32</v>
      </c>
      <c r="C741" t="s">
        <v>12</v>
      </c>
      <c r="D741" t="s">
        <v>21</v>
      </c>
      <c r="E741">
        <v>46</v>
      </c>
      <c r="F741" t="s">
        <v>14</v>
      </c>
      <c r="G741" t="s">
        <v>15</v>
      </c>
      <c r="H741" s="1">
        <v>0</v>
      </c>
      <c r="I741" t="s">
        <v>16</v>
      </c>
      <c r="J741">
        <v>1</v>
      </c>
      <c r="K741">
        <v>1</v>
      </c>
    </row>
    <row r="742" spans="1:11" x14ac:dyDescent="0.35">
      <c r="A742" t="s">
        <v>779</v>
      </c>
      <c r="B742">
        <v>62</v>
      </c>
      <c r="C742" t="s">
        <v>18</v>
      </c>
      <c r="D742" t="s">
        <v>19</v>
      </c>
      <c r="E742">
        <v>16</v>
      </c>
      <c r="F742" t="s">
        <v>14</v>
      </c>
      <c r="G742" t="s">
        <v>23</v>
      </c>
      <c r="H742" s="1">
        <v>0</v>
      </c>
      <c r="I742" t="s">
        <v>16</v>
      </c>
      <c r="J742">
        <v>3</v>
      </c>
      <c r="K742">
        <v>5</v>
      </c>
    </row>
    <row r="743" spans="1:11" x14ac:dyDescent="0.35">
      <c r="A743" t="s">
        <v>780</v>
      </c>
      <c r="B743">
        <v>61</v>
      </c>
      <c r="C743" t="s">
        <v>12</v>
      </c>
      <c r="D743" t="s">
        <v>19</v>
      </c>
      <c r="E743">
        <v>14</v>
      </c>
      <c r="F743" t="s">
        <v>33</v>
      </c>
      <c r="G743" t="s">
        <v>34</v>
      </c>
      <c r="H743" s="1">
        <v>111.91</v>
      </c>
      <c r="I743" t="s">
        <v>24</v>
      </c>
      <c r="J743">
        <v>0</v>
      </c>
      <c r="K743">
        <v>7</v>
      </c>
    </row>
    <row r="744" spans="1:11" x14ac:dyDescent="0.35">
      <c r="A744" t="s">
        <v>781</v>
      </c>
      <c r="B744">
        <v>39</v>
      </c>
      <c r="C744" t="s">
        <v>12</v>
      </c>
      <c r="D744" t="s">
        <v>19</v>
      </c>
      <c r="E744">
        <v>19</v>
      </c>
      <c r="F744" t="s">
        <v>22</v>
      </c>
      <c r="G744" t="s">
        <v>23</v>
      </c>
      <c r="H744" s="1">
        <v>330.29</v>
      </c>
      <c r="I744" t="s">
        <v>24</v>
      </c>
      <c r="J744">
        <v>1</v>
      </c>
      <c r="K744">
        <v>3</v>
      </c>
    </row>
    <row r="745" spans="1:11" x14ac:dyDescent="0.35">
      <c r="A745" t="s">
        <v>782</v>
      </c>
      <c r="B745">
        <v>35</v>
      </c>
      <c r="C745" t="s">
        <v>12</v>
      </c>
      <c r="D745" t="s">
        <v>21</v>
      </c>
      <c r="E745">
        <v>44</v>
      </c>
      <c r="F745" t="s">
        <v>33</v>
      </c>
      <c r="G745" t="s">
        <v>37</v>
      </c>
      <c r="H745" s="1">
        <v>167.38</v>
      </c>
      <c r="I745" t="s">
        <v>24</v>
      </c>
      <c r="J745">
        <v>0</v>
      </c>
      <c r="K745">
        <v>2</v>
      </c>
    </row>
    <row r="746" spans="1:11" x14ac:dyDescent="0.35">
      <c r="A746" t="s">
        <v>783</v>
      </c>
      <c r="B746">
        <v>49</v>
      </c>
      <c r="C746" t="s">
        <v>12</v>
      </c>
      <c r="D746" t="s">
        <v>30</v>
      </c>
      <c r="E746">
        <v>12</v>
      </c>
      <c r="F746" t="s">
        <v>22</v>
      </c>
      <c r="G746" t="s">
        <v>34</v>
      </c>
      <c r="H746" s="1">
        <v>177.25</v>
      </c>
      <c r="I746" t="s">
        <v>24</v>
      </c>
      <c r="J746">
        <v>0</v>
      </c>
      <c r="K746">
        <v>4</v>
      </c>
    </row>
    <row r="747" spans="1:11" x14ac:dyDescent="0.35">
      <c r="A747" t="s">
        <v>784</v>
      </c>
      <c r="B747">
        <v>37</v>
      </c>
      <c r="C747" t="s">
        <v>12</v>
      </c>
      <c r="D747" t="s">
        <v>19</v>
      </c>
      <c r="E747">
        <v>17</v>
      </c>
      <c r="F747" t="s">
        <v>14</v>
      </c>
      <c r="G747" t="s">
        <v>15</v>
      </c>
      <c r="H747" s="1">
        <v>0</v>
      </c>
      <c r="I747" t="s">
        <v>16</v>
      </c>
      <c r="J747">
        <v>0</v>
      </c>
      <c r="K747">
        <v>4</v>
      </c>
    </row>
    <row r="748" spans="1:11" x14ac:dyDescent="0.35">
      <c r="A748" t="s">
        <v>785</v>
      </c>
      <c r="B748">
        <v>27</v>
      </c>
      <c r="C748" t="s">
        <v>12</v>
      </c>
      <c r="D748" t="s">
        <v>19</v>
      </c>
      <c r="E748">
        <v>17</v>
      </c>
      <c r="F748" t="s">
        <v>33</v>
      </c>
      <c r="G748" t="s">
        <v>27</v>
      </c>
      <c r="H748" s="1">
        <v>57.14</v>
      </c>
      <c r="I748" t="s">
        <v>24</v>
      </c>
      <c r="J748">
        <v>0</v>
      </c>
      <c r="K748">
        <v>4</v>
      </c>
    </row>
    <row r="749" spans="1:11" x14ac:dyDescent="0.35">
      <c r="A749" t="s">
        <v>786</v>
      </c>
      <c r="B749">
        <v>66</v>
      </c>
      <c r="C749" t="s">
        <v>18</v>
      </c>
      <c r="D749" t="s">
        <v>120</v>
      </c>
      <c r="E749">
        <v>37</v>
      </c>
      <c r="F749" t="s">
        <v>14</v>
      </c>
      <c r="G749" t="s">
        <v>23</v>
      </c>
      <c r="H749" s="1">
        <v>0</v>
      </c>
      <c r="I749" t="s">
        <v>16</v>
      </c>
      <c r="J749">
        <v>0</v>
      </c>
      <c r="K749">
        <v>4</v>
      </c>
    </row>
    <row r="750" spans="1:11" x14ac:dyDescent="0.35">
      <c r="A750" t="s">
        <v>787</v>
      </c>
      <c r="B750">
        <v>31</v>
      </c>
      <c r="C750" t="s">
        <v>18</v>
      </c>
      <c r="D750" t="s">
        <v>21</v>
      </c>
      <c r="E750">
        <v>34</v>
      </c>
      <c r="F750" t="s">
        <v>26</v>
      </c>
      <c r="G750" t="s">
        <v>15</v>
      </c>
      <c r="H750" s="1">
        <v>240.18</v>
      </c>
      <c r="I750" t="s">
        <v>24</v>
      </c>
      <c r="J750">
        <v>4</v>
      </c>
      <c r="K750">
        <v>3</v>
      </c>
    </row>
    <row r="751" spans="1:11" x14ac:dyDescent="0.35">
      <c r="A751" t="s">
        <v>788</v>
      </c>
      <c r="B751">
        <v>64</v>
      </c>
      <c r="C751" t="s">
        <v>12</v>
      </c>
      <c r="D751" t="s">
        <v>19</v>
      </c>
      <c r="E751">
        <v>20</v>
      </c>
      <c r="F751" t="s">
        <v>22</v>
      </c>
      <c r="G751" t="s">
        <v>37</v>
      </c>
      <c r="H751" s="1">
        <v>168.28</v>
      </c>
      <c r="I751" t="s">
        <v>24</v>
      </c>
      <c r="J751">
        <v>2</v>
      </c>
      <c r="K751">
        <v>4</v>
      </c>
    </row>
    <row r="752" spans="1:11" x14ac:dyDescent="0.35">
      <c r="A752" t="s">
        <v>789</v>
      </c>
      <c r="B752">
        <v>37</v>
      </c>
      <c r="C752" t="s">
        <v>18</v>
      </c>
      <c r="D752" t="s">
        <v>19</v>
      </c>
      <c r="E752">
        <v>12</v>
      </c>
      <c r="F752" t="s">
        <v>22</v>
      </c>
      <c r="G752" t="s">
        <v>34</v>
      </c>
      <c r="H752" s="1">
        <v>193.18</v>
      </c>
      <c r="I752" t="s">
        <v>28</v>
      </c>
      <c r="J752">
        <v>3</v>
      </c>
      <c r="K752">
        <v>5</v>
      </c>
    </row>
    <row r="753" spans="1:11" x14ac:dyDescent="0.35">
      <c r="A753" t="s">
        <v>790</v>
      </c>
      <c r="B753">
        <v>66</v>
      </c>
      <c r="C753" t="s">
        <v>12</v>
      </c>
      <c r="D753" t="s">
        <v>21</v>
      </c>
      <c r="E753">
        <v>35</v>
      </c>
      <c r="F753" t="s">
        <v>14</v>
      </c>
      <c r="G753" t="s">
        <v>37</v>
      </c>
      <c r="H753" s="1">
        <v>0</v>
      </c>
      <c r="I753" t="s">
        <v>16</v>
      </c>
      <c r="J753">
        <v>1</v>
      </c>
      <c r="K753">
        <v>4</v>
      </c>
    </row>
    <row r="754" spans="1:11" x14ac:dyDescent="0.35">
      <c r="A754" t="s">
        <v>791</v>
      </c>
      <c r="B754">
        <v>55</v>
      </c>
      <c r="C754" t="s">
        <v>12</v>
      </c>
      <c r="D754" t="s">
        <v>200</v>
      </c>
      <c r="E754">
        <v>23</v>
      </c>
      <c r="F754" t="s">
        <v>22</v>
      </c>
      <c r="G754" t="s">
        <v>27</v>
      </c>
      <c r="H754" s="1">
        <v>151.69999999999999</v>
      </c>
      <c r="I754" t="s">
        <v>43</v>
      </c>
      <c r="J754">
        <v>4</v>
      </c>
      <c r="K754">
        <v>4</v>
      </c>
    </row>
    <row r="755" spans="1:11" x14ac:dyDescent="0.35">
      <c r="A755" t="s">
        <v>792</v>
      </c>
      <c r="B755">
        <v>33</v>
      </c>
      <c r="C755" t="s">
        <v>18</v>
      </c>
      <c r="D755" t="s">
        <v>21</v>
      </c>
      <c r="E755">
        <v>27</v>
      </c>
      <c r="F755" t="s">
        <v>26</v>
      </c>
      <c r="G755" t="s">
        <v>23</v>
      </c>
      <c r="H755" s="1">
        <v>159.72</v>
      </c>
      <c r="I755" t="s">
        <v>24</v>
      </c>
      <c r="J755">
        <v>4</v>
      </c>
      <c r="K755">
        <v>3</v>
      </c>
    </row>
    <row r="756" spans="1:11" x14ac:dyDescent="0.35">
      <c r="A756" t="s">
        <v>793</v>
      </c>
      <c r="B756">
        <v>83</v>
      </c>
      <c r="C756" t="s">
        <v>18</v>
      </c>
      <c r="D756" t="s">
        <v>19</v>
      </c>
      <c r="E756">
        <v>12</v>
      </c>
      <c r="F756" t="s">
        <v>26</v>
      </c>
      <c r="G756" t="s">
        <v>37</v>
      </c>
      <c r="H756" s="1">
        <v>97.42</v>
      </c>
      <c r="I756" t="s">
        <v>24</v>
      </c>
      <c r="J756">
        <v>1</v>
      </c>
      <c r="K756">
        <v>8</v>
      </c>
    </row>
    <row r="757" spans="1:11" x14ac:dyDescent="0.35">
      <c r="A757" t="s">
        <v>794</v>
      </c>
      <c r="B757">
        <v>83</v>
      </c>
      <c r="C757" t="s">
        <v>18</v>
      </c>
      <c r="D757" t="s">
        <v>13</v>
      </c>
      <c r="E757">
        <v>19</v>
      </c>
      <c r="F757" t="s">
        <v>22</v>
      </c>
      <c r="G757" t="s">
        <v>15</v>
      </c>
      <c r="H757" s="1">
        <v>388.03</v>
      </c>
      <c r="I757" t="s">
        <v>24</v>
      </c>
      <c r="J757">
        <v>1</v>
      </c>
      <c r="K757">
        <v>1</v>
      </c>
    </row>
    <row r="758" spans="1:11" x14ac:dyDescent="0.35">
      <c r="A758" t="s">
        <v>795</v>
      </c>
      <c r="B758">
        <v>26</v>
      </c>
      <c r="C758" t="s">
        <v>12</v>
      </c>
      <c r="D758" t="s">
        <v>19</v>
      </c>
      <c r="E758">
        <v>8</v>
      </c>
      <c r="F758" t="s">
        <v>26</v>
      </c>
      <c r="G758" t="s">
        <v>23</v>
      </c>
      <c r="H758" s="1">
        <v>502.9</v>
      </c>
      <c r="I758" t="s">
        <v>24</v>
      </c>
      <c r="J758">
        <v>0</v>
      </c>
      <c r="K758">
        <v>10</v>
      </c>
    </row>
    <row r="759" spans="1:11" x14ac:dyDescent="0.35">
      <c r="A759" t="s">
        <v>796</v>
      </c>
      <c r="B759">
        <v>59</v>
      </c>
      <c r="C759" t="s">
        <v>12</v>
      </c>
      <c r="D759" t="s">
        <v>19</v>
      </c>
      <c r="E759">
        <v>16</v>
      </c>
      <c r="F759" t="s">
        <v>22</v>
      </c>
      <c r="G759" t="s">
        <v>37</v>
      </c>
      <c r="H759" s="1">
        <v>162.57</v>
      </c>
      <c r="I759" t="s">
        <v>24</v>
      </c>
      <c r="J759">
        <v>0</v>
      </c>
      <c r="K759">
        <v>6</v>
      </c>
    </row>
    <row r="760" spans="1:11" x14ac:dyDescent="0.35">
      <c r="A760" t="s">
        <v>797</v>
      </c>
      <c r="B760">
        <v>39</v>
      </c>
      <c r="C760" t="s">
        <v>12</v>
      </c>
      <c r="D760" t="s">
        <v>30</v>
      </c>
      <c r="E760">
        <v>9</v>
      </c>
      <c r="F760" t="s">
        <v>31</v>
      </c>
      <c r="G760" t="s">
        <v>15</v>
      </c>
      <c r="H760" s="1">
        <v>219.7</v>
      </c>
      <c r="I760" t="s">
        <v>24</v>
      </c>
      <c r="J760">
        <v>2</v>
      </c>
      <c r="K760">
        <v>7</v>
      </c>
    </row>
    <row r="761" spans="1:11" x14ac:dyDescent="0.35">
      <c r="A761" t="s">
        <v>798</v>
      </c>
      <c r="B761">
        <v>20</v>
      </c>
      <c r="C761" t="s">
        <v>12</v>
      </c>
      <c r="D761" t="s">
        <v>13</v>
      </c>
      <c r="E761">
        <v>14</v>
      </c>
      <c r="F761" t="s">
        <v>22</v>
      </c>
      <c r="G761" t="s">
        <v>37</v>
      </c>
      <c r="H761" s="1">
        <v>211.42</v>
      </c>
      <c r="I761" t="s">
        <v>24</v>
      </c>
      <c r="J761">
        <v>3</v>
      </c>
      <c r="K761">
        <v>5</v>
      </c>
    </row>
    <row r="762" spans="1:11" x14ac:dyDescent="0.35">
      <c r="A762" t="s">
        <v>799</v>
      </c>
      <c r="B762">
        <v>27</v>
      </c>
      <c r="C762" t="s">
        <v>18</v>
      </c>
      <c r="D762" t="s">
        <v>120</v>
      </c>
      <c r="E762">
        <v>27</v>
      </c>
      <c r="F762" t="s">
        <v>31</v>
      </c>
      <c r="G762" t="s">
        <v>34</v>
      </c>
      <c r="H762" s="1">
        <v>202</v>
      </c>
      <c r="I762" t="s">
        <v>24</v>
      </c>
      <c r="J762">
        <v>2</v>
      </c>
      <c r="K762">
        <v>3</v>
      </c>
    </row>
    <row r="763" spans="1:11" x14ac:dyDescent="0.35">
      <c r="A763" t="s">
        <v>800</v>
      </c>
      <c r="B763">
        <v>72</v>
      </c>
      <c r="C763" t="s">
        <v>12</v>
      </c>
      <c r="D763" t="s">
        <v>30</v>
      </c>
      <c r="E763">
        <v>5</v>
      </c>
      <c r="F763" t="s">
        <v>22</v>
      </c>
      <c r="G763" t="s">
        <v>34</v>
      </c>
      <c r="H763" s="1">
        <v>140.19999999999999</v>
      </c>
      <c r="I763" t="s">
        <v>24</v>
      </c>
      <c r="J763">
        <v>0</v>
      </c>
      <c r="K763">
        <v>7</v>
      </c>
    </row>
    <row r="764" spans="1:11" x14ac:dyDescent="0.35">
      <c r="A764" t="s">
        <v>801</v>
      </c>
      <c r="B764">
        <v>49</v>
      </c>
      <c r="C764" t="s">
        <v>18</v>
      </c>
      <c r="D764" t="s">
        <v>19</v>
      </c>
      <c r="E764">
        <v>12</v>
      </c>
      <c r="F764" t="s">
        <v>33</v>
      </c>
      <c r="G764" t="s">
        <v>37</v>
      </c>
      <c r="H764" s="1">
        <v>124.59</v>
      </c>
      <c r="I764" t="s">
        <v>24</v>
      </c>
      <c r="J764">
        <v>1</v>
      </c>
      <c r="K764">
        <v>6</v>
      </c>
    </row>
    <row r="765" spans="1:11" x14ac:dyDescent="0.35">
      <c r="A765" t="s">
        <v>802</v>
      </c>
      <c r="B765">
        <v>71</v>
      </c>
      <c r="C765" t="s">
        <v>12</v>
      </c>
      <c r="D765" t="s">
        <v>19</v>
      </c>
      <c r="E765">
        <v>15</v>
      </c>
      <c r="F765" t="s">
        <v>22</v>
      </c>
      <c r="G765" t="s">
        <v>37</v>
      </c>
      <c r="H765" s="1">
        <v>145.22999999999999</v>
      </c>
      <c r="I765" t="s">
        <v>43</v>
      </c>
      <c r="J765">
        <v>0</v>
      </c>
      <c r="K765">
        <v>7</v>
      </c>
    </row>
    <row r="766" spans="1:11" x14ac:dyDescent="0.35">
      <c r="A766" t="s">
        <v>803</v>
      </c>
      <c r="B766">
        <v>45</v>
      </c>
      <c r="C766" t="s">
        <v>12</v>
      </c>
      <c r="D766" t="s">
        <v>57</v>
      </c>
      <c r="E766">
        <v>30</v>
      </c>
      <c r="F766" t="s">
        <v>33</v>
      </c>
      <c r="G766" t="s">
        <v>27</v>
      </c>
      <c r="H766" s="1">
        <v>103.73</v>
      </c>
      <c r="I766" t="s">
        <v>24</v>
      </c>
      <c r="J766">
        <v>1</v>
      </c>
      <c r="K766">
        <v>1</v>
      </c>
    </row>
    <row r="767" spans="1:11" x14ac:dyDescent="0.35">
      <c r="A767" t="s">
        <v>804</v>
      </c>
      <c r="B767">
        <v>45</v>
      </c>
      <c r="C767" t="s">
        <v>18</v>
      </c>
      <c r="D767" t="s">
        <v>19</v>
      </c>
      <c r="E767">
        <v>24</v>
      </c>
      <c r="F767" t="s">
        <v>26</v>
      </c>
      <c r="G767" t="s">
        <v>37</v>
      </c>
      <c r="H767" s="1">
        <v>167.64</v>
      </c>
      <c r="I767" t="s">
        <v>24</v>
      </c>
      <c r="J767">
        <v>0</v>
      </c>
      <c r="K767">
        <v>4</v>
      </c>
    </row>
    <row r="768" spans="1:11" x14ac:dyDescent="0.35">
      <c r="A768" t="s">
        <v>805</v>
      </c>
      <c r="B768">
        <v>43</v>
      </c>
      <c r="C768" t="s">
        <v>528</v>
      </c>
      <c r="D768" t="s">
        <v>19</v>
      </c>
      <c r="E768">
        <v>16</v>
      </c>
      <c r="F768" t="s">
        <v>31</v>
      </c>
      <c r="G768" t="s">
        <v>34</v>
      </c>
      <c r="H768" s="1">
        <v>110.37</v>
      </c>
      <c r="I768" t="s">
        <v>24</v>
      </c>
      <c r="J768">
        <v>0</v>
      </c>
      <c r="K768">
        <v>5</v>
      </c>
    </row>
    <row r="769" spans="1:11" x14ac:dyDescent="0.35">
      <c r="A769" t="s">
        <v>806</v>
      </c>
      <c r="B769">
        <v>51</v>
      </c>
      <c r="C769" t="s">
        <v>18</v>
      </c>
      <c r="D769" t="s">
        <v>19</v>
      </c>
      <c r="E769">
        <v>13</v>
      </c>
      <c r="F769" t="s">
        <v>31</v>
      </c>
      <c r="G769" t="s">
        <v>27</v>
      </c>
      <c r="H769" s="1">
        <v>144.43</v>
      </c>
      <c r="I769" t="s">
        <v>24</v>
      </c>
      <c r="J769">
        <v>0</v>
      </c>
      <c r="K769">
        <v>4</v>
      </c>
    </row>
    <row r="770" spans="1:11" x14ac:dyDescent="0.35">
      <c r="A770" t="s">
        <v>807</v>
      </c>
      <c r="B770">
        <v>65</v>
      </c>
      <c r="C770" t="s">
        <v>18</v>
      </c>
      <c r="D770" t="s">
        <v>19</v>
      </c>
      <c r="E770">
        <v>22</v>
      </c>
      <c r="F770" t="s">
        <v>33</v>
      </c>
      <c r="G770" t="s">
        <v>23</v>
      </c>
      <c r="H770" s="1">
        <v>87.25</v>
      </c>
      <c r="I770" t="s">
        <v>24</v>
      </c>
      <c r="J770">
        <v>2</v>
      </c>
      <c r="K770">
        <v>2</v>
      </c>
    </row>
    <row r="771" spans="1:11" x14ac:dyDescent="0.35">
      <c r="A771" t="s">
        <v>808</v>
      </c>
      <c r="B771">
        <v>71</v>
      </c>
      <c r="C771" t="s">
        <v>12</v>
      </c>
      <c r="D771" t="s">
        <v>41</v>
      </c>
      <c r="E771">
        <v>5</v>
      </c>
      <c r="F771" t="s">
        <v>22</v>
      </c>
      <c r="G771" t="s">
        <v>23</v>
      </c>
      <c r="H771" s="1">
        <v>347.5</v>
      </c>
      <c r="I771" t="s">
        <v>24</v>
      </c>
      <c r="J771">
        <v>0</v>
      </c>
      <c r="K771">
        <v>7</v>
      </c>
    </row>
    <row r="772" spans="1:11" x14ac:dyDescent="0.35">
      <c r="A772" t="s">
        <v>809</v>
      </c>
      <c r="B772">
        <v>26</v>
      </c>
      <c r="C772" t="s">
        <v>18</v>
      </c>
      <c r="D772" t="s">
        <v>57</v>
      </c>
      <c r="E772">
        <v>22</v>
      </c>
      <c r="F772" t="s">
        <v>22</v>
      </c>
      <c r="G772" t="s">
        <v>34</v>
      </c>
      <c r="H772" s="1">
        <v>167.31</v>
      </c>
      <c r="I772" t="s">
        <v>24</v>
      </c>
      <c r="J772">
        <v>3</v>
      </c>
      <c r="K772">
        <v>4</v>
      </c>
    </row>
    <row r="773" spans="1:11" x14ac:dyDescent="0.35">
      <c r="A773" t="s">
        <v>810</v>
      </c>
      <c r="B773">
        <v>60</v>
      </c>
      <c r="C773" t="s">
        <v>18</v>
      </c>
      <c r="D773" t="s">
        <v>30</v>
      </c>
      <c r="E773">
        <v>8</v>
      </c>
      <c r="F773" t="s">
        <v>22</v>
      </c>
      <c r="G773" t="s">
        <v>34</v>
      </c>
      <c r="H773" s="1">
        <v>157.78</v>
      </c>
      <c r="I773" t="s">
        <v>24</v>
      </c>
      <c r="J773">
        <v>0</v>
      </c>
      <c r="K773">
        <v>9</v>
      </c>
    </row>
    <row r="774" spans="1:11" x14ac:dyDescent="0.35">
      <c r="A774" t="s">
        <v>811</v>
      </c>
      <c r="B774">
        <v>53</v>
      </c>
      <c r="C774" t="s">
        <v>12</v>
      </c>
      <c r="D774" t="s">
        <v>19</v>
      </c>
      <c r="E774">
        <v>12</v>
      </c>
      <c r="F774" t="s">
        <v>22</v>
      </c>
      <c r="G774" t="s">
        <v>34</v>
      </c>
      <c r="H774" s="1">
        <v>167.94</v>
      </c>
      <c r="I774" t="s">
        <v>24</v>
      </c>
      <c r="J774">
        <v>3</v>
      </c>
      <c r="K774">
        <v>8</v>
      </c>
    </row>
    <row r="775" spans="1:11" x14ac:dyDescent="0.35">
      <c r="A775" t="s">
        <v>812</v>
      </c>
      <c r="B775">
        <v>39</v>
      </c>
      <c r="C775" t="s">
        <v>18</v>
      </c>
      <c r="D775" t="s">
        <v>30</v>
      </c>
      <c r="E775">
        <v>2</v>
      </c>
      <c r="F775" t="s">
        <v>26</v>
      </c>
      <c r="G775" t="s">
        <v>37</v>
      </c>
      <c r="H775" s="1">
        <v>173.49</v>
      </c>
      <c r="I775" t="s">
        <v>24</v>
      </c>
      <c r="J775">
        <v>0</v>
      </c>
      <c r="K775">
        <v>7</v>
      </c>
    </row>
    <row r="776" spans="1:11" x14ac:dyDescent="0.35">
      <c r="A776" t="s">
        <v>813</v>
      </c>
      <c r="B776">
        <v>49</v>
      </c>
      <c r="C776" t="s">
        <v>528</v>
      </c>
      <c r="D776" t="s">
        <v>13</v>
      </c>
      <c r="E776">
        <v>22</v>
      </c>
      <c r="F776" t="s">
        <v>22</v>
      </c>
      <c r="G776" t="s">
        <v>27</v>
      </c>
      <c r="H776" s="1">
        <v>51.8</v>
      </c>
      <c r="I776" t="s">
        <v>24</v>
      </c>
      <c r="J776">
        <v>2</v>
      </c>
      <c r="K776">
        <v>2</v>
      </c>
    </row>
    <row r="777" spans="1:11" x14ac:dyDescent="0.35">
      <c r="A777" t="s">
        <v>814</v>
      </c>
      <c r="B777">
        <v>49</v>
      </c>
      <c r="C777" t="s">
        <v>12</v>
      </c>
      <c r="D777" t="s">
        <v>19</v>
      </c>
      <c r="E777">
        <v>13</v>
      </c>
      <c r="F777" t="s">
        <v>33</v>
      </c>
      <c r="G777" t="s">
        <v>23</v>
      </c>
      <c r="H777" s="1">
        <v>68.53</v>
      </c>
      <c r="I777" t="s">
        <v>24</v>
      </c>
      <c r="J777">
        <v>0</v>
      </c>
      <c r="K777">
        <v>6</v>
      </c>
    </row>
    <row r="778" spans="1:11" x14ac:dyDescent="0.35">
      <c r="A778" t="s">
        <v>815</v>
      </c>
      <c r="B778">
        <v>61</v>
      </c>
      <c r="C778" t="s">
        <v>18</v>
      </c>
      <c r="D778" t="s">
        <v>19</v>
      </c>
      <c r="E778">
        <v>22</v>
      </c>
      <c r="F778" t="s">
        <v>33</v>
      </c>
      <c r="G778" t="s">
        <v>37</v>
      </c>
      <c r="H778" s="1">
        <v>203.45</v>
      </c>
      <c r="I778" t="s">
        <v>24</v>
      </c>
      <c r="J778">
        <v>2</v>
      </c>
      <c r="K778">
        <v>2</v>
      </c>
    </row>
    <row r="779" spans="1:11" x14ac:dyDescent="0.35">
      <c r="A779" t="s">
        <v>816</v>
      </c>
      <c r="B779">
        <v>72</v>
      </c>
      <c r="C779" t="s">
        <v>18</v>
      </c>
      <c r="D779" t="s">
        <v>120</v>
      </c>
      <c r="E779">
        <v>12</v>
      </c>
      <c r="F779" t="s">
        <v>33</v>
      </c>
      <c r="G779" t="s">
        <v>37</v>
      </c>
      <c r="H779" s="1">
        <v>218.32</v>
      </c>
      <c r="I779" t="s">
        <v>24</v>
      </c>
      <c r="J779">
        <v>0</v>
      </c>
      <c r="K779">
        <v>8</v>
      </c>
    </row>
    <row r="780" spans="1:11" x14ac:dyDescent="0.35">
      <c r="A780" t="s">
        <v>817</v>
      </c>
      <c r="B780">
        <v>19</v>
      </c>
      <c r="C780" t="s">
        <v>189</v>
      </c>
      <c r="D780" t="s">
        <v>120</v>
      </c>
      <c r="E780">
        <v>20</v>
      </c>
      <c r="F780" t="s">
        <v>22</v>
      </c>
      <c r="G780" t="s">
        <v>37</v>
      </c>
      <c r="H780" s="1">
        <v>120.68</v>
      </c>
      <c r="I780" t="s">
        <v>24</v>
      </c>
      <c r="J780">
        <v>2</v>
      </c>
      <c r="K780">
        <v>2</v>
      </c>
    </row>
    <row r="781" spans="1:11" x14ac:dyDescent="0.35">
      <c r="A781" t="s">
        <v>818</v>
      </c>
      <c r="B781">
        <v>55</v>
      </c>
      <c r="C781" t="s">
        <v>12</v>
      </c>
      <c r="D781" t="s">
        <v>19</v>
      </c>
      <c r="E781">
        <v>9</v>
      </c>
      <c r="F781" t="s">
        <v>22</v>
      </c>
      <c r="G781" t="s">
        <v>37</v>
      </c>
      <c r="H781" s="1">
        <v>122.03</v>
      </c>
      <c r="I781" t="s">
        <v>24</v>
      </c>
      <c r="J781">
        <v>1</v>
      </c>
      <c r="K781">
        <v>6</v>
      </c>
    </row>
    <row r="782" spans="1:11" x14ac:dyDescent="0.35">
      <c r="A782" t="s">
        <v>819</v>
      </c>
      <c r="B782">
        <v>85</v>
      </c>
      <c r="C782" t="s">
        <v>12</v>
      </c>
      <c r="D782" t="s">
        <v>19</v>
      </c>
      <c r="E782">
        <v>23</v>
      </c>
      <c r="F782" t="s">
        <v>22</v>
      </c>
      <c r="G782" t="s">
        <v>23</v>
      </c>
      <c r="H782" s="1">
        <v>418.28</v>
      </c>
      <c r="I782" t="s">
        <v>43</v>
      </c>
      <c r="J782">
        <v>4</v>
      </c>
      <c r="K782">
        <v>4</v>
      </c>
    </row>
    <row r="783" spans="1:11" x14ac:dyDescent="0.35">
      <c r="A783" t="s">
        <v>820</v>
      </c>
      <c r="B783">
        <v>82</v>
      </c>
      <c r="C783" t="s">
        <v>12</v>
      </c>
      <c r="D783" t="s">
        <v>19</v>
      </c>
      <c r="E783">
        <v>21</v>
      </c>
      <c r="F783" t="s">
        <v>26</v>
      </c>
      <c r="G783" t="s">
        <v>37</v>
      </c>
      <c r="H783" s="1">
        <v>185.41</v>
      </c>
      <c r="I783" t="s">
        <v>24</v>
      </c>
      <c r="J783">
        <v>2</v>
      </c>
      <c r="K783">
        <v>3</v>
      </c>
    </row>
    <row r="784" spans="1:11" x14ac:dyDescent="0.35">
      <c r="A784" t="s">
        <v>821</v>
      </c>
      <c r="B784">
        <v>73</v>
      </c>
      <c r="C784" t="s">
        <v>12</v>
      </c>
      <c r="D784" t="s">
        <v>57</v>
      </c>
      <c r="E784">
        <v>27</v>
      </c>
      <c r="F784" t="s">
        <v>26</v>
      </c>
      <c r="G784" t="s">
        <v>15</v>
      </c>
      <c r="H784" s="1">
        <v>440.44</v>
      </c>
      <c r="I784" t="s">
        <v>24</v>
      </c>
      <c r="J784">
        <v>2</v>
      </c>
      <c r="K784">
        <v>3</v>
      </c>
    </row>
    <row r="785" spans="1:11" x14ac:dyDescent="0.35">
      <c r="A785" t="s">
        <v>822</v>
      </c>
      <c r="B785">
        <v>65</v>
      </c>
      <c r="C785" t="s">
        <v>18</v>
      </c>
      <c r="D785" t="s">
        <v>19</v>
      </c>
      <c r="E785">
        <v>22</v>
      </c>
      <c r="F785" t="s">
        <v>22</v>
      </c>
      <c r="G785" t="s">
        <v>37</v>
      </c>
      <c r="H785" s="1">
        <v>167.93</v>
      </c>
      <c r="I785" t="s">
        <v>24</v>
      </c>
      <c r="J785">
        <v>1</v>
      </c>
      <c r="K785">
        <v>5</v>
      </c>
    </row>
    <row r="786" spans="1:11" x14ac:dyDescent="0.35">
      <c r="A786" t="s">
        <v>823</v>
      </c>
      <c r="B786">
        <v>80</v>
      </c>
      <c r="C786" t="s">
        <v>18</v>
      </c>
      <c r="D786" t="s">
        <v>19</v>
      </c>
      <c r="E786">
        <v>13</v>
      </c>
      <c r="F786" t="s">
        <v>22</v>
      </c>
      <c r="G786" t="s">
        <v>23</v>
      </c>
      <c r="H786" s="1">
        <v>580.96</v>
      </c>
      <c r="I786" t="s">
        <v>24</v>
      </c>
      <c r="J786">
        <v>1</v>
      </c>
      <c r="K786">
        <v>5</v>
      </c>
    </row>
    <row r="787" spans="1:11" x14ac:dyDescent="0.35">
      <c r="A787" t="s">
        <v>824</v>
      </c>
      <c r="B787">
        <v>30</v>
      </c>
      <c r="C787" t="s">
        <v>12</v>
      </c>
      <c r="D787" t="s">
        <v>21</v>
      </c>
      <c r="E787">
        <v>25</v>
      </c>
      <c r="F787" t="s">
        <v>33</v>
      </c>
      <c r="G787" t="s">
        <v>27</v>
      </c>
      <c r="H787" s="1">
        <v>28.95</v>
      </c>
      <c r="I787" t="s">
        <v>24</v>
      </c>
      <c r="J787">
        <v>1</v>
      </c>
      <c r="K787">
        <v>2</v>
      </c>
    </row>
    <row r="788" spans="1:11" x14ac:dyDescent="0.35">
      <c r="A788" t="s">
        <v>825</v>
      </c>
      <c r="B788">
        <v>29</v>
      </c>
      <c r="C788" t="s">
        <v>12</v>
      </c>
      <c r="D788" t="s">
        <v>41</v>
      </c>
      <c r="E788">
        <v>5</v>
      </c>
      <c r="F788" t="s">
        <v>33</v>
      </c>
      <c r="G788" t="s">
        <v>23</v>
      </c>
      <c r="H788" s="1">
        <v>417.77</v>
      </c>
      <c r="I788" t="s">
        <v>24</v>
      </c>
      <c r="J788">
        <v>2</v>
      </c>
      <c r="K788">
        <v>10</v>
      </c>
    </row>
    <row r="789" spans="1:11" x14ac:dyDescent="0.35">
      <c r="A789" t="s">
        <v>826</v>
      </c>
      <c r="B789">
        <v>28</v>
      </c>
      <c r="C789" t="s">
        <v>12</v>
      </c>
      <c r="D789" t="s">
        <v>19</v>
      </c>
      <c r="E789">
        <v>15</v>
      </c>
      <c r="F789" t="s">
        <v>33</v>
      </c>
      <c r="G789" t="s">
        <v>23</v>
      </c>
      <c r="H789" s="1">
        <v>207.11</v>
      </c>
      <c r="I789" t="s">
        <v>28</v>
      </c>
      <c r="J789">
        <v>0</v>
      </c>
      <c r="K789">
        <v>4</v>
      </c>
    </row>
    <row r="790" spans="1:11" x14ac:dyDescent="0.35">
      <c r="A790" t="s">
        <v>827</v>
      </c>
      <c r="B790">
        <v>64</v>
      </c>
      <c r="C790" t="s">
        <v>12</v>
      </c>
      <c r="D790" t="s">
        <v>21</v>
      </c>
      <c r="E790">
        <v>36</v>
      </c>
      <c r="F790" t="s">
        <v>31</v>
      </c>
      <c r="G790" t="s">
        <v>27</v>
      </c>
      <c r="H790" s="1">
        <v>125.38</v>
      </c>
      <c r="I790" t="s">
        <v>43</v>
      </c>
      <c r="J790">
        <v>2</v>
      </c>
      <c r="K790">
        <v>4</v>
      </c>
    </row>
    <row r="791" spans="1:11" x14ac:dyDescent="0.35">
      <c r="A791" t="s">
        <v>828</v>
      </c>
      <c r="B791">
        <v>69</v>
      </c>
      <c r="C791" t="s">
        <v>18</v>
      </c>
      <c r="D791" t="s">
        <v>13</v>
      </c>
      <c r="E791">
        <v>14</v>
      </c>
      <c r="F791" t="s">
        <v>22</v>
      </c>
      <c r="G791" t="s">
        <v>37</v>
      </c>
      <c r="H791" s="1">
        <v>100.03</v>
      </c>
      <c r="I791" t="s">
        <v>24</v>
      </c>
      <c r="J791">
        <v>2</v>
      </c>
      <c r="K791">
        <v>5</v>
      </c>
    </row>
    <row r="792" spans="1:11" x14ac:dyDescent="0.35">
      <c r="A792" t="s">
        <v>829</v>
      </c>
      <c r="B792">
        <v>68</v>
      </c>
      <c r="C792" t="s">
        <v>12</v>
      </c>
      <c r="D792" t="s">
        <v>19</v>
      </c>
      <c r="E792">
        <v>23</v>
      </c>
      <c r="F792" t="s">
        <v>33</v>
      </c>
      <c r="G792" t="s">
        <v>15</v>
      </c>
      <c r="H792" s="1">
        <v>287.69</v>
      </c>
      <c r="I792" t="s">
        <v>24</v>
      </c>
      <c r="J792">
        <v>0</v>
      </c>
      <c r="K792">
        <v>2</v>
      </c>
    </row>
    <row r="793" spans="1:11" x14ac:dyDescent="0.35">
      <c r="A793" t="s">
        <v>830</v>
      </c>
      <c r="B793">
        <v>61</v>
      </c>
      <c r="C793" t="s">
        <v>12</v>
      </c>
      <c r="D793" t="s">
        <v>30</v>
      </c>
      <c r="E793">
        <v>7</v>
      </c>
      <c r="F793" t="s">
        <v>33</v>
      </c>
      <c r="G793" t="s">
        <v>23</v>
      </c>
      <c r="H793" s="1">
        <v>376.26</v>
      </c>
      <c r="I793" t="s">
        <v>24</v>
      </c>
      <c r="J793">
        <v>0</v>
      </c>
      <c r="K793">
        <v>7</v>
      </c>
    </row>
    <row r="794" spans="1:11" x14ac:dyDescent="0.35">
      <c r="A794" t="s">
        <v>831</v>
      </c>
      <c r="B794">
        <v>54</v>
      </c>
      <c r="C794" t="s">
        <v>18</v>
      </c>
      <c r="D794" t="s">
        <v>13</v>
      </c>
      <c r="E794">
        <v>6</v>
      </c>
      <c r="F794" t="s">
        <v>22</v>
      </c>
      <c r="G794" t="s">
        <v>34</v>
      </c>
      <c r="H794" s="1">
        <v>146.57</v>
      </c>
      <c r="I794" t="s">
        <v>24</v>
      </c>
      <c r="J794">
        <v>2</v>
      </c>
      <c r="K794">
        <v>8</v>
      </c>
    </row>
    <row r="795" spans="1:11" x14ac:dyDescent="0.35">
      <c r="A795" t="s">
        <v>832</v>
      </c>
      <c r="B795">
        <v>31</v>
      </c>
      <c r="C795" t="s">
        <v>12</v>
      </c>
      <c r="D795" t="s">
        <v>19</v>
      </c>
      <c r="E795">
        <v>19</v>
      </c>
      <c r="F795" t="s">
        <v>14</v>
      </c>
      <c r="G795" t="s">
        <v>37</v>
      </c>
      <c r="H795" s="1">
        <v>0</v>
      </c>
      <c r="I795" t="s">
        <v>16</v>
      </c>
      <c r="J795">
        <v>1</v>
      </c>
      <c r="K795">
        <v>1</v>
      </c>
    </row>
    <row r="796" spans="1:11" x14ac:dyDescent="0.35">
      <c r="A796" t="s">
        <v>833</v>
      </c>
      <c r="B796">
        <v>34</v>
      </c>
      <c r="C796" t="s">
        <v>12</v>
      </c>
      <c r="D796" t="s">
        <v>19</v>
      </c>
      <c r="E796">
        <v>17</v>
      </c>
      <c r="F796" t="s">
        <v>14</v>
      </c>
      <c r="G796" t="s">
        <v>34</v>
      </c>
      <c r="H796" s="1">
        <v>0</v>
      </c>
      <c r="I796" t="s">
        <v>16</v>
      </c>
      <c r="J796">
        <v>0</v>
      </c>
      <c r="K796">
        <v>7</v>
      </c>
    </row>
    <row r="797" spans="1:11" x14ac:dyDescent="0.35">
      <c r="A797" t="s">
        <v>834</v>
      </c>
      <c r="B797">
        <v>45</v>
      </c>
      <c r="C797" t="s">
        <v>12</v>
      </c>
      <c r="D797" t="s">
        <v>19</v>
      </c>
      <c r="E797">
        <v>16</v>
      </c>
      <c r="F797" t="s">
        <v>26</v>
      </c>
      <c r="G797" t="s">
        <v>37</v>
      </c>
      <c r="H797" s="1">
        <v>155.16</v>
      </c>
      <c r="I797" t="s">
        <v>28</v>
      </c>
      <c r="J797">
        <v>0</v>
      </c>
      <c r="K797">
        <v>5</v>
      </c>
    </row>
    <row r="798" spans="1:11" x14ac:dyDescent="0.35">
      <c r="A798" t="s">
        <v>835</v>
      </c>
      <c r="B798">
        <v>58</v>
      </c>
      <c r="C798" t="s">
        <v>18</v>
      </c>
      <c r="D798" t="s">
        <v>30</v>
      </c>
      <c r="E798">
        <v>8</v>
      </c>
      <c r="F798" t="s">
        <v>22</v>
      </c>
      <c r="G798" t="s">
        <v>37</v>
      </c>
      <c r="H798" s="1">
        <v>131.59</v>
      </c>
      <c r="I798" t="s">
        <v>43</v>
      </c>
      <c r="J798">
        <v>0</v>
      </c>
      <c r="K798">
        <v>10</v>
      </c>
    </row>
    <row r="799" spans="1:11" x14ac:dyDescent="0.35">
      <c r="A799" t="s">
        <v>836</v>
      </c>
      <c r="B799">
        <v>26</v>
      </c>
      <c r="C799" t="s">
        <v>12</v>
      </c>
      <c r="D799" t="s">
        <v>244</v>
      </c>
      <c r="E799">
        <v>14</v>
      </c>
      <c r="F799" t="s">
        <v>33</v>
      </c>
      <c r="G799" t="s">
        <v>23</v>
      </c>
      <c r="H799" s="1">
        <v>197.99</v>
      </c>
      <c r="I799" t="s">
        <v>24</v>
      </c>
      <c r="J799">
        <v>2</v>
      </c>
      <c r="K799">
        <v>8</v>
      </c>
    </row>
    <row r="800" spans="1:11" x14ac:dyDescent="0.35">
      <c r="A800" t="s">
        <v>837</v>
      </c>
      <c r="B800">
        <v>56</v>
      </c>
      <c r="C800" t="s">
        <v>12</v>
      </c>
      <c r="D800" t="s">
        <v>19</v>
      </c>
      <c r="E800">
        <v>20</v>
      </c>
      <c r="F800" t="s">
        <v>14</v>
      </c>
      <c r="G800" t="s">
        <v>23</v>
      </c>
      <c r="H800" s="1">
        <v>0</v>
      </c>
      <c r="I800" t="s">
        <v>16</v>
      </c>
      <c r="J800">
        <v>0</v>
      </c>
      <c r="K800">
        <v>4</v>
      </c>
    </row>
    <row r="801" spans="1:11" x14ac:dyDescent="0.35">
      <c r="A801" t="s">
        <v>838</v>
      </c>
      <c r="B801">
        <v>31</v>
      </c>
      <c r="C801" t="s">
        <v>18</v>
      </c>
      <c r="D801" t="s">
        <v>30</v>
      </c>
      <c r="E801">
        <v>2</v>
      </c>
      <c r="F801" t="s">
        <v>26</v>
      </c>
      <c r="G801" t="s">
        <v>37</v>
      </c>
      <c r="H801" s="1">
        <v>102.24</v>
      </c>
      <c r="I801" t="s">
        <v>28</v>
      </c>
      <c r="J801">
        <v>2</v>
      </c>
      <c r="K801">
        <v>10</v>
      </c>
    </row>
    <row r="802" spans="1:11" x14ac:dyDescent="0.35">
      <c r="A802" t="s">
        <v>839</v>
      </c>
      <c r="B802">
        <v>33</v>
      </c>
      <c r="C802" t="s">
        <v>12</v>
      </c>
      <c r="D802" t="s">
        <v>21</v>
      </c>
      <c r="E802">
        <v>36</v>
      </c>
      <c r="F802" t="s">
        <v>26</v>
      </c>
      <c r="G802" t="s">
        <v>34</v>
      </c>
      <c r="H802" s="1">
        <v>154.22</v>
      </c>
      <c r="I802" t="s">
        <v>24</v>
      </c>
      <c r="J802">
        <v>1</v>
      </c>
      <c r="K802">
        <v>1</v>
      </c>
    </row>
    <row r="803" spans="1:11" x14ac:dyDescent="0.35">
      <c r="A803" t="s">
        <v>840</v>
      </c>
      <c r="B803">
        <v>82</v>
      </c>
      <c r="C803" t="s">
        <v>12</v>
      </c>
      <c r="D803" t="s">
        <v>30</v>
      </c>
      <c r="E803">
        <v>11</v>
      </c>
      <c r="F803" t="s">
        <v>22</v>
      </c>
      <c r="G803" t="s">
        <v>27</v>
      </c>
      <c r="H803" s="1">
        <v>127.94</v>
      </c>
      <c r="I803" t="s">
        <v>24</v>
      </c>
      <c r="J803">
        <v>0</v>
      </c>
      <c r="K803">
        <v>6</v>
      </c>
    </row>
    <row r="804" spans="1:11" x14ac:dyDescent="0.35">
      <c r="A804" t="s">
        <v>841</v>
      </c>
      <c r="B804">
        <v>21</v>
      </c>
      <c r="C804" t="s">
        <v>18</v>
      </c>
      <c r="D804" t="s">
        <v>19</v>
      </c>
      <c r="E804">
        <v>11</v>
      </c>
      <c r="F804" t="s">
        <v>33</v>
      </c>
      <c r="G804" t="s">
        <v>15</v>
      </c>
      <c r="H804" s="1">
        <v>310.2</v>
      </c>
      <c r="I804" t="s">
        <v>24</v>
      </c>
      <c r="J804">
        <v>1</v>
      </c>
      <c r="K804">
        <v>8</v>
      </c>
    </row>
    <row r="805" spans="1:11" x14ac:dyDescent="0.35">
      <c r="A805" t="s">
        <v>842</v>
      </c>
      <c r="B805">
        <v>32</v>
      </c>
      <c r="C805" t="s">
        <v>12</v>
      </c>
      <c r="D805" t="s">
        <v>30</v>
      </c>
      <c r="E805">
        <v>11</v>
      </c>
      <c r="F805" t="s">
        <v>22</v>
      </c>
      <c r="G805" t="s">
        <v>27</v>
      </c>
      <c r="H805" s="1">
        <v>18.850000000000001</v>
      </c>
      <c r="I805" t="s">
        <v>24</v>
      </c>
      <c r="J805">
        <v>0</v>
      </c>
      <c r="K805">
        <v>6</v>
      </c>
    </row>
    <row r="806" spans="1:11" x14ac:dyDescent="0.35">
      <c r="A806" t="s">
        <v>843</v>
      </c>
      <c r="B806">
        <v>79</v>
      </c>
      <c r="C806" t="s">
        <v>12</v>
      </c>
      <c r="D806" t="s">
        <v>13</v>
      </c>
      <c r="E806">
        <v>17</v>
      </c>
      <c r="F806" t="s">
        <v>31</v>
      </c>
      <c r="G806" t="s">
        <v>23</v>
      </c>
      <c r="H806" s="1">
        <v>372.26</v>
      </c>
      <c r="I806" t="s">
        <v>24</v>
      </c>
      <c r="J806">
        <v>1</v>
      </c>
      <c r="K806">
        <v>6</v>
      </c>
    </row>
    <row r="807" spans="1:11" x14ac:dyDescent="0.35">
      <c r="A807" t="s">
        <v>844</v>
      </c>
      <c r="B807">
        <v>25</v>
      </c>
      <c r="C807" t="s">
        <v>12</v>
      </c>
      <c r="D807" t="s">
        <v>19</v>
      </c>
      <c r="E807">
        <v>17</v>
      </c>
      <c r="F807" t="s">
        <v>31</v>
      </c>
      <c r="G807" t="s">
        <v>15</v>
      </c>
      <c r="H807" s="1">
        <v>97.61</v>
      </c>
      <c r="I807" t="s">
        <v>24</v>
      </c>
      <c r="J807">
        <v>2</v>
      </c>
      <c r="K807">
        <v>4</v>
      </c>
    </row>
    <row r="808" spans="1:11" x14ac:dyDescent="0.35">
      <c r="A808" t="s">
        <v>845</v>
      </c>
      <c r="B808">
        <v>74</v>
      </c>
      <c r="C808" t="s">
        <v>18</v>
      </c>
      <c r="D808" t="s">
        <v>57</v>
      </c>
      <c r="E808">
        <v>16</v>
      </c>
      <c r="F808" t="s">
        <v>26</v>
      </c>
      <c r="G808" t="s">
        <v>37</v>
      </c>
      <c r="H808" s="1">
        <v>131.32</v>
      </c>
      <c r="I808" t="s">
        <v>24</v>
      </c>
      <c r="J808">
        <v>2</v>
      </c>
      <c r="K808">
        <v>6</v>
      </c>
    </row>
    <row r="809" spans="1:11" x14ac:dyDescent="0.35">
      <c r="A809" t="s">
        <v>846</v>
      </c>
      <c r="B809">
        <v>65</v>
      </c>
      <c r="C809" t="s">
        <v>12</v>
      </c>
      <c r="D809" t="s">
        <v>19</v>
      </c>
      <c r="E809">
        <v>23</v>
      </c>
      <c r="F809" t="s">
        <v>22</v>
      </c>
      <c r="G809" t="s">
        <v>34</v>
      </c>
      <c r="H809" s="1">
        <v>116.06</v>
      </c>
      <c r="I809" t="s">
        <v>28</v>
      </c>
      <c r="J809">
        <v>2</v>
      </c>
      <c r="K809">
        <v>1</v>
      </c>
    </row>
    <row r="810" spans="1:11" x14ac:dyDescent="0.35">
      <c r="A810" t="s">
        <v>847</v>
      </c>
      <c r="B810">
        <v>76</v>
      </c>
      <c r="C810" t="s">
        <v>12</v>
      </c>
      <c r="D810" t="s">
        <v>19</v>
      </c>
      <c r="E810">
        <v>7</v>
      </c>
      <c r="F810" t="s">
        <v>31</v>
      </c>
      <c r="G810" t="s">
        <v>27</v>
      </c>
      <c r="H810" s="1">
        <v>37.270000000000003</v>
      </c>
      <c r="I810" t="s">
        <v>24</v>
      </c>
      <c r="J810">
        <v>0</v>
      </c>
      <c r="K810">
        <v>9</v>
      </c>
    </row>
    <row r="811" spans="1:11" x14ac:dyDescent="0.35">
      <c r="A811" t="s">
        <v>848</v>
      </c>
      <c r="B811">
        <v>19</v>
      </c>
      <c r="C811" t="s">
        <v>12</v>
      </c>
      <c r="D811" t="s">
        <v>19</v>
      </c>
      <c r="E811">
        <v>10</v>
      </c>
      <c r="F811" t="s">
        <v>22</v>
      </c>
      <c r="G811" t="s">
        <v>27</v>
      </c>
      <c r="H811" s="1">
        <v>31.35</v>
      </c>
      <c r="I811" t="s">
        <v>24</v>
      </c>
      <c r="J811">
        <v>1</v>
      </c>
      <c r="K811">
        <v>6</v>
      </c>
    </row>
    <row r="812" spans="1:11" x14ac:dyDescent="0.35">
      <c r="A812" t="s">
        <v>849</v>
      </c>
      <c r="B812">
        <v>47</v>
      </c>
      <c r="C812" t="s">
        <v>18</v>
      </c>
      <c r="D812" t="s">
        <v>30</v>
      </c>
      <c r="E812">
        <v>3</v>
      </c>
      <c r="F812" t="s">
        <v>26</v>
      </c>
      <c r="G812" t="s">
        <v>37</v>
      </c>
      <c r="H812" s="1">
        <v>214.49</v>
      </c>
      <c r="I812" t="s">
        <v>28</v>
      </c>
      <c r="J812">
        <v>0</v>
      </c>
      <c r="K812">
        <v>8</v>
      </c>
    </row>
    <row r="813" spans="1:11" x14ac:dyDescent="0.35">
      <c r="A813" t="s">
        <v>850</v>
      </c>
      <c r="B813">
        <v>62</v>
      </c>
      <c r="C813" t="s">
        <v>12</v>
      </c>
      <c r="D813" t="s">
        <v>19</v>
      </c>
      <c r="E813">
        <v>17</v>
      </c>
      <c r="F813" t="s">
        <v>33</v>
      </c>
      <c r="G813" t="s">
        <v>23</v>
      </c>
      <c r="H813" s="1">
        <v>150.58000000000001</v>
      </c>
      <c r="I813" t="s">
        <v>24</v>
      </c>
      <c r="J813">
        <v>3</v>
      </c>
      <c r="K813">
        <v>5</v>
      </c>
    </row>
    <row r="814" spans="1:11" x14ac:dyDescent="0.35">
      <c r="A814" t="s">
        <v>851</v>
      </c>
      <c r="B814">
        <v>79</v>
      </c>
      <c r="C814" t="s">
        <v>12</v>
      </c>
      <c r="D814" t="s">
        <v>19</v>
      </c>
      <c r="E814">
        <v>22</v>
      </c>
      <c r="F814" t="s">
        <v>14</v>
      </c>
      <c r="G814" t="s">
        <v>37</v>
      </c>
      <c r="H814" s="1">
        <v>0</v>
      </c>
      <c r="I814" t="s">
        <v>16</v>
      </c>
      <c r="J814">
        <v>2</v>
      </c>
      <c r="K814">
        <v>2</v>
      </c>
    </row>
    <row r="815" spans="1:11" x14ac:dyDescent="0.35">
      <c r="A815" t="s">
        <v>852</v>
      </c>
      <c r="B815">
        <v>72</v>
      </c>
      <c r="C815" t="s">
        <v>12</v>
      </c>
      <c r="D815" t="s">
        <v>21</v>
      </c>
      <c r="E815">
        <v>33</v>
      </c>
      <c r="F815" t="s">
        <v>22</v>
      </c>
      <c r="G815" t="s">
        <v>37</v>
      </c>
      <c r="H815" s="1">
        <v>136.72</v>
      </c>
      <c r="I815" t="s">
        <v>43</v>
      </c>
      <c r="J815">
        <v>4</v>
      </c>
      <c r="K815">
        <v>1</v>
      </c>
    </row>
    <row r="816" spans="1:11" x14ac:dyDescent="0.35">
      <c r="A816" t="s">
        <v>853</v>
      </c>
      <c r="B816">
        <v>19</v>
      </c>
      <c r="C816" t="s">
        <v>18</v>
      </c>
      <c r="D816" t="s">
        <v>19</v>
      </c>
      <c r="E816">
        <v>18</v>
      </c>
      <c r="F816" t="s">
        <v>33</v>
      </c>
      <c r="G816" t="s">
        <v>37</v>
      </c>
      <c r="H816" s="1">
        <v>135.04</v>
      </c>
      <c r="I816" t="s">
        <v>24</v>
      </c>
      <c r="J816">
        <v>1</v>
      </c>
      <c r="K816">
        <v>4</v>
      </c>
    </row>
    <row r="817" spans="1:11" x14ac:dyDescent="0.35">
      <c r="A817" t="s">
        <v>854</v>
      </c>
      <c r="B817">
        <v>65</v>
      </c>
      <c r="C817" t="s">
        <v>12</v>
      </c>
      <c r="D817" t="s">
        <v>13</v>
      </c>
      <c r="E817">
        <v>11</v>
      </c>
      <c r="F817" t="s">
        <v>26</v>
      </c>
      <c r="G817" t="s">
        <v>37</v>
      </c>
      <c r="H817" s="1">
        <v>205.07</v>
      </c>
      <c r="I817" t="s">
        <v>24</v>
      </c>
      <c r="J817">
        <v>3</v>
      </c>
      <c r="K817">
        <v>5</v>
      </c>
    </row>
    <row r="818" spans="1:11" x14ac:dyDescent="0.35">
      <c r="A818" t="s">
        <v>855</v>
      </c>
      <c r="B818">
        <v>76</v>
      </c>
      <c r="C818" t="s">
        <v>12</v>
      </c>
      <c r="D818" t="s">
        <v>30</v>
      </c>
      <c r="E818">
        <v>8</v>
      </c>
      <c r="F818" t="s">
        <v>22</v>
      </c>
      <c r="G818" t="s">
        <v>37</v>
      </c>
      <c r="H818" s="1">
        <v>177.57</v>
      </c>
      <c r="I818" t="s">
        <v>24</v>
      </c>
      <c r="J818">
        <v>0</v>
      </c>
      <c r="K818">
        <v>8</v>
      </c>
    </row>
    <row r="819" spans="1:11" x14ac:dyDescent="0.35">
      <c r="A819" t="s">
        <v>856</v>
      </c>
      <c r="B819">
        <v>46</v>
      </c>
      <c r="C819" t="s">
        <v>12</v>
      </c>
      <c r="D819" t="s">
        <v>21</v>
      </c>
      <c r="E819">
        <v>37</v>
      </c>
      <c r="F819" t="s">
        <v>26</v>
      </c>
      <c r="G819" t="s">
        <v>23</v>
      </c>
      <c r="H819" s="1">
        <v>460.24</v>
      </c>
      <c r="I819" t="s">
        <v>24</v>
      </c>
      <c r="J819">
        <v>3</v>
      </c>
      <c r="K819">
        <v>3</v>
      </c>
    </row>
    <row r="820" spans="1:11" x14ac:dyDescent="0.35">
      <c r="A820" t="s">
        <v>857</v>
      </c>
      <c r="B820">
        <v>46</v>
      </c>
      <c r="C820" t="s">
        <v>18</v>
      </c>
      <c r="D820" t="s">
        <v>19</v>
      </c>
      <c r="E820">
        <v>7</v>
      </c>
      <c r="F820" t="s">
        <v>31</v>
      </c>
      <c r="G820" t="s">
        <v>23</v>
      </c>
      <c r="H820" s="1">
        <v>426.73</v>
      </c>
      <c r="I820" t="s">
        <v>24</v>
      </c>
      <c r="J820">
        <v>2</v>
      </c>
      <c r="K820">
        <v>10</v>
      </c>
    </row>
    <row r="821" spans="1:11" x14ac:dyDescent="0.35">
      <c r="A821" t="s">
        <v>858</v>
      </c>
      <c r="B821">
        <v>76</v>
      </c>
      <c r="C821" t="s">
        <v>18</v>
      </c>
      <c r="D821" t="s">
        <v>19</v>
      </c>
      <c r="E821">
        <v>8</v>
      </c>
      <c r="F821" t="s">
        <v>22</v>
      </c>
      <c r="G821" t="s">
        <v>23</v>
      </c>
      <c r="H821" s="1">
        <v>354.56</v>
      </c>
      <c r="I821" t="s">
        <v>24</v>
      </c>
      <c r="J821">
        <v>2</v>
      </c>
      <c r="K821">
        <v>7</v>
      </c>
    </row>
    <row r="822" spans="1:11" x14ac:dyDescent="0.35">
      <c r="A822" t="s">
        <v>859</v>
      </c>
      <c r="B822">
        <v>31</v>
      </c>
      <c r="C822" t="s">
        <v>18</v>
      </c>
      <c r="D822" t="s">
        <v>13</v>
      </c>
      <c r="E822">
        <v>13</v>
      </c>
      <c r="F822" t="s">
        <v>22</v>
      </c>
      <c r="G822" t="s">
        <v>34</v>
      </c>
      <c r="H822" s="1">
        <v>178.16</v>
      </c>
      <c r="I822" t="s">
        <v>43</v>
      </c>
      <c r="J822">
        <v>1</v>
      </c>
      <c r="K822">
        <v>7</v>
      </c>
    </row>
    <row r="823" spans="1:11" x14ac:dyDescent="0.35">
      <c r="A823" t="s">
        <v>860</v>
      </c>
      <c r="B823">
        <v>21</v>
      </c>
      <c r="C823" t="s">
        <v>12</v>
      </c>
      <c r="D823" t="s">
        <v>19</v>
      </c>
      <c r="E823">
        <v>8</v>
      </c>
      <c r="F823" t="s">
        <v>22</v>
      </c>
      <c r="G823" t="s">
        <v>34</v>
      </c>
      <c r="H823" s="1">
        <v>120.98</v>
      </c>
      <c r="I823" t="s">
        <v>24</v>
      </c>
      <c r="J823">
        <v>0</v>
      </c>
      <c r="K823">
        <v>10</v>
      </c>
    </row>
    <row r="824" spans="1:11" x14ac:dyDescent="0.35">
      <c r="A824" t="s">
        <v>861</v>
      </c>
      <c r="B824">
        <v>37</v>
      </c>
      <c r="C824" t="s">
        <v>12</v>
      </c>
      <c r="D824" t="s">
        <v>19</v>
      </c>
      <c r="E824">
        <v>20</v>
      </c>
      <c r="F824" t="s">
        <v>14</v>
      </c>
      <c r="G824" t="s">
        <v>34</v>
      </c>
      <c r="H824" s="1">
        <v>0</v>
      </c>
      <c r="I824" t="s">
        <v>16</v>
      </c>
      <c r="J824">
        <v>4</v>
      </c>
      <c r="K824">
        <v>5</v>
      </c>
    </row>
    <row r="825" spans="1:11" x14ac:dyDescent="0.35">
      <c r="A825" t="s">
        <v>862</v>
      </c>
      <c r="B825">
        <v>41</v>
      </c>
      <c r="C825" t="s">
        <v>18</v>
      </c>
      <c r="D825" t="s">
        <v>19</v>
      </c>
      <c r="E825">
        <v>19</v>
      </c>
      <c r="F825" t="s">
        <v>14</v>
      </c>
      <c r="G825" t="s">
        <v>15</v>
      </c>
      <c r="H825" s="1">
        <v>0</v>
      </c>
      <c r="I825" t="s">
        <v>16</v>
      </c>
      <c r="J825">
        <v>4</v>
      </c>
      <c r="K825">
        <v>3</v>
      </c>
    </row>
    <row r="826" spans="1:11" x14ac:dyDescent="0.35">
      <c r="A826" t="s">
        <v>863</v>
      </c>
      <c r="B826">
        <v>24</v>
      </c>
      <c r="C826" t="s">
        <v>12</v>
      </c>
      <c r="D826" t="s">
        <v>19</v>
      </c>
      <c r="E826">
        <v>21</v>
      </c>
      <c r="F826" t="s">
        <v>22</v>
      </c>
      <c r="G826" t="s">
        <v>15</v>
      </c>
      <c r="H826" s="1">
        <v>406.54</v>
      </c>
      <c r="I826" t="s">
        <v>24</v>
      </c>
      <c r="J826">
        <v>0</v>
      </c>
      <c r="K826">
        <v>4</v>
      </c>
    </row>
    <row r="827" spans="1:11" x14ac:dyDescent="0.35">
      <c r="A827" t="s">
        <v>864</v>
      </c>
      <c r="B827">
        <v>71</v>
      </c>
      <c r="C827" t="s">
        <v>18</v>
      </c>
      <c r="D827" t="s">
        <v>19</v>
      </c>
      <c r="E827">
        <v>18</v>
      </c>
      <c r="F827" t="s">
        <v>22</v>
      </c>
      <c r="G827" t="s">
        <v>15</v>
      </c>
      <c r="H827" s="1">
        <v>431.28</v>
      </c>
      <c r="I827" t="s">
        <v>24</v>
      </c>
      <c r="J827">
        <v>1</v>
      </c>
      <c r="K827">
        <v>7</v>
      </c>
    </row>
    <row r="828" spans="1:11" x14ac:dyDescent="0.35">
      <c r="A828" t="s">
        <v>865</v>
      </c>
      <c r="B828">
        <v>73</v>
      </c>
      <c r="C828" t="s">
        <v>12</v>
      </c>
      <c r="D828" t="s">
        <v>13</v>
      </c>
      <c r="E828">
        <v>19</v>
      </c>
      <c r="F828" t="s">
        <v>31</v>
      </c>
      <c r="G828" t="s">
        <v>37</v>
      </c>
      <c r="H828" s="1">
        <v>168.87</v>
      </c>
      <c r="I828" t="s">
        <v>24</v>
      </c>
      <c r="J828">
        <v>0</v>
      </c>
      <c r="K828">
        <v>5</v>
      </c>
    </row>
    <row r="829" spans="1:11" x14ac:dyDescent="0.35">
      <c r="A829" t="s">
        <v>866</v>
      </c>
      <c r="B829">
        <v>79</v>
      </c>
      <c r="C829" t="s">
        <v>18</v>
      </c>
      <c r="D829" t="s">
        <v>19</v>
      </c>
      <c r="E829">
        <v>12</v>
      </c>
      <c r="F829" t="s">
        <v>33</v>
      </c>
      <c r="G829" t="s">
        <v>15</v>
      </c>
      <c r="H829" s="1">
        <v>277.54000000000002</v>
      </c>
      <c r="I829" t="s">
        <v>24</v>
      </c>
      <c r="J829">
        <v>0</v>
      </c>
      <c r="K829">
        <v>4</v>
      </c>
    </row>
    <row r="830" spans="1:11" x14ac:dyDescent="0.35">
      <c r="A830" t="s">
        <v>867</v>
      </c>
      <c r="B830">
        <v>53</v>
      </c>
      <c r="C830" t="s">
        <v>18</v>
      </c>
      <c r="D830" t="s">
        <v>41</v>
      </c>
      <c r="E830">
        <v>11</v>
      </c>
      <c r="F830" t="s">
        <v>22</v>
      </c>
      <c r="G830" t="s">
        <v>15</v>
      </c>
      <c r="H830" s="1">
        <v>352.98</v>
      </c>
      <c r="I830" t="s">
        <v>24</v>
      </c>
      <c r="J830">
        <v>2</v>
      </c>
      <c r="K830">
        <v>8</v>
      </c>
    </row>
    <row r="831" spans="1:11" x14ac:dyDescent="0.35">
      <c r="A831" t="s">
        <v>868</v>
      </c>
      <c r="B831">
        <v>54</v>
      </c>
      <c r="C831" t="s">
        <v>18</v>
      </c>
      <c r="D831" t="s">
        <v>19</v>
      </c>
      <c r="E831">
        <v>13</v>
      </c>
      <c r="F831" t="s">
        <v>31</v>
      </c>
      <c r="G831" t="s">
        <v>23</v>
      </c>
      <c r="H831" s="1">
        <v>572.98</v>
      </c>
      <c r="I831" t="s">
        <v>24</v>
      </c>
      <c r="J831">
        <v>1</v>
      </c>
      <c r="K831">
        <v>7</v>
      </c>
    </row>
    <row r="832" spans="1:11" x14ac:dyDescent="0.35">
      <c r="A832" t="s">
        <v>869</v>
      </c>
      <c r="B832">
        <v>28</v>
      </c>
      <c r="C832" t="s">
        <v>12</v>
      </c>
      <c r="D832" t="s">
        <v>200</v>
      </c>
      <c r="E832">
        <v>10</v>
      </c>
      <c r="F832" t="s">
        <v>22</v>
      </c>
      <c r="G832" t="s">
        <v>15</v>
      </c>
      <c r="H832" s="1">
        <v>262.5</v>
      </c>
      <c r="I832" t="s">
        <v>28</v>
      </c>
      <c r="J832">
        <v>2</v>
      </c>
      <c r="K832">
        <v>7</v>
      </c>
    </row>
    <row r="833" spans="1:11" x14ac:dyDescent="0.35">
      <c r="A833" t="s">
        <v>870</v>
      </c>
      <c r="B833">
        <v>51</v>
      </c>
      <c r="C833" t="s">
        <v>12</v>
      </c>
      <c r="D833" t="s">
        <v>21</v>
      </c>
      <c r="E833">
        <v>29</v>
      </c>
      <c r="F833" t="s">
        <v>31</v>
      </c>
      <c r="G833" t="s">
        <v>23</v>
      </c>
      <c r="H833" s="1">
        <v>470.95</v>
      </c>
      <c r="I833" t="s">
        <v>24</v>
      </c>
      <c r="J833">
        <v>4</v>
      </c>
      <c r="K833">
        <v>4</v>
      </c>
    </row>
    <row r="834" spans="1:11" x14ac:dyDescent="0.35">
      <c r="A834" t="s">
        <v>871</v>
      </c>
      <c r="B834">
        <v>22</v>
      </c>
      <c r="C834" t="s">
        <v>18</v>
      </c>
      <c r="D834" t="s">
        <v>13</v>
      </c>
      <c r="E834">
        <v>8</v>
      </c>
      <c r="F834" t="s">
        <v>26</v>
      </c>
      <c r="G834" t="s">
        <v>15</v>
      </c>
      <c r="H834" s="1">
        <v>322.56</v>
      </c>
      <c r="I834" t="s">
        <v>24</v>
      </c>
      <c r="J834">
        <v>1</v>
      </c>
      <c r="K834">
        <v>7</v>
      </c>
    </row>
    <row r="835" spans="1:11" x14ac:dyDescent="0.35">
      <c r="A835" t="s">
        <v>872</v>
      </c>
      <c r="B835">
        <v>45</v>
      </c>
      <c r="C835" t="s">
        <v>12</v>
      </c>
      <c r="D835" t="s">
        <v>19</v>
      </c>
      <c r="E835">
        <v>24</v>
      </c>
      <c r="F835" t="s">
        <v>31</v>
      </c>
      <c r="G835" t="s">
        <v>23</v>
      </c>
      <c r="H835" s="1">
        <v>224.3</v>
      </c>
      <c r="I835" t="s">
        <v>24</v>
      </c>
      <c r="J835">
        <v>3</v>
      </c>
      <c r="K835">
        <v>2</v>
      </c>
    </row>
    <row r="836" spans="1:11" x14ac:dyDescent="0.35">
      <c r="A836" t="s">
        <v>873</v>
      </c>
      <c r="B836">
        <v>83</v>
      </c>
      <c r="C836" t="s">
        <v>12</v>
      </c>
      <c r="D836" t="s">
        <v>19</v>
      </c>
      <c r="E836">
        <v>22</v>
      </c>
      <c r="F836" t="s">
        <v>22</v>
      </c>
      <c r="G836" t="s">
        <v>15</v>
      </c>
      <c r="H836" s="1">
        <v>236.98</v>
      </c>
      <c r="I836" t="s">
        <v>24</v>
      </c>
      <c r="J836">
        <v>0</v>
      </c>
      <c r="K836">
        <v>3</v>
      </c>
    </row>
    <row r="837" spans="1:11" x14ac:dyDescent="0.35">
      <c r="A837" t="s">
        <v>874</v>
      </c>
      <c r="B837">
        <v>21</v>
      </c>
      <c r="C837" t="s">
        <v>12</v>
      </c>
      <c r="D837" t="s">
        <v>13</v>
      </c>
      <c r="E837">
        <v>12</v>
      </c>
      <c r="F837" t="s">
        <v>22</v>
      </c>
      <c r="G837" t="s">
        <v>27</v>
      </c>
      <c r="H837" s="1">
        <v>72.680000000000007</v>
      </c>
      <c r="I837" t="s">
        <v>24</v>
      </c>
      <c r="J837">
        <v>2</v>
      </c>
      <c r="K837">
        <v>4</v>
      </c>
    </row>
    <row r="838" spans="1:11" x14ac:dyDescent="0.35">
      <c r="A838" t="s">
        <v>875</v>
      </c>
      <c r="B838">
        <v>22</v>
      </c>
      <c r="C838" t="s">
        <v>18</v>
      </c>
      <c r="D838" t="s">
        <v>19</v>
      </c>
      <c r="E838">
        <v>10</v>
      </c>
      <c r="F838" t="s">
        <v>33</v>
      </c>
      <c r="G838" t="s">
        <v>34</v>
      </c>
      <c r="H838" s="1">
        <v>110.89</v>
      </c>
      <c r="I838" t="s">
        <v>24</v>
      </c>
      <c r="J838">
        <v>1</v>
      </c>
      <c r="K838">
        <v>5</v>
      </c>
    </row>
    <row r="839" spans="1:11" x14ac:dyDescent="0.35">
      <c r="A839" t="s">
        <v>876</v>
      </c>
      <c r="B839">
        <v>49</v>
      </c>
      <c r="C839" t="s">
        <v>12</v>
      </c>
      <c r="D839" t="s">
        <v>200</v>
      </c>
      <c r="E839">
        <v>7</v>
      </c>
      <c r="F839" t="s">
        <v>31</v>
      </c>
      <c r="G839" t="s">
        <v>27</v>
      </c>
      <c r="H839" s="1">
        <v>103.21</v>
      </c>
      <c r="I839" t="s">
        <v>24</v>
      </c>
      <c r="J839">
        <v>0</v>
      </c>
      <c r="K839">
        <v>7</v>
      </c>
    </row>
    <row r="840" spans="1:11" x14ac:dyDescent="0.35">
      <c r="A840" t="s">
        <v>877</v>
      </c>
      <c r="B840">
        <v>62</v>
      </c>
      <c r="C840" t="s">
        <v>18</v>
      </c>
      <c r="D840" t="s">
        <v>19</v>
      </c>
      <c r="E840">
        <v>8</v>
      </c>
      <c r="F840" t="s">
        <v>22</v>
      </c>
      <c r="G840" t="s">
        <v>15</v>
      </c>
      <c r="H840" s="1">
        <v>155.93</v>
      </c>
      <c r="I840" t="s">
        <v>24</v>
      </c>
      <c r="J840">
        <v>0</v>
      </c>
      <c r="K840">
        <v>9</v>
      </c>
    </row>
    <row r="841" spans="1:11" x14ac:dyDescent="0.35">
      <c r="A841" t="s">
        <v>878</v>
      </c>
      <c r="B841">
        <v>50</v>
      </c>
      <c r="C841" t="s">
        <v>12</v>
      </c>
      <c r="D841" t="s">
        <v>21</v>
      </c>
      <c r="E841">
        <v>41</v>
      </c>
      <c r="F841" t="s">
        <v>22</v>
      </c>
      <c r="G841" t="s">
        <v>23</v>
      </c>
      <c r="H841" s="1">
        <v>257.41000000000003</v>
      </c>
      <c r="I841" t="s">
        <v>24</v>
      </c>
      <c r="J841">
        <v>2</v>
      </c>
      <c r="K841">
        <v>3</v>
      </c>
    </row>
    <row r="842" spans="1:11" x14ac:dyDescent="0.35">
      <c r="A842" t="s">
        <v>879</v>
      </c>
      <c r="B842">
        <v>32</v>
      </c>
      <c r="C842" t="s">
        <v>18</v>
      </c>
      <c r="D842" t="s">
        <v>19</v>
      </c>
      <c r="E842">
        <v>17</v>
      </c>
      <c r="F842" t="s">
        <v>22</v>
      </c>
      <c r="G842" t="s">
        <v>15</v>
      </c>
      <c r="H842" s="1">
        <v>133.31</v>
      </c>
      <c r="I842" t="s">
        <v>28</v>
      </c>
      <c r="J842">
        <v>2</v>
      </c>
      <c r="K842">
        <v>4</v>
      </c>
    </row>
    <row r="843" spans="1:11" x14ac:dyDescent="0.35">
      <c r="A843" t="s">
        <v>880</v>
      </c>
      <c r="B843">
        <v>33</v>
      </c>
      <c r="C843" t="s">
        <v>18</v>
      </c>
      <c r="D843" t="s">
        <v>30</v>
      </c>
      <c r="E843">
        <v>11</v>
      </c>
      <c r="F843" t="s">
        <v>22</v>
      </c>
      <c r="G843" t="s">
        <v>37</v>
      </c>
      <c r="H843" s="1">
        <v>100.48</v>
      </c>
      <c r="I843" t="s">
        <v>24</v>
      </c>
      <c r="J843">
        <v>0</v>
      </c>
      <c r="K843">
        <v>4</v>
      </c>
    </row>
    <row r="844" spans="1:11" x14ac:dyDescent="0.35">
      <c r="A844" t="s">
        <v>881</v>
      </c>
      <c r="B844">
        <v>83</v>
      </c>
      <c r="C844" t="s">
        <v>18</v>
      </c>
      <c r="D844" t="s">
        <v>13</v>
      </c>
      <c r="E844">
        <v>23</v>
      </c>
      <c r="F844" t="s">
        <v>14</v>
      </c>
      <c r="G844" t="s">
        <v>23</v>
      </c>
      <c r="H844" s="1">
        <v>0</v>
      </c>
      <c r="I844" t="s">
        <v>16</v>
      </c>
      <c r="J844">
        <v>4</v>
      </c>
      <c r="K844">
        <v>4</v>
      </c>
    </row>
    <row r="845" spans="1:11" x14ac:dyDescent="0.35">
      <c r="A845" t="s">
        <v>882</v>
      </c>
      <c r="B845">
        <v>54</v>
      </c>
      <c r="C845" t="s">
        <v>18</v>
      </c>
      <c r="D845" t="s">
        <v>19</v>
      </c>
      <c r="E845">
        <v>18</v>
      </c>
      <c r="F845" t="s">
        <v>22</v>
      </c>
      <c r="G845" t="s">
        <v>15</v>
      </c>
      <c r="H845" s="1">
        <v>178.6</v>
      </c>
      <c r="I845" t="s">
        <v>28</v>
      </c>
      <c r="J845">
        <v>1</v>
      </c>
      <c r="K845">
        <v>7</v>
      </c>
    </row>
    <row r="846" spans="1:11" x14ac:dyDescent="0.35">
      <c r="A846" t="s">
        <v>883</v>
      </c>
      <c r="B846">
        <v>33</v>
      </c>
      <c r="C846" t="s">
        <v>12</v>
      </c>
      <c r="D846" t="s">
        <v>13</v>
      </c>
      <c r="E846">
        <v>21</v>
      </c>
      <c r="F846" t="s">
        <v>33</v>
      </c>
      <c r="G846" t="s">
        <v>37</v>
      </c>
      <c r="H846" s="1">
        <v>200.13</v>
      </c>
      <c r="I846" t="s">
        <v>24</v>
      </c>
      <c r="J846">
        <v>2</v>
      </c>
      <c r="K846">
        <v>1</v>
      </c>
    </row>
    <row r="847" spans="1:11" x14ac:dyDescent="0.35">
      <c r="A847" t="s">
        <v>884</v>
      </c>
      <c r="B847">
        <v>66</v>
      </c>
      <c r="C847" t="s">
        <v>12</v>
      </c>
      <c r="D847" t="s">
        <v>47</v>
      </c>
      <c r="E847">
        <v>9</v>
      </c>
      <c r="F847" t="s">
        <v>14</v>
      </c>
      <c r="G847" t="s">
        <v>34</v>
      </c>
      <c r="H847" s="1">
        <v>0</v>
      </c>
      <c r="I847" t="s">
        <v>16</v>
      </c>
      <c r="J847">
        <v>3</v>
      </c>
      <c r="K847">
        <v>4</v>
      </c>
    </row>
    <row r="848" spans="1:11" x14ac:dyDescent="0.35">
      <c r="A848" t="s">
        <v>885</v>
      </c>
      <c r="B848">
        <v>45</v>
      </c>
      <c r="C848" t="s">
        <v>18</v>
      </c>
      <c r="D848" t="s">
        <v>21</v>
      </c>
      <c r="E848">
        <v>30</v>
      </c>
      <c r="F848" t="s">
        <v>14</v>
      </c>
      <c r="G848" t="s">
        <v>23</v>
      </c>
      <c r="H848" s="1">
        <v>0</v>
      </c>
      <c r="I848" t="s">
        <v>16</v>
      </c>
      <c r="J848">
        <v>0</v>
      </c>
      <c r="K848">
        <v>4</v>
      </c>
    </row>
    <row r="849" spans="1:11" x14ac:dyDescent="0.35">
      <c r="A849" t="s">
        <v>886</v>
      </c>
      <c r="B849">
        <v>54</v>
      </c>
      <c r="C849" t="s">
        <v>18</v>
      </c>
      <c r="D849" t="s">
        <v>13</v>
      </c>
      <c r="E849">
        <v>16</v>
      </c>
      <c r="F849" t="s">
        <v>22</v>
      </c>
      <c r="G849" t="s">
        <v>27</v>
      </c>
      <c r="H849" s="1">
        <v>140.38999999999999</v>
      </c>
      <c r="I849" t="s">
        <v>24</v>
      </c>
      <c r="J849">
        <v>0</v>
      </c>
      <c r="K849">
        <v>7</v>
      </c>
    </row>
    <row r="850" spans="1:11" x14ac:dyDescent="0.35">
      <c r="A850" t="s">
        <v>887</v>
      </c>
      <c r="B850">
        <v>70</v>
      </c>
      <c r="C850" t="s">
        <v>18</v>
      </c>
      <c r="D850" t="s">
        <v>19</v>
      </c>
      <c r="E850">
        <v>21</v>
      </c>
      <c r="F850" t="s">
        <v>22</v>
      </c>
      <c r="G850" t="s">
        <v>23</v>
      </c>
      <c r="H850" s="1">
        <v>555.42999999999995</v>
      </c>
      <c r="I850" t="s">
        <v>24</v>
      </c>
      <c r="J850">
        <v>4</v>
      </c>
      <c r="K850">
        <v>4</v>
      </c>
    </row>
    <row r="851" spans="1:11" x14ac:dyDescent="0.35">
      <c r="A851" t="s">
        <v>888</v>
      </c>
      <c r="B851">
        <v>57</v>
      </c>
      <c r="C851" t="s">
        <v>12</v>
      </c>
      <c r="D851" t="s">
        <v>19</v>
      </c>
      <c r="E851">
        <v>11</v>
      </c>
      <c r="F851" t="s">
        <v>22</v>
      </c>
      <c r="G851" t="s">
        <v>23</v>
      </c>
      <c r="H851" s="1">
        <v>154.66999999999999</v>
      </c>
      <c r="I851" t="s">
        <v>24</v>
      </c>
      <c r="J851">
        <v>2</v>
      </c>
      <c r="K851">
        <v>5</v>
      </c>
    </row>
    <row r="852" spans="1:11" x14ac:dyDescent="0.35">
      <c r="A852" t="s">
        <v>889</v>
      </c>
      <c r="B852">
        <v>36</v>
      </c>
      <c r="C852" t="s">
        <v>12</v>
      </c>
      <c r="D852" t="s">
        <v>19</v>
      </c>
      <c r="E852">
        <v>18</v>
      </c>
      <c r="F852" t="s">
        <v>22</v>
      </c>
      <c r="G852" t="s">
        <v>23</v>
      </c>
      <c r="H852" s="1">
        <v>359.26</v>
      </c>
      <c r="I852" t="s">
        <v>24</v>
      </c>
      <c r="J852">
        <v>1</v>
      </c>
      <c r="K852">
        <v>8</v>
      </c>
    </row>
    <row r="853" spans="1:11" x14ac:dyDescent="0.35">
      <c r="A853" t="s">
        <v>890</v>
      </c>
      <c r="B853">
        <v>43</v>
      </c>
      <c r="C853" t="s">
        <v>18</v>
      </c>
      <c r="D853" t="s">
        <v>41</v>
      </c>
      <c r="E853">
        <v>12</v>
      </c>
      <c r="F853" t="s">
        <v>26</v>
      </c>
      <c r="G853" t="s">
        <v>37</v>
      </c>
      <c r="H853" s="1">
        <v>101.13</v>
      </c>
      <c r="I853" t="s">
        <v>24</v>
      </c>
      <c r="J853">
        <v>3</v>
      </c>
      <c r="K853">
        <v>6</v>
      </c>
    </row>
    <row r="854" spans="1:11" x14ac:dyDescent="0.35">
      <c r="A854" t="s">
        <v>891</v>
      </c>
      <c r="B854">
        <v>83</v>
      </c>
      <c r="C854" t="s">
        <v>12</v>
      </c>
      <c r="D854" t="s">
        <v>13</v>
      </c>
      <c r="E854">
        <v>18</v>
      </c>
      <c r="F854" t="s">
        <v>22</v>
      </c>
      <c r="G854" t="s">
        <v>37</v>
      </c>
      <c r="H854" s="1">
        <v>179.2</v>
      </c>
      <c r="I854" t="s">
        <v>24</v>
      </c>
      <c r="J854">
        <v>0</v>
      </c>
      <c r="K854">
        <v>8</v>
      </c>
    </row>
    <row r="855" spans="1:11" x14ac:dyDescent="0.35">
      <c r="A855" t="s">
        <v>892</v>
      </c>
      <c r="B855">
        <v>25</v>
      </c>
      <c r="C855" t="s">
        <v>12</v>
      </c>
      <c r="D855" t="s">
        <v>57</v>
      </c>
      <c r="E855">
        <v>35</v>
      </c>
      <c r="F855" t="s">
        <v>22</v>
      </c>
      <c r="G855" t="s">
        <v>27</v>
      </c>
      <c r="H855" s="1">
        <v>70.13</v>
      </c>
      <c r="I855" t="s">
        <v>24</v>
      </c>
      <c r="J855">
        <v>3</v>
      </c>
      <c r="K855">
        <v>5</v>
      </c>
    </row>
    <row r="856" spans="1:11" x14ac:dyDescent="0.35">
      <c r="A856" t="s">
        <v>893</v>
      </c>
      <c r="B856">
        <v>44</v>
      </c>
      <c r="C856" t="s">
        <v>12</v>
      </c>
      <c r="D856" t="s">
        <v>21</v>
      </c>
      <c r="E856">
        <v>28</v>
      </c>
      <c r="F856" t="s">
        <v>26</v>
      </c>
      <c r="G856" t="s">
        <v>37</v>
      </c>
      <c r="H856" s="1">
        <v>93.85</v>
      </c>
      <c r="I856" t="s">
        <v>24</v>
      </c>
      <c r="J856">
        <v>1</v>
      </c>
      <c r="K856">
        <v>3</v>
      </c>
    </row>
    <row r="857" spans="1:11" x14ac:dyDescent="0.35">
      <c r="A857" t="s">
        <v>894</v>
      </c>
      <c r="B857">
        <v>47</v>
      </c>
      <c r="C857" t="s">
        <v>18</v>
      </c>
      <c r="D857" t="s">
        <v>120</v>
      </c>
      <c r="E857">
        <v>43</v>
      </c>
      <c r="F857" t="s">
        <v>22</v>
      </c>
      <c r="G857" t="s">
        <v>37</v>
      </c>
      <c r="H857" s="1">
        <v>180.8</v>
      </c>
      <c r="I857" t="s">
        <v>24</v>
      </c>
      <c r="J857">
        <v>1</v>
      </c>
      <c r="K857">
        <v>3</v>
      </c>
    </row>
    <row r="858" spans="1:11" x14ac:dyDescent="0.35">
      <c r="A858" t="s">
        <v>895</v>
      </c>
      <c r="B858">
        <v>51</v>
      </c>
      <c r="C858" t="s">
        <v>12</v>
      </c>
      <c r="D858" t="s">
        <v>19</v>
      </c>
      <c r="E858">
        <v>6</v>
      </c>
      <c r="F858" t="s">
        <v>31</v>
      </c>
      <c r="G858" t="s">
        <v>34</v>
      </c>
      <c r="H858" s="1">
        <v>201.1</v>
      </c>
      <c r="I858" t="s">
        <v>28</v>
      </c>
      <c r="J858">
        <v>0</v>
      </c>
      <c r="K858">
        <v>9</v>
      </c>
    </row>
    <row r="859" spans="1:11" x14ac:dyDescent="0.35">
      <c r="A859" t="s">
        <v>896</v>
      </c>
      <c r="B859">
        <v>57</v>
      </c>
      <c r="C859" t="s">
        <v>12</v>
      </c>
      <c r="D859" t="s">
        <v>30</v>
      </c>
      <c r="E859">
        <v>11</v>
      </c>
      <c r="F859" t="s">
        <v>33</v>
      </c>
      <c r="G859" t="s">
        <v>27</v>
      </c>
      <c r="H859" s="1">
        <v>41.92</v>
      </c>
      <c r="I859" t="s">
        <v>24</v>
      </c>
      <c r="J859">
        <v>1</v>
      </c>
      <c r="K859">
        <v>8</v>
      </c>
    </row>
    <row r="860" spans="1:11" x14ac:dyDescent="0.35">
      <c r="A860" t="s">
        <v>897</v>
      </c>
      <c r="B860">
        <v>23</v>
      </c>
      <c r="C860" t="s">
        <v>18</v>
      </c>
      <c r="D860" t="s">
        <v>30</v>
      </c>
      <c r="E860">
        <v>12</v>
      </c>
      <c r="F860" t="s">
        <v>26</v>
      </c>
      <c r="G860" t="s">
        <v>15</v>
      </c>
      <c r="H860" s="1">
        <v>157.79</v>
      </c>
      <c r="I860" t="s">
        <v>28</v>
      </c>
      <c r="J860">
        <v>0</v>
      </c>
      <c r="K860">
        <v>4</v>
      </c>
    </row>
    <row r="861" spans="1:11" x14ac:dyDescent="0.35">
      <c r="A861" t="s">
        <v>898</v>
      </c>
      <c r="B861">
        <v>72</v>
      </c>
      <c r="C861" t="s">
        <v>18</v>
      </c>
      <c r="D861" t="s">
        <v>13</v>
      </c>
      <c r="E861">
        <v>12</v>
      </c>
      <c r="F861" t="s">
        <v>22</v>
      </c>
      <c r="G861" t="s">
        <v>23</v>
      </c>
      <c r="H861" s="1">
        <v>533.4</v>
      </c>
      <c r="I861" t="s">
        <v>24</v>
      </c>
      <c r="J861">
        <v>2</v>
      </c>
      <c r="K861">
        <v>7</v>
      </c>
    </row>
    <row r="862" spans="1:11" x14ac:dyDescent="0.35">
      <c r="A862" t="s">
        <v>899</v>
      </c>
      <c r="B862">
        <v>20</v>
      </c>
      <c r="C862" t="s">
        <v>18</v>
      </c>
      <c r="D862" t="s">
        <v>19</v>
      </c>
      <c r="E862">
        <v>7</v>
      </c>
      <c r="F862" t="s">
        <v>22</v>
      </c>
      <c r="G862" t="s">
        <v>27</v>
      </c>
      <c r="H862" s="1">
        <v>63.21</v>
      </c>
      <c r="I862" t="s">
        <v>28</v>
      </c>
      <c r="J862">
        <v>0</v>
      </c>
      <c r="K862">
        <v>8</v>
      </c>
    </row>
    <row r="863" spans="1:11" x14ac:dyDescent="0.35">
      <c r="A863" t="s">
        <v>900</v>
      </c>
      <c r="B863">
        <v>77</v>
      </c>
      <c r="C863" t="s">
        <v>18</v>
      </c>
      <c r="D863" t="s">
        <v>120</v>
      </c>
      <c r="E863">
        <v>39</v>
      </c>
      <c r="F863" t="s">
        <v>22</v>
      </c>
      <c r="G863" t="s">
        <v>15</v>
      </c>
      <c r="H863" s="1">
        <v>381.59</v>
      </c>
      <c r="I863" t="s">
        <v>24</v>
      </c>
      <c r="J863">
        <v>2</v>
      </c>
      <c r="K863">
        <v>2</v>
      </c>
    </row>
    <row r="864" spans="1:11" x14ac:dyDescent="0.35">
      <c r="A864" t="s">
        <v>901</v>
      </c>
      <c r="B864">
        <v>61</v>
      </c>
      <c r="C864" t="s">
        <v>12</v>
      </c>
      <c r="D864" t="s">
        <v>13</v>
      </c>
      <c r="E864">
        <v>13</v>
      </c>
      <c r="F864" t="s">
        <v>26</v>
      </c>
      <c r="G864" t="s">
        <v>34</v>
      </c>
      <c r="H864" s="1">
        <v>193.03</v>
      </c>
      <c r="I864" t="s">
        <v>24</v>
      </c>
      <c r="J864">
        <v>3</v>
      </c>
      <c r="K864">
        <v>7</v>
      </c>
    </row>
    <row r="865" spans="1:11" x14ac:dyDescent="0.35">
      <c r="A865" t="s">
        <v>902</v>
      </c>
      <c r="B865">
        <v>60</v>
      </c>
      <c r="C865" t="s">
        <v>18</v>
      </c>
      <c r="D865" t="s">
        <v>19</v>
      </c>
      <c r="E865">
        <v>9</v>
      </c>
      <c r="F865" t="s">
        <v>31</v>
      </c>
      <c r="G865" t="s">
        <v>15</v>
      </c>
      <c r="H865" s="1">
        <v>315.95999999999998</v>
      </c>
      <c r="I865" t="s">
        <v>43</v>
      </c>
      <c r="J865">
        <v>1</v>
      </c>
      <c r="K865">
        <v>6</v>
      </c>
    </row>
    <row r="866" spans="1:11" x14ac:dyDescent="0.35">
      <c r="A866" t="s">
        <v>903</v>
      </c>
      <c r="B866">
        <v>41</v>
      </c>
      <c r="C866" t="s">
        <v>12</v>
      </c>
      <c r="D866" t="s">
        <v>19</v>
      </c>
      <c r="E866">
        <v>8</v>
      </c>
      <c r="F866" t="s">
        <v>22</v>
      </c>
      <c r="G866" t="s">
        <v>34</v>
      </c>
      <c r="H866" s="1">
        <v>139.87</v>
      </c>
      <c r="I866" t="s">
        <v>24</v>
      </c>
      <c r="J866">
        <v>2</v>
      </c>
      <c r="K866">
        <v>7</v>
      </c>
    </row>
    <row r="867" spans="1:11" x14ac:dyDescent="0.35">
      <c r="A867" t="s">
        <v>904</v>
      </c>
      <c r="B867">
        <v>41</v>
      </c>
      <c r="C867" t="s">
        <v>18</v>
      </c>
      <c r="D867" t="s">
        <v>19</v>
      </c>
      <c r="E867">
        <v>15</v>
      </c>
      <c r="F867" t="s">
        <v>31</v>
      </c>
      <c r="G867" t="s">
        <v>37</v>
      </c>
      <c r="H867" s="1">
        <v>117.98</v>
      </c>
      <c r="I867" t="s">
        <v>24</v>
      </c>
      <c r="J867">
        <v>0</v>
      </c>
      <c r="K867">
        <v>6</v>
      </c>
    </row>
    <row r="868" spans="1:11" x14ac:dyDescent="0.35">
      <c r="A868" t="s">
        <v>905</v>
      </c>
      <c r="B868">
        <v>58</v>
      </c>
      <c r="C868" t="s">
        <v>18</v>
      </c>
      <c r="D868" t="s">
        <v>21</v>
      </c>
      <c r="E868">
        <v>22</v>
      </c>
      <c r="F868" t="s">
        <v>22</v>
      </c>
      <c r="G868" t="s">
        <v>23</v>
      </c>
      <c r="H868" s="1">
        <v>498.46</v>
      </c>
      <c r="I868" t="s">
        <v>24</v>
      </c>
      <c r="J868">
        <v>1</v>
      </c>
      <c r="K868">
        <v>2</v>
      </c>
    </row>
    <row r="869" spans="1:11" x14ac:dyDescent="0.35">
      <c r="A869" t="s">
        <v>906</v>
      </c>
      <c r="B869">
        <v>50</v>
      </c>
      <c r="C869" t="s">
        <v>18</v>
      </c>
      <c r="D869" t="s">
        <v>13</v>
      </c>
      <c r="E869">
        <v>16</v>
      </c>
      <c r="F869" t="s">
        <v>22</v>
      </c>
      <c r="G869" t="s">
        <v>34</v>
      </c>
      <c r="H869" s="1">
        <v>109.58</v>
      </c>
      <c r="I869" t="s">
        <v>28</v>
      </c>
      <c r="J869">
        <v>3</v>
      </c>
      <c r="K869">
        <v>6</v>
      </c>
    </row>
    <row r="870" spans="1:11" x14ac:dyDescent="0.35">
      <c r="A870" t="s">
        <v>907</v>
      </c>
      <c r="B870">
        <v>84</v>
      </c>
      <c r="C870" t="s">
        <v>18</v>
      </c>
      <c r="D870" t="s">
        <v>21</v>
      </c>
      <c r="E870">
        <v>14</v>
      </c>
      <c r="F870" t="s">
        <v>33</v>
      </c>
      <c r="G870" t="s">
        <v>37</v>
      </c>
      <c r="H870" s="1">
        <v>133.59</v>
      </c>
      <c r="I870" t="s">
        <v>24</v>
      </c>
      <c r="J870">
        <v>0</v>
      </c>
      <c r="K870">
        <v>5</v>
      </c>
    </row>
    <row r="871" spans="1:11" x14ac:dyDescent="0.35">
      <c r="A871" t="s">
        <v>908</v>
      </c>
      <c r="B871">
        <v>72</v>
      </c>
      <c r="C871" t="s">
        <v>12</v>
      </c>
      <c r="D871" t="s">
        <v>19</v>
      </c>
      <c r="E871">
        <v>12</v>
      </c>
      <c r="F871" t="s">
        <v>22</v>
      </c>
      <c r="G871" t="s">
        <v>15</v>
      </c>
      <c r="H871" s="1">
        <v>331.7</v>
      </c>
      <c r="I871" t="s">
        <v>24</v>
      </c>
      <c r="J871">
        <v>3</v>
      </c>
      <c r="K871">
        <v>7</v>
      </c>
    </row>
    <row r="872" spans="1:11" x14ac:dyDescent="0.35">
      <c r="A872" t="s">
        <v>909</v>
      </c>
      <c r="B872">
        <v>71</v>
      </c>
      <c r="C872" t="s">
        <v>12</v>
      </c>
      <c r="D872" t="s">
        <v>19</v>
      </c>
      <c r="E872">
        <v>24</v>
      </c>
      <c r="F872" t="s">
        <v>26</v>
      </c>
      <c r="G872" t="s">
        <v>37</v>
      </c>
      <c r="H872" s="1">
        <v>148.71</v>
      </c>
      <c r="I872" t="s">
        <v>43</v>
      </c>
      <c r="J872">
        <v>4</v>
      </c>
      <c r="K872">
        <v>3</v>
      </c>
    </row>
    <row r="873" spans="1:11" x14ac:dyDescent="0.35">
      <c r="A873" t="s">
        <v>910</v>
      </c>
      <c r="B873">
        <v>65</v>
      </c>
      <c r="C873" t="s">
        <v>12</v>
      </c>
      <c r="D873" t="s">
        <v>19</v>
      </c>
      <c r="E873">
        <v>10</v>
      </c>
      <c r="F873" t="s">
        <v>33</v>
      </c>
      <c r="G873" t="s">
        <v>37</v>
      </c>
      <c r="H873" s="1">
        <v>141.05000000000001</v>
      </c>
      <c r="I873" t="s">
        <v>24</v>
      </c>
      <c r="J873">
        <v>1</v>
      </c>
      <c r="K873">
        <v>5</v>
      </c>
    </row>
    <row r="874" spans="1:11" x14ac:dyDescent="0.35">
      <c r="A874" t="s">
        <v>911</v>
      </c>
      <c r="B874">
        <v>31</v>
      </c>
      <c r="C874" t="s">
        <v>12</v>
      </c>
      <c r="D874" t="s">
        <v>19</v>
      </c>
      <c r="E874">
        <v>7</v>
      </c>
      <c r="F874" t="s">
        <v>26</v>
      </c>
      <c r="G874" t="s">
        <v>23</v>
      </c>
      <c r="H874" s="1">
        <v>470.02</v>
      </c>
      <c r="I874" t="s">
        <v>24</v>
      </c>
      <c r="J874">
        <v>0</v>
      </c>
      <c r="K874">
        <v>10</v>
      </c>
    </row>
    <row r="875" spans="1:11" x14ac:dyDescent="0.35">
      <c r="A875" t="s">
        <v>912</v>
      </c>
      <c r="B875">
        <v>83</v>
      </c>
      <c r="C875" t="s">
        <v>18</v>
      </c>
      <c r="D875" t="s">
        <v>19</v>
      </c>
      <c r="E875">
        <v>7</v>
      </c>
      <c r="F875" t="s">
        <v>31</v>
      </c>
      <c r="G875" t="s">
        <v>23</v>
      </c>
      <c r="H875" s="1">
        <v>586.37</v>
      </c>
      <c r="I875" t="s">
        <v>24</v>
      </c>
      <c r="J875">
        <v>2</v>
      </c>
      <c r="K875">
        <v>8</v>
      </c>
    </row>
    <row r="876" spans="1:11" x14ac:dyDescent="0.35">
      <c r="A876" t="s">
        <v>913</v>
      </c>
      <c r="B876">
        <v>55</v>
      </c>
      <c r="C876" t="s">
        <v>18</v>
      </c>
      <c r="D876" t="s">
        <v>19</v>
      </c>
      <c r="E876">
        <v>14</v>
      </c>
      <c r="F876" t="s">
        <v>33</v>
      </c>
      <c r="G876" t="s">
        <v>15</v>
      </c>
      <c r="H876" s="1">
        <v>430.89</v>
      </c>
      <c r="I876" t="s">
        <v>24</v>
      </c>
      <c r="J876">
        <v>3</v>
      </c>
      <c r="K876">
        <v>4</v>
      </c>
    </row>
    <row r="877" spans="1:11" x14ac:dyDescent="0.35">
      <c r="A877" t="s">
        <v>914</v>
      </c>
      <c r="B877">
        <v>46</v>
      </c>
      <c r="C877" t="s">
        <v>12</v>
      </c>
      <c r="D877" t="s">
        <v>19</v>
      </c>
      <c r="E877">
        <v>13</v>
      </c>
      <c r="F877" t="s">
        <v>14</v>
      </c>
      <c r="G877" t="s">
        <v>23</v>
      </c>
      <c r="H877" s="1">
        <v>0</v>
      </c>
      <c r="I877" t="s">
        <v>16</v>
      </c>
      <c r="J877">
        <v>1</v>
      </c>
      <c r="K877">
        <v>8</v>
      </c>
    </row>
    <row r="878" spans="1:11" x14ac:dyDescent="0.35">
      <c r="A878" t="s">
        <v>915</v>
      </c>
      <c r="B878">
        <v>68</v>
      </c>
      <c r="C878" t="s">
        <v>18</v>
      </c>
      <c r="D878" t="s">
        <v>19</v>
      </c>
      <c r="E878">
        <v>15</v>
      </c>
      <c r="F878" t="s">
        <v>22</v>
      </c>
      <c r="G878" t="s">
        <v>34</v>
      </c>
      <c r="H878" s="1">
        <v>100.04</v>
      </c>
      <c r="I878" t="s">
        <v>28</v>
      </c>
      <c r="J878">
        <v>1</v>
      </c>
      <c r="K878">
        <v>7</v>
      </c>
    </row>
    <row r="879" spans="1:11" x14ac:dyDescent="0.35">
      <c r="A879" t="s">
        <v>916</v>
      </c>
      <c r="B879">
        <v>31</v>
      </c>
      <c r="C879" t="s">
        <v>18</v>
      </c>
      <c r="D879" t="s">
        <v>41</v>
      </c>
      <c r="E879">
        <v>6</v>
      </c>
      <c r="F879" t="s">
        <v>22</v>
      </c>
      <c r="G879" t="s">
        <v>27</v>
      </c>
      <c r="H879" s="1">
        <v>152.78</v>
      </c>
      <c r="I879" t="s">
        <v>24</v>
      </c>
      <c r="J879">
        <v>2</v>
      </c>
      <c r="K879">
        <v>8</v>
      </c>
    </row>
    <row r="880" spans="1:11" x14ac:dyDescent="0.35">
      <c r="A880" t="s">
        <v>917</v>
      </c>
      <c r="B880">
        <v>40</v>
      </c>
      <c r="C880" t="s">
        <v>12</v>
      </c>
      <c r="D880" t="s">
        <v>30</v>
      </c>
      <c r="E880">
        <v>9</v>
      </c>
      <c r="F880" t="s">
        <v>22</v>
      </c>
      <c r="G880" t="s">
        <v>37</v>
      </c>
      <c r="H880" s="1">
        <v>108.19</v>
      </c>
      <c r="I880" t="s">
        <v>24</v>
      </c>
      <c r="J880">
        <v>0</v>
      </c>
      <c r="K880">
        <v>5</v>
      </c>
    </row>
    <row r="881" spans="1:11" x14ac:dyDescent="0.35">
      <c r="A881" t="s">
        <v>918</v>
      </c>
      <c r="B881">
        <v>75</v>
      </c>
      <c r="C881" t="s">
        <v>18</v>
      </c>
      <c r="D881" t="s">
        <v>19</v>
      </c>
      <c r="E881">
        <v>21</v>
      </c>
      <c r="F881" t="s">
        <v>33</v>
      </c>
      <c r="G881" t="s">
        <v>34</v>
      </c>
      <c r="H881" s="1">
        <v>156.93</v>
      </c>
      <c r="I881" t="s">
        <v>24</v>
      </c>
      <c r="J881">
        <v>3</v>
      </c>
      <c r="K881">
        <v>4</v>
      </c>
    </row>
    <row r="882" spans="1:11" x14ac:dyDescent="0.35">
      <c r="A882" t="s">
        <v>919</v>
      </c>
      <c r="B882">
        <v>40</v>
      </c>
      <c r="C882" t="s">
        <v>12</v>
      </c>
      <c r="D882" t="s">
        <v>13</v>
      </c>
      <c r="E882">
        <v>19</v>
      </c>
      <c r="F882" t="s">
        <v>33</v>
      </c>
      <c r="G882" t="s">
        <v>27</v>
      </c>
      <c r="H882" s="1">
        <v>103.65</v>
      </c>
      <c r="I882" t="s">
        <v>24</v>
      </c>
      <c r="J882">
        <v>2</v>
      </c>
      <c r="K882">
        <v>4</v>
      </c>
    </row>
    <row r="883" spans="1:11" x14ac:dyDescent="0.35">
      <c r="A883" t="s">
        <v>920</v>
      </c>
      <c r="B883">
        <v>62</v>
      </c>
      <c r="C883" t="s">
        <v>18</v>
      </c>
      <c r="D883" t="s">
        <v>19</v>
      </c>
      <c r="E883">
        <v>12</v>
      </c>
      <c r="F883" t="s">
        <v>26</v>
      </c>
      <c r="G883" t="s">
        <v>23</v>
      </c>
      <c r="H883" s="1">
        <v>222.52</v>
      </c>
      <c r="I883" t="s">
        <v>24</v>
      </c>
      <c r="J883">
        <v>3</v>
      </c>
      <c r="K883">
        <v>8</v>
      </c>
    </row>
    <row r="884" spans="1:11" x14ac:dyDescent="0.35">
      <c r="A884" t="s">
        <v>921</v>
      </c>
      <c r="B884">
        <v>67</v>
      </c>
      <c r="C884" t="s">
        <v>12</v>
      </c>
      <c r="D884" t="s">
        <v>30</v>
      </c>
      <c r="E884">
        <v>6</v>
      </c>
      <c r="F884" t="s">
        <v>31</v>
      </c>
      <c r="G884" t="s">
        <v>15</v>
      </c>
      <c r="H884" s="1">
        <v>203.66</v>
      </c>
      <c r="I884" t="s">
        <v>24</v>
      </c>
      <c r="J884">
        <v>2</v>
      </c>
      <c r="K884">
        <v>9</v>
      </c>
    </row>
    <row r="885" spans="1:11" x14ac:dyDescent="0.35">
      <c r="A885" t="s">
        <v>922</v>
      </c>
      <c r="B885">
        <v>80</v>
      </c>
      <c r="C885" t="s">
        <v>12</v>
      </c>
      <c r="D885" t="s">
        <v>19</v>
      </c>
      <c r="E885">
        <v>7</v>
      </c>
      <c r="F885" t="s">
        <v>26</v>
      </c>
      <c r="G885" t="s">
        <v>15</v>
      </c>
      <c r="H885" s="1">
        <v>257.27999999999997</v>
      </c>
      <c r="I885" t="s">
        <v>24</v>
      </c>
      <c r="J885">
        <v>2</v>
      </c>
      <c r="K885">
        <v>9</v>
      </c>
    </row>
    <row r="886" spans="1:11" x14ac:dyDescent="0.35">
      <c r="A886" t="s">
        <v>923</v>
      </c>
      <c r="B886">
        <v>63</v>
      </c>
      <c r="C886" t="s">
        <v>18</v>
      </c>
      <c r="D886" t="s">
        <v>30</v>
      </c>
      <c r="E886">
        <v>6</v>
      </c>
      <c r="F886" t="s">
        <v>26</v>
      </c>
      <c r="G886" t="s">
        <v>37</v>
      </c>
      <c r="H886" s="1">
        <v>210.77</v>
      </c>
      <c r="I886" t="s">
        <v>28</v>
      </c>
      <c r="J886">
        <v>0</v>
      </c>
      <c r="K886">
        <v>7</v>
      </c>
    </row>
    <row r="887" spans="1:11" x14ac:dyDescent="0.35">
      <c r="A887" t="s">
        <v>924</v>
      </c>
      <c r="B887">
        <v>63</v>
      </c>
      <c r="C887" t="s">
        <v>18</v>
      </c>
      <c r="D887" t="s">
        <v>13</v>
      </c>
      <c r="E887">
        <v>12</v>
      </c>
      <c r="F887" t="s">
        <v>33</v>
      </c>
      <c r="G887" t="s">
        <v>34</v>
      </c>
      <c r="H887" s="1">
        <v>202.6</v>
      </c>
      <c r="I887" t="s">
        <v>24</v>
      </c>
      <c r="J887">
        <v>0</v>
      </c>
      <c r="K887">
        <v>4</v>
      </c>
    </row>
    <row r="888" spans="1:11" x14ac:dyDescent="0.35">
      <c r="A888" t="s">
        <v>925</v>
      </c>
      <c r="B888">
        <v>19</v>
      </c>
      <c r="C888" t="s">
        <v>12</v>
      </c>
      <c r="D888" t="s">
        <v>19</v>
      </c>
      <c r="E888">
        <v>20</v>
      </c>
      <c r="F888" t="s">
        <v>33</v>
      </c>
      <c r="G888" t="s">
        <v>37</v>
      </c>
      <c r="H888" s="1">
        <v>158.38</v>
      </c>
      <c r="I888" t="s">
        <v>24</v>
      </c>
      <c r="J888">
        <v>1</v>
      </c>
      <c r="K888">
        <v>4</v>
      </c>
    </row>
    <row r="889" spans="1:11" x14ac:dyDescent="0.35">
      <c r="A889" t="s">
        <v>926</v>
      </c>
      <c r="B889">
        <v>24</v>
      </c>
      <c r="C889" t="s">
        <v>18</v>
      </c>
      <c r="D889" t="s">
        <v>19</v>
      </c>
      <c r="E889">
        <v>21</v>
      </c>
      <c r="F889" t="s">
        <v>14</v>
      </c>
      <c r="G889" t="s">
        <v>15</v>
      </c>
      <c r="H889" s="1">
        <v>0</v>
      </c>
      <c r="I889" t="s">
        <v>16</v>
      </c>
      <c r="J889">
        <v>1</v>
      </c>
      <c r="K889">
        <v>1</v>
      </c>
    </row>
    <row r="890" spans="1:11" x14ac:dyDescent="0.35">
      <c r="A890" t="s">
        <v>927</v>
      </c>
      <c r="B890">
        <v>50</v>
      </c>
      <c r="C890" t="s">
        <v>18</v>
      </c>
      <c r="D890" t="s">
        <v>19</v>
      </c>
      <c r="E890">
        <v>17</v>
      </c>
      <c r="F890" t="s">
        <v>26</v>
      </c>
      <c r="G890" t="s">
        <v>37</v>
      </c>
      <c r="H890" s="1">
        <v>128.79</v>
      </c>
      <c r="I890" t="s">
        <v>24</v>
      </c>
      <c r="J890">
        <v>0</v>
      </c>
      <c r="K890">
        <v>5</v>
      </c>
    </row>
    <row r="891" spans="1:11" x14ac:dyDescent="0.35">
      <c r="A891" t="s">
        <v>928</v>
      </c>
      <c r="B891">
        <v>36</v>
      </c>
      <c r="C891" t="s">
        <v>18</v>
      </c>
      <c r="D891" t="s">
        <v>19</v>
      </c>
      <c r="E891">
        <v>16</v>
      </c>
      <c r="F891" t="s">
        <v>22</v>
      </c>
      <c r="G891" t="s">
        <v>15</v>
      </c>
      <c r="H891" s="1">
        <v>292.47000000000003</v>
      </c>
      <c r="I891" t="s">
        <v>24</v>
      </c>
      <c r="J891">
        <v>1</v>
      </c>
      <c r="K891">
        <v>5</v>
      </c>
    </row>
    <row r="892" spans="1:11" x14ac:dyDescent="0.35">
      <c r="A892" t="s">
        <v>929</v>
      </c>
      <c r="B892">
        <v>69</v>
      </c>
      <c r="C892" t="s">
        <v>18</v>
      </c>
      <c r="D892" t="s">
        <v>19</v>
      </c>
      <c r="E892">
        <v>21</v>
      </c>
      <c r="F892" t="s">
        <v>31</v>
      </c>
      <c r="G892" t="s">
        <v>27</v>
      </c>
      <c r="H892" s="1">
        <v>171.96</v>
      </c>
      <c r="I892" t="s">
        <v>24</v>
      </c>
      <c r="J892">
        <v>3</v>
      </c>
      <c r="K892">
        <v>3</v>
      </c>
    </row>
    <row r="893" spans="1:11" x14ac:dyDescent="0.35">
      <c r="A893" t="s">
        <v>930</v>
      </c>
      <c r="B893">
        <v>82</v>
      </c>
      <c r="C893" t="s">
        <v>18</v>
      </c>
      <c r="D893" t="s">
        <v>30</v>
      </c>
      <c r="E893">
        <v>7</v>
      </c>
      <c r="F893" t="s">
        <v>33</v>
      </c>
      <c r="G893" t="s">
        <v>37</v>
      </c>
      <c r="H893" s="1">
        <v>149.72</v>
      </c>
      <c r="I893" t="s">
        <v>24</v>
      </c>
      <c r="J893">
        <v>0</v>
      </c>
      <c r="K893">
        <v>9</v>
      </c>
    </row>
    <row r="894" spans="1:11" x14ac:dyDescent="0.35">
      <c r="A894" t="s">
        <v>931</v>
      </c>
      <c r="B894">
        <v>68</v>
      </c>
      <c r="C894" t="s">
        <v>12</v>
      </c>
      <c r="D894" t="s">
        <v>19</v>
      </c>
      <c r="E894">
        <v>12</v>
      </c>
      <c r="F894" t="s">
        <v>33</v>
      </c>
      <c r="G894" t="s">
        <v>34</v>
      </c>
      <c r="H894" s="1">
        <v>147.04</v>
      </c>
      <c r="I894" t="s">
        <v>24</v>
      </c>
      <c r="J894">
        <v>0</v>
      </c>
      <c r="K894">
        <v>8</v>
      </c>
    </row>
    <row r="895" spans="1:11" x14ac:dyDescent="0.35">
      <c r="A895" t="s">
        <v>932</v>
      </c>
      <c r="B895">
        <v>72</v>
      </c>
      <c r="C895" t="s">
        <v>12</v>
      </c>
      <c r="D895" t="s">
        <v>244</v>
      </c>
      <c r="E895">
        <v>20</v>
      </c>
      <c r="F895" t="s">
        <v>33</v>
      </c>
      <c r="G895" t="s">
        <v>27</v>
      </c>
      <c r="H895" s="1">
        <v>29.93</v>
      </c>
      <c r="I895" t="s">
        <v>24</v>
      </c>
      <c r="J895">
        <v>2</v>
      </c>
      <c r="K895">
        <v>5</v>
      </c>
    </row>
    <row r="896" spans="1:11" x14ac:dyDescent="0.35">
      <c r="A896" t="s">
        <v>933</v>
      </c>
      <c r="B896">
        <v>43</v>
      </c>
      <c r="C896" t="s">
        <v>18</v>
      </c>
      <c r="D896" t="s">
        <v>19</v>
      </c>
      <c r="E896">
        <v>13</v>
      </c>
      <c r="F896" t="s">
        <v>14</v>
      </c>
      <c r="G896" t="s">
        <v>27</v>
      </c>
      <c r="H896" s="1">
        <v>0</v>
      </c>
      <c r="I896" t="s">
        <v>16</v>
      </c>
      <c r="J896">
        <v>0</v>
      </c>
      <c r="K896">
        <v>7</v>
      </c>
    </row>
    <row r="897" spans="1:11" x14ac:dyDescent="0.35">
      <c r="A897" t="s">
        <v>934</v>
      </c>
      <c r="B897">
        <v>64</v>
      </c>
      <c r="C897" t="s">
        <v>12</v>
      </c>
      <c r="D897" t="s">
        <v>47</v>
      </c>
      <c r="E897">
        <v>4</v>
      </c>
      <c r="F897" t="s">
        <v>22</v>
      </c>
      <c r="G897" t="s">
        <v>23</v>
      </c>
      <c r="H897" s="1">
        <v>128.33000000000001</v>
      </c>
      <c r="I897" t="s">
        <v>24</v>
      </c>
      <c r="J897">
        <v>0</v>
      </c>
      <c r="K897">
        <v>10</v>
      </c>
    </row>
    <row r="898" spans="1:11" x14ac:dyDescent="0.35">
      <c r="A898" t="s">
        <v>935</v>
      </c>
      <c r="B898">
        <v>74</v>
      </c>
      <c r="C898" t="s">
        <v>18</v>
      </c>
      <c r="D898" t="s">
        <v>21</v>
      </c>
      <c r="E898">
        <v>22</v>
      </c>
      <c r="F898" t="s">
        <v>26</v>
      </c>
      <c r="G898" t="s">
        <v>37</v>
      </c>
      <c r="H898" s="1">
        <v>107.97</v>
      </c>
      <c r="I898" t="s">
        <v>24</v>
      </c>
      <c r="J898">
        <v>2</v>
      </c>
      <c r="K898">
        <v>3</v>
      </c>
    </row>
    <row r="899" spans="1:11" x14ac:dyDescent="0.35">
      <c r="A899" t="s">
        <v>936</v>
      </c>
      <c r="B899">
        <v>21</v>
      </c>
      <c r="C899" t="s">
        <v>18</v>
      </c>
      <c r="D899" t="s">
        <v>19</v>
      </c>
      <c r="E899">
        <v>11</v>
      </c>
      <c r="F899" t="s">
        <v>22</v>
      </c>
      <c r="G899" t="s">
        <v>37</v>
      </c>
      <c r="H899" s="1">
        <v>176.19</v>
      </c>
      <c r="I899" t="s">
        <v>24</v>
      </c>
      <c r="J899">
        <v>3</v>
      </c>
      <c r="K899">
        <v>8</v>
      </c>
    </row>
    <row r="900" spans="1:11" x14ac:dyDescent="0.35">
      <c r="A900" t="s">
        <v>937</v>
      </c>
      <c r="B900">
        <v>59</v>
      </c>
      <c r="C900" t="s">
        <v>12</v>
      </c>
      <c r="D900" t="s">
        <v>30</v>
      </c>
      <c r="E900">
        <v>4</v>
      </c>
      <c r="F900" t="s">
        <v>22</v>
      </c>
      <c r="G900" t="s">
        <v>37</v>
      </c>
      <c r="H900" s="1">
        <v>164.46</v>
      </c>
      <c r="I900" t="s">
        <v>24</v>
      </c>
      <c r="J900">
        <v>0</v>
      </c>
      <c r="K900">
        <v>8</v>
      </c>
    </row>
    <row r="901" spans="1:11" x14ac:dyDescent="0.35">
      <c r="A901" t="s">
        <v>938</v>
      </c>
      <c r="B901">
        <v>77</v>
      </c>
      <c r="C901" t="s">
        <v>12</v>
      </c>
      <c r="D901" t="s">
        <v>30</v>
      </c>
      <c r="E901">
        <v>13</v>
      </c>
      <c r="F901" t="s">
        <v>22</v>
      </c>
      <c r="G901" t="s">
        <v>23</v>
      </c>
      <c r="H901" s="1">
        <v>559.23</v>
      </c>
      <c r="I901" t="s">
        <v>24</v>
      </c>
      <c r="J901">
        <v>1</v>
      </c>
      <c r="K901">
        <v>7</v>
      </c>
    </row>
    <row r="902" spans="1:11" x14ac:dyDescent="0.35">
      <c r="A902" t="s">
        <v>939</v>
      </c>
      <c r="B902">
        <v>69</v>
      </c>
      <c r="C902" t="s">
        <v>12</v>
      </c>
      <c r="D902" t="s">
        <v>120</v>
      </c>
      <c r="E902">
        <v>12</v>
      </c>
      <c r="F902" t="s">
        <v>31</v>
      </c>
      <c r="G902" t="s">
        <v>27</v>
      </c>
      <c r="H902" s="1">
        <v>34.04</v>
      </c>
      <c r="I902" t="s">
        <v>24</v>
      </c>
      <c r="J902">
        <v>0</v>
      </c>
      <c r="K902">
        <v>6</v>
      </c>
    </row>
    <row r="903" spans="1:11" x14ac:dyDescent="0.35">
      <c r="A903" t="s">
        <v>940</v>
      </c>
      <c r="B903">
        <v>68</v>
      </c>
      <c r="C903" t="s">
        <v>18</v>
      </c>
      <c r="D903" t="s">
        <v>13</v>
      </c>
      <c r="E903">
        <v>22</v>
      </c>
      <c r="F903" t="s">
        <v>22</v>
      </c>
      <c r="G903" t="s">
        <v>23</v>
      </c>
      <c r="H903" s="1">
        <v>351.05</v>
      </c>
      <c r="I903" t="s">
        <v>24</v>
      </c>
      <c r="J903">
        <v>1</v>
      </c>
      <c r="K903">
        <v>5</v>
      </c>
    </row>
    <row r="904" spans="1:11" x14ac:dyDescent="0.35">
      <c r="A904" t="s">
        <v>941</v>
      </c>
      <c r="B904">
        <v>47</v>
      </c>
      <c r="C904" t="s">
        <v>12</v>
      </c>
      <c r="D904" t="s">
        <v>19</v>
      </c>
      <c r="E904">
        <v>12</v>
      </c>
      <c r="F904" t="s">
        <v>22</v>
      </c>
      <c r="G904" t="s">
        <v>34</v>
      </c>
      <c r="H904" s="1">
        <v>107.14</v>
      </c>
      <c r="I904" t="s">
        <v>24</v>
      </c>
      <c r="J904">
        <v>0</v>
      </c>
      <c r="K904">
        <v>7</v>
      </c>
    </row>
    <row r="905" spans="1:11" x14ac:dyDescent="0.35">
      <c r="A905" t="s">
        <v>942</v>
      </c>
      <c r="B905">
        <v>79</v>
      </c>
      <c r="C905" t="s">
        <v>12</v>
      </c>
      <c r="D905" t="s">
        <v>21</v>
      </c>
      <c r="E905">
        <v>24</v>
      </c>
      <c r="F905" t="s">
        <v>31</v>
      </c>
      <c r="G905" t="s">
        <v>37</v>
      </c>
      <c r="H905" s="1">
        <v>139.61000000000001</v>
      </c>
      <c r="I905" t="s">
        <v>28</v>
      </c>
      <c r="J905">
        <v>1</v>
      </c>
      <c r="K905">
        <v>1</v>
      </c>
    </row>
    <row r="906" spans="1:11" x14ac:dyDescent="0.35">
      <c r="A906" t="s">
        <v>943</v>
      </c>
      <c r="B906">
        <v>59</v>
      </c>
      <c r="C906" t="s">
        <v>18</v>
      </c>
      <c r="D906" t="s">
        <v>19</v>
      </c>
      <c r="E906">
        <v>14</v>
      </c>
      <c r="F906" t="s">
        <v>22</v>
      </c>
      <c r="G906" t="s">
        <v>34</v>
      </c>
      <c r="H906" s="1">
        <v>153.34</v>
      </c>
      <c r="I906" t="s">
        <v>24</v>
      </c>
      <c r="J906">
        <v>0</v>
      </c>
      <c r="K906">
        <v>4</v>
      </c>
    </row>
    <row r="907" spans="1:11" x14ac:dyDescent="0.35">
      <c r="A907" t="s">
        <v>944</v>
      </c>
      <c r="B907">
        <v>27</v>
      </c>
      <c r="C907" t="s">
        <v>12</v>
      </c>
      <c r="D907" t="s">
        <v>13</v>
      </c>
      <c r="E907">
        <v>17</v>
      </c>
      <c r="F907" t="s">
        <v>31</v>
      </c>
      <c r="G907" t="s">
        <v>15</v>
      </c>
      <c r="H907" s="1">
        <v>184.18</v>
      </c>
      <c r="I907" t="s">
        <v>24</v>
      </c>
      <c r="J907">
        <v>1</v>
      </c>
      <c r="K907">
        <v>4</v>
      </c>
    </row>
    <row r="908" spans="1:11" x14ac:dyDescent="0.35">
      <c r="A908" t="s">
        <v>945</v>
      </c>
      <c r="B908">
        <v>21</v>
      </c>
      <c r="C908" t="s">
        <v>18</v>
      </c>
      <c r="D908" t="s">
        <v>21</v>
      </c>
      <c r="E908">
        <v>15</v>
      </c>
      <c r="F908" t="s">
        <v>26</v>
      </c>
      <c r="G908" t="s">
        <v>23</v>
      </c>
      <c r="H908" s="1">
        <v>415.52</v>
      </c>
      <c r="I908" t="s">
        <v>24</v>
      </c>
      <c r="J908">
        <v>1</v>
      </c>
      <c r="K908">
        <v>4</v>
      </c>
    </row>
    <row r="909" spans="1:11" x14ac:dyDescent="0.35">
      <c r="A909" t="s">
        <v>946</v>
      </c>
      <c r="B909">
        <v>27</v>
      </c>
      <c r="C909" t="s">
        <v>18</v>
      </c>
      <c r="D909" t="s">
        <v>19</v>
      </c>
      <c r="E909">
        <v>10</v>
      </c>
      <c r="F909" t="s">
        <v>22</v>
      </c>
      <c r="G909" t="s">
        <v>23</v>
      </c>
      <c r="H909" s="1">
        <v>179.2</v>
      </c>
      <c r="I909" t="s">
        <v>28</v>
      </c>
      <c r="J909">
        <v>1</v>
      </c>
      <c r="K909">
        <v>5</v>
      </c>
    </row>
    <row r="910" spans="1:11" x14ac:dyDescent="0.35">
      <c r="A910" t="s">
        <v>947</v>
      </c>
      <c r="B910">
        <v>40</v>
      </c>
      <c r="C910" t="s">
        <v>18</v>
      </c>
      <c r="D910" t="s">
        <v>21</v>
      </c>
      <c r="E910">
        <v>36</v>
      </c>
      <c r="F910" t="s">
        <v>33</v>
      </c>
      <c r="G910" t="s">
        <v>15</v>
      </c>
      <c r="H910" s="1">
        <v>264.74</v>
      </c>
      <c r="I910" t="s">
        <v>24</v>
      </c>
      <c r="J910">
        <v>1</v>
      </c>
      <c r="K910">
        <v>3</v>
      </c>
    </row>
    <row r="911" spans="1:11" x14ac:dyDescent="0.35">
      <c r="A911" t="s">
        <v>948</v>
      </c>
      <c r="B911">
        <v>62</v>
      </c>
      <c r="C911" t="s">
        <v>12</v>
      </c>
      <c r="D911" t="s">
        <v>13</v>
      </c>
      <c r="E911">
        <v>17</v>
      </c>
      <c r="F911" t="s">
        <v>31</v>
      </c>
      <c r="G911" t="s">
        <v>23</v>
      </c>
      <c r="H911" s="1">
        <v>368.74</v>
      </c>
      <c r="I911" t="s">
        <v>24</v>
      </c>
      <c r="J911">
        <v>1</v>
      </c>
      <c r="K911">
        <v>5</v>
      </c>
    </row>
    <row r="912" spans="1:11" x14ac:dyDescent="0.35">
      <c r="A912" t="s">
        <v>949</v>
      </c>
      <c r="B912">
        <v>52</v>
      </c>
      <c r="C912" t="s">
        <v>12</v>
      </c>
      <c r="D912" t="s">
        <v>19</v>
      </c>
      <c r="E912">
        <v>7</v>
      </c>
      <c r="F912" t="s">
        <v>26</v>
      </c>
      <c r="G912" t="s">
        <v>34</v>
      </c>
      <c r="H912" s="1">
        <v>187.92</v>
      </c>
      <c r="I912" t="s">
        <v>24</v>
      </c>
      <c r="J912">
        <v>2</v>
      </c>
      <c r="K912">
        <v>9</v>
      </c>
    </row>
    <row r="913" spans="1:11" x14ac:dyDescent="0.35">
      <c r="A913" t="s">
        <v>950</v>
      </c>
      <c r="B913">
        <v>37</v>
      </c>
      <c r="C913" t="s">
        <v>12</v>
      </c>
      <c r="D913" t="s">
        <v>19</v>
      </c>
      <c r="E913">
        <v>8</v>
      </c>
      <c r="F913" t="s">
        <v>22</v>
      </c>
      <c r="G913" t="s">
        <v>15</v>
      </c>
      <c r="H913" s="1">
        <v>201.98</v>
      </c>
      <c r="I913" t="s">
        <v>24</v>
      </c>
      <c r="J913">
        <v>0</v>
      </c>
      <c r="K913">
        <v>8</v>
      </c>
    </row>
    <row r="914" spans="1:11" x14ac:dyDescent="0.35">
      <c r="A914" t="s">
        <v>951</v>
      </c>
      <c r="B914">
        <v>22</v>
      </c>
      <c r="C914" t="s">
        <v>18</v>
      </c>
      <c r="D914" t="s">
        <v>19</v>
      </c>
      <c r="E914">
        <v>8</v>
      </c>
      <c r="F914" t="s">
        <v>31</v>
      </c>
      <c r="G914" t="s">
        <v>15</v>
      </c>
      <c r="H914" s="1">
        <v>328.29</v>
      </c>
      <c r="I914" t="s">
        <v>24</v>
      </c>
      <c r="J914">
        <v>0</v>
      </c>
      <c r="K914">
        <v>7</v>
      </c>
    </row>
    <row r="915" spans="1:11" x14ac:dyDescent="0.35">
      <c r="A915" t="s">
        <v>952</v>
      </c>
      <c r="B915">
        <v>65</v>
      </c>
      <c r="C915" t="s">
        <v>12</v>
      </c>
      <c r="D915" t="s">
        <v>19</v>
      </c>
      <c r="E915">
        <v>12</v>
      </c>
      <c r="F915" t="s">
        <v>31</v>
      </c>
      <c r="G915" t="s">
        <v>37</v>
      </c>
      <c r="H915" s="1">
        <v>180.52</v>
      </c>
      <c r="I915" t="s">
        <v>24</v>
      </c>
      <c r="J915">
        <v>0</v>
      </c>
      <c r="K915">
        <v>5</v>
      </c>
    </row>
    <row r="916" spans="1:11" x14ac:dyDescent="0.35">
      <c r="A916" t="s">
        <v>953</v>
      </c>
      <c r="B916">
        <v>37</v>
      </c>
      <c r="C916" t="s">
        <v>18</v>
      </c>
      <c r="D916" t="s">
        <v>13</v>
      </c>
      <c r="E916">
        <v>13</v>
      </c>
      <c r="F916" t="s">
        <v>31</v>
      </c>
      <c r="G916" t="s">
        <v>23</v>
      </c>
      <c r="H916" s="1">
        <v>496.26</v>
      </c>
      <c r="I916" t="s">
        <v>24</v>
      </c>
      <c r="J916">
        <v>3</v>
      </c>
      <c r="K916">
        <v>8</v>
      </c>
    </row>
    <row r="917" spans="1:11" x14ac:dyDescent="0.35">
      <c r="A917" t="s">
        <v>954</v>
      </c>
      <c r="B917">
        <v>35</v>
      </c>
      <c r="C917" t="s">
        <v>18</v>
      </c>
      <c r="D917" t="s">
        <v>21</v>
      </c>
      <c r="E917">
        <v>36</v>
      </c>
      <c r="F917" t="s">
        <v>31</v>
      </c>
      <c r="G917" t="s">
        <v>15</v>
      </c>
      <c r="H917" s="1">
        <v>256.93</v>
      </c>
      <c r="I917" t="s">
        <v>24</v>
      </c>
      <c r="J917">
        <v>2</v>
      </c>
      <c r="K917">
        <v>1</v>
      </c>
    </row>
    <row r="918" spans="1:11" x14ac:dyDescent="0.35">
      <c r="A918" t="s">
        <v>955</v>
      </c>
      <c r="B918">
        <v>64</v>
      </c>
      <c r="C918" t="s">
        <v>18</v>
      </c>
      <c r="D918" t="s">
        <v>19</v>
      </c>
      <c r="E918">
        <v>12</v>
      </c>
      <c r="F918" t="s">
        <v>22</v>
      </c>
      <c r="G918" t="s">
        <v>23</v>
      </c>
      <c r="H918" s="1">
        <v>589.23</v>
      </c>
      <c r="I918" t="s">
        <v>24</v>
      </c>
      <c r="J918">
        <v>2</v>
      </c>
      <c r="K918">
        <v>8</v>
      </c>
    </row>
    <row r="919" spans="1:11" x14ac:dyDescent="0.35">
      <c r="A919" t="s">
        <v>956</v>
      </c>
      <c r="B919">
        <v>57</v>
      </c>
      <c r="C919" t="s">
        <v>189</v>
      </c>
      <c r="D919" t="s">
        <v>19</v>
      </c>
      <c r="E919">
        <v>18</v>
      </c>
      <c r="F919" t="s">
        <v>31</v>
      </c>
      <c r="G919" t="s">
        <v>27</v>
      </c>
      <c r="H919" s="1">
        <v>156.30000000000001</v>
      </c>
      <c r="I919" t="s">
        <v>24</v>
      </c>
      <c r="J919">
        <v>2</v>
      </c>
      <c r="K919">
        <v>6</v>
      </c>
    </row>
    <row r="920" spans="1:11" x14ac:dyDescent="0.35">
      <c r="A920" t="s">
        <v>957</v>
      </c>
      <c r="B920">
        <v>46</v>
      </c>
      <c r="C920" t="s">
        <v>12</v>
      </c>
      <c r="D920" t="s">
        <v>13</v>
      </c>
      <c r="E920">
        <v>23</v>
      </c>
      <c r="F920" t="s">
        <v>31</v>
      </c>
      <c r="G920" t="s">
        <v>23</v>
      </c>
      <c r="H920" s="1">
        <v>565.55999999999995</v>
      </c>
      <c r="I920" t="s">
        <v>24</v>
      </c>
      <c r="J920">
        <v>2</v>
      </c>
      <c r="K920">
        <v>2</v>
      </c>
    </row>
    <row r="921" spans="1:11" x14ac:dyDescent="0.35">
      <c r="A921" t="s">
        <v>958</v>
      </c>
      <c r="B921">
        <v>27</v>
      </c>
      <c r="C921" t="s">
        <v>12</v>
      </c>
      <c r="D921" t="s">
        <v>13</v>
      </c>
      <c r="E921">
        <v>8</v>
      </c>
      <c r="F921" t="s">
        <v>31</v>
      </c>
      <c r="G921" t="s">
        <v>37</v>
      </c>
      <c r="H921" s="1">
        <v>165.91</v>
      </c>
      <c r="I921" t="s">
        <v>24</v>
      </c>
      <c r="J921">
        <v>0</v>
      </c>
      <c r="K921">
        <v>7</v>
      </c>
    </row>
    <row r="922" spans="1:11" x14ac:dyDescent="0.35">
      <c r="A922" t="s">
        <v>959</v>
      </c>
      <c r="B922">
        <v>58</v>
      </c>
      <c r="C922" t="s">
        <v>12</v>
      </c>
      <c r="D922" t="s">
        <v>19</v>
      </c>
      <c r="E922">
        <v>6</v>
      </c>
      <c r="F922" t="s">
        <v>33</v>
      </c>
      <c r="G922" t="s">
        <v>15</v>
      </c>
      <c r="H922" s="1">
        <v>441.54</v>
      </c>
      <c r="I922" t="s">
        <v>43</v>
      </c>
      <c r="J922">
        <v>0</v>
      </c>
      <c r="K922">
        <v>9</v>
      </c>
    </row>
    <row r="923" spans="1:11" x14ac:dyDescent="0.35">
      <c r="A923" t="s">
        <v>960</v>
      </c>
      <c r="B923">
        <v>33</v>
      </c>
      <c r="C923" t="s">
        <v>12</v>
      </c>
      <c r="D923" t="s">
        <v>21</v>
      </c>
      <c r="E923">
        <v>29</v>
      </c>
      <c r="F923" t="s">
        <v>33</v>
      </c>
      <c r="G923" t="s">
        <v>27</v>
      </c>
      <c r="H923" s="1">
        <v>104.55</v>
      </c>
      <c r="I923" t="s">
        <v>24</v>
      </c>
      <c r="J923">
        <v>2</v>
      </c>
      <c r="K923">
        <v>4</v>
      </c>
    </row>
    <row r="924" spans="1:11" x14ac:dyDescent="0.35">
      <c r="A924" t="s">
        <v>961</v>
      </c>
      <c r="B924">
        <v>31</v>
      </c>
      <c r="C924" t="s">
        <v>18</v>
      </c>
      <c r="D924" t="s">
        <v>13</v>
      </c>
      <c r="E924">
        <v>17</v>
      </c>
      <c r="F924" t="s">
        <v>31</v>
      </c>
      <c r="G924" t="s">
        <v>34</v>
      </c>
      <c r="H924" s="1">
        <v>96.46</v>
      </c>
      <c r="I924" t="s">
        <v>28</v>
      </c>
      <c r="J924">
        <v>2</v>
      </c>
      <c r="K924">
        <v>6</v>
      </c>
    </row>
    <row r="925" spans="1:11" x14ac:dyDescent="0.35">
      <c r="A925" t="s">
        <v>962</v>
      </c>
      <c r="B925">
        <v>54</v>
      </c>
      <c r="C925" t="s">
        <v>12</v>
      </c>
      <c r="D925" t="s">
        <v>19</v>
      </c>
      <c r="E925">
        <v>22</v>
      </c>
      <c r="F925" t="s">
        <v>33</v>
      </c>
      <c r="G925" t="s">
        <v>27</v>
      </c>
      <c r="H925" s="1">
        <v>105.17</v>
      </c>
      <c r="I925" t="s">
        <v>24</v>
      </c>
      <c r="J925">
        <v>1</v>
      </c>
      <c r="K925">
        <v>3</v>
      </c>
    </row>
    <row r="926" spans="1:11" x14ac:dyDescent="0.35">
      <c r="A926" t="s">
        <v>963</v>
      </c>
      <c r="B926">
        <v>22</v>
      </c>
      <c r="C926" t="s">
        <v>18</v>
      </c>
      <c r="D926" t="s">
        <v>21</v>
      </c>
      <c r="E926">
        <v>19</v>
      </c>
      <c r="F926" t="s">
        <v>26</v>
      </c>
      <c r="G926" t="s">
        <v>15</v>
      </c>
      <c r="H926" s="1">
        <v>324.99</v>
      </c>
      <c r="I926" t="s">
        <v>24</v>
      </c>
      <c r="J926">
        <v>0</v>
      </c>
      <c r="K926">
        <v>5</v>
      </c>
    </row>
    <row r="927" spans="1:11" x14ac:dyDescent="0.35">
      <c r="A927" t="s">
        <v>964</v>
      </c>
      <c r="B927">
        <v>49</v>
      </c>
      <c r="C927" t="s">
        <v>12</v>
      </c>
      <c r="D927" t="s">
        <v>19</v>
      </c>
      <c r="E927">
        <v>23</v>
      </c>
      <c r="F927" t="s">
        <v>26</v>
      </c>
      <c r="G927" t="s">
        <v>37</v>
      </c>
      <c r="H927" s="1">
        <v>129.55000000000001</v>
      </c>
      <c r="I927" t="s">
        <v>24</v>
      </c>
      <c r="J927">
        <v>1</v>
      </c>
      <c r="K927">
        <v>1</v>
      </c>
    </row>
    <row r="928" spans="1:11" x14ac:dyDescent="0.35">
      <c r="A928" t="s">
        <v>965</v>
      </c>
      <c r="B928">
        <v>45</v>
      </c>
      <c r="C928" t="s">
        <v>12</v>
      </c>
      <c r="D928" t="s">
        <v>19</v>
      </c>
      <c r="E928">
        <v>19</v>
      </c>
      <c r="F928" t="s">
        <v>22</v>
      </c>
      <c r="G928" t="s">
        <v>37</v>
      </c>
      <c r="H928" s="1">
        <v>174.75</v>
      </c>
      <c r="I928" t="s">
        <v>24</v>
      </c>
      <c r="J928">
        <v>2</v>
      </c>
      <c r="K928">
        <v>3</v>
      </c>
    </row>
    <row r="929" spans="1:11" x14ac:dyDescent="0.35">
      <c r="A929" t="s">
        <v>966</v>
      </c>
      <c r="B929">
        <v>39</v>
      </c>
      <c r="C929" t="s">
        <v>18</v>
      </c>
      <c r="D929" t="s">
        <v>21</v>
      </c>
      <c r="E929">
        <v>37</v>
      </c>
      <c r="F929" t="s">
        <v>33</v>
      </c>
      <c r="G929" t="s">
        <v>34</v>
      </c>
      <c r="H929" s="1">
        <v>173.23</v>
      </c>
      <c r="I929" t="s">
        <v>24</v>
      </c>
      <c r="J929">
        <v>1</v>
      </c>
      <c r="K929">
        <v>1</v>
      </c>
    </row>
    <row r="930" spans="1:11" x14ac:dyDescent="0.35">
      <c r="A930" t="s">
        <v>967</v>
      </c>
      <c r="B930">
        <v>32</v>
      </c>
      <c r="C930" t="s">
        <v>12</v>
      </c>
      <c r="D930" t="s">
        <v>21</v>
      </c>
      <c r="E930">
        <v>41</v>
      </c>
      <c r="F930" t="s">
        <v>22</v>
      </c>
      <c r="G930" t="s">
        <v>15</v>
      </c>
      <c r="H930" s="1">
        <v>232.41</v>
      </c>
      <c r="I930" t="s">
        <v>24</v>
      </c>
      <c r="J930">
        <v>0</v>
      </c>
      <c r="K930">
        <v>3</v>
      </c>
    </row>
    <row r="931" spans="1:11" x14ac:dyDescent="0.35">
      <c r="A931" t="s">
        <v>968</v>
      </c>
      <c r="B931">
        <v>40</v>
      </c>
      <c r="C931" t="s">
        <v>18</v>
      </c>
      <c r="D931" t="s">
        <v>13</v>
      </c>
      <c r="E931">
        <v>18</v>
      </c>
      <c r="F931" t="s">
        <v>14</v>
      </c>
      <c r="G931" t="s">
        <v>23</v>
      </c>
      <c r="H931" s="1">
        <v>0</v>
      </c>
      <c r="I931" t="s">
        <v>16</v>
      </c>
      <c r="J931">
        <v>2</v>
      </c>
      <c r="K931">
        <v>5</v>
      </c>
    </row>
    <row r="932" spans="1:11" x14ac:dyDescent="0.35">
      <c r="A932" t="s">
        <v>969</v>
      </c>
      <c r="B932">
        <v>34</v>
      </c>
      <c r="C932" t="s">
        <v>12</v>
      </c>
      <c r="D932" t="s">
        <v>30</v>
      </c>
      <c r="E932">
        <v>7</v>
      </c>
      <c r="F932" t="s">
        <v>14</v>
      </c>
      <c r="G932" t="s">
        <v>15</v>
      </c>
      <c r="H932" s="1">
        <v>0</v>
      </c>
      <c r="I932" t="s">
        <v>16</v>
      </c>
      <c r="J932">
        <v>0</v>
      </c>
      <c r="K932">
        <v>9</v>
      </c>
    </row>
    <row r="933" spans="1:11" x14ac:dyDescent="0.35">
      <c r="A933" t="s">
        <v>970</v>
      </c>
      <c r="B933">
        <v>64</v>
      </c>
      <c r="C933" t="s">
        <v>18</v>
      </c>
      <c r="D933" t="s">
        <v>200</v>
      </c>
      <c r="E933">
        <v>7</v>
      </c>
      <c r="F933" t="s">
        <v>31</v>
      </c>
      <c r="G933" t="s">
        <v>27</v>
      </c>
      <c r="H933" s="1">
        <v>173.33</v>
      </c>
      <c r="I933" t="s">
        <v>28</v>
      </c>
      <c r="J933">
        <v>0</v>
      </c>
      <c r="K933">
        <v>8</v>
      </c>
    </row>
    <row r="934" spans="1:11" x14ac:dyDescent="0.35">
      <c r="A934" t="s">
        <v>971</v>
      </c>
      <c r="B934">
        <v>37</v>
      </c>
      <c r="C934" t="s">
        <v>18</v>
      </c>
      <c r="D934" t="s">
        <v>19</v>
      </c>
      <c r="E934">
        <v>9</v>
      </c>
      <c r="F934" t="s">
        <v>33</v>
      </c>
      <c r="G934" t="s">
        <v>15</v>
      </c>
      <c r="H934" s="1">
        <v>422.98</v>
      </c>
      <c r="I934" t="s">
        <v>24</v>
      </c>
      <c r="J934">
        <v>1</v>
      </c>
      <c r="K934">
        <v>6</v>
      </c>
    </row>
    <row r="935" spans="1:11" x14ac:dyDescent="0.35">
      <c r="A935" t="s">
        <v>972</v>
      </c>
      <c r="B935">
        <v>20</v>
      </c>
      <c r="C935" t="s">
        <v>18</v>
      </c>
      <c r="D935" t="s">
        <v>21</v>
      </c>
      <c r="E935">
        <v>17</v>
      </c>
      <c r="F935" t="s">
        <v>33</v>
      </c>
      <c r="G935" t="s">
        <v>37</v>
      </c>
      <c r="H935" s="1">
        <v>157.83000000000001</v>
      </c>
      <c r="I935" t="s">
        <v>24</v>
      </c>
      <c r="J935">
        <v>1</v>
      </c>
      <c r="K935">
        <v>7</v>
      </c>
    </row>
    <row r="936" spans="1:11" x14ac:dyDescent="0.35">
      <c r="A936" t="s">
        <v>973</v>
      </c>
      <c r="B936">
        <v>39</v>
      </c>
      <c r="C936" t="s">
        <v>12</v>
      </c>
      <c r="D936" t="s">
        <v>30</v>
      </c>
      <c r="E936">
        <v>6</v>
      </c>
      <c r="F936" t="s">
        <v>33</v>
      </c>
      <c r="G936" t="s">
        <v>37</v>
      </c>
      <c r="H936" s="1">
        <v>153.66</v>
      </c>
      <c r="I936" t="s">
        <v>24</v>
      </c>
      <c r="J936">
        <v>0</v>
      </c>
      <c r="K936">
        <v>8</v>
      </c>
    </row>
    <row r="937" spans="1:11" x14ac:dyDescent="0.35">
      <c r="A937" t="s">
        <v>974</v>
      </c>
      <c r="B937">
        <v>60</v>
      </c>
      <c r="C937" t="s">
        <v>18</v>
      </c>
      <c r="D937" t="s">
        <v>19</v>
      </c>
      <c r="E937">
        <v>6</v>
      </c>
      <c r="F937" t="s">
        <v>33</v>
      </c>
      <c r="G937" t="s">
        <v>37</v>
      </c>
      <c r="H937" s="1">
        <v>183.18</v>
      </c>
      <c r="I937" t="s">
        <v>24</v>
      </c>
      <c r="J937">
        <v>0</v>
      </c>
      <c r="K937">
        <v>8</v>
      </c>
    </row>
    <row r="938" spans="1:11" x14ac:dyDescent="0.35">
      <c r="A938" t="s">
        <v>975</v>
      </c>
      <c r="B938">
        <v>83</v>
      </c>
      <c r="C938" t="s">
        <v>18</v>
      </c>
      <c r="D938" t="s">
        <v>21</v>
      </c>
      <c r="E938">
        <v>14</v>
      </c>
      <c r="F938" t="s">
        <v>22</v>
      </c>
      <c r="G938" t="s">
        <v>23</v>
      </c>
      <c r="H938" s="1">
        <v>104.78</v>
      </c>
      <c r="I938" t="s">
        <v>24</v>
      </c>
      <c r="J938">
        <v>1</v>
      </c>
      <c r="K938">
        <v>5</v>
      </c>
    </row>
    <row r="939" spans="1:11" x14ac:dyDescent="0.35">
      <c r="A939" t="s">
        <v>976</v>
      </c>
      <c r="B939">
        <v>81</v>
      </c>
      <c r="C939" t="s">
        <v>12</v>
      </c>
      <c r="D939" t="s">
        <v>47</v>
      </c>
      <c r="E939">
        <v>13</v>
      </c>
      <c r="F939" t="s">
        <v>33</v>
      </c>
      <c r="G939" t="s">
        <v>27</v>
      </c>
      <c r="H939" s="1">
        <v>144.55000000000001</v>
      </c>
      <c r="I939" t="s">
        <v>24</v>
      </c>
      <c r="J939">
        <v>3</v>
      </c>
      <c r="K939">
        <v>8</v>
      </c>
    </row>
    <row r="940" spans="1:11" x14ac:dyDescent="0.35">
      <c r="A940" t="s">
        <v>977</v>
      </c>
      <c r="B940">
        <v>53</v>
      </c>
      <c r="C940" t="s">
        <v>12</v>
      </c>
      <c r="D940" t="s">
        <v>19</v>
      </c>
      <c r="E940">
        <v>14</v>
      </c>
      <c r="F940" t="s">
        <v>22</v>
      </c>
      <c r="G940" t="s">
        <v>34</v>
      </c>
      <c r="H940" s="1">
        <v>126.78</v>
      </c>
      <c r="I940" t="s">
        <v>24</v>
      </c>
      <c r="J940">
        <v>1</v>
      </c>
      <c r="K940">
        <v>4</v>
      </c>
    </row>
    <row r="941" spans="1:11" x14ac:dyDescent="0.35">
      <c r="A941" t="s">
        <v>978</v>
      </c>
      <c r="B941">
        <v>58</v>
      </c>
      <c r="C941" t="s">
        <v>12</v>
      </c>
      <c r="D941" t="s">
        <v>21</v>
      </c>
      <c r="E941">
        <v>30</v>
      </c>
      <c r="F941" t="s">
        <v>14</v>
      </c>
      <c r="G941" t="s">
        <v>37</v>
      </c>
      <c r="H941" s="1">
        <v>0</v>
      </c>
      <c r="I941" t="s">
        <v>16</v>
      </c>
      <c r="J941">
        <v>1</v>
      </c>
      <c r="K941">
        <v>3</v>
      </c>
    </row>
    <row r="942" spans="1:11" x14ac:dyDescent="0.35">
      <c r="A942" t="s">
        <v>979</v>
      </c>
      <c r="B942">
        <v>34</v>
      </c>
      <c r="C942" t="s">
        <v>18</v>
      </c>
      <c r="D942" t="s">
        <v>21</v>
      </c>
      <c r="E942">
        <v>14</v>
      </c>
      <c r="F942" t="s">
        <v>31</v>
      </c>
      <c r="G942" t="s">
        <v>27</v>
      </c>
      <c r="H942" s="1">
        <v>32.159999999999997</v>
      </c>
      <c r="I942" t="s">
        <v>24</v>
      </c>
      <c r="J942">
        <v>3</v>
      </c>
      <c r="K942">
        <v>6</v>
      </c>
    </row>
    <row r="943" spans="1:11" x14ac:dyDescent="0.35">
      <c r="A943" t="s">
        <v>980</v>
      </c>
      <c r="B943">
        <v>43</v>
      </c>
      <c r="C943" t="s">
        <v>12</v>
      </c>
      <c r="D943" t="s">
        <v>41</v>
      </c>
      <c r="E943">
        <v>12</v>
      </c>
      <c r="F943" t="s">
        <v>26</v>
      </c>
      <c r="G943" t="s">
        <v>15</v>
      </c>
      <c r="H943" s="1">
        <v>286.26</v>
      </c>
      <c r="I943" t="s">
        <v>24</v>
      </c>
      <c r="J943">
        <v>3</v>
      </c>
      <c r="K943">
        <v>5</v>
      </c>
    </row>
    <row r="944" spans="1:11" x14ac:dyDescent="0.35">
      <c r="A944" t="s">
        <v>981</v>
      </c>
      <c r="B944">
        <v>47</v>
      </c>
      <c r="C944" t="s">
        <v>18</v>
      </c>
      <c r="D944" t="s">
        <v>120</v>
      </c>
      <c r="E944">
        <v>38</v>
      </c>
      <c r="F944" t="s">
        <v>31</v>
      </c>
      <c r="G944" t="s">
        <v>23</v>
      </c>
      <c r="H944" s="1">
        <v>515.42999999999995</v>
      </c>
      <c r="I944" t="s">
        <v>24</v>
      </c>
      <c r="J944">
        <v>1</v>
      </c>
      <c r="K944">
        <v>3</v>
      </c>
    </row>
    <row r="945" spans="1:11" x14ac:dyDescent="0.35">
      <c r="A945" t="s">
        <v>982</v>
      </c>
      <c r="B945">
        <v>37</v>
      </c>
      <c r="C945" t="s">
        <v>528</v>
      </c>
      <c r="D945" t="s">
        <v>19</v>
      </c>
      <c r="E945">
        <v>11</v>
      </c>
      <c r="F945" t="s">
        <v>31</v>
      </c>
      <c r="G945" t="s">
        <v>15</v>
      </c>
      <c r="H945" s="1">
        <v>294.5</v>
      </c>
      <c r="I945" t="s">
        <v>28</v>
      </c>
      <c r="J945">
        <v>3</v>
      </c>
      <c r="K945">
        <v>5</v>
      </c>
    </row>
    <row r="946" spans="1:11" x14ac:dyDescent="0.35">
      <c r="A946" t="s">
        <v>983</v>
      </c>
      <c r="B946">
        <v>33</v>
      </c>
      <c r="C946" t="s">
        <v>12</v>
      </c>
      <c r="D946" t="s">
        <v>19</v>
      </c>
      <c r="E946">
        <v>9</v>
      </c>
      <c r="F946" t="s">
        <v>31</v>
      </c>
      <c r="G946" t="s">
        <v>37</v>
      </c>
      <c r="H946" s="1">
        <v>192.26</v>
      </c>
      <c r="I946" t="s">
        <v>28</v>
      </c>
      <c r="J946">
        <v>0</v>
      </c>
      <c r="K946">
        <v>8</v>
      </c>
    </row>
    <row r="947" spans="1:11" x14ac:dyDescent="0.35">
      <c r="A947" t="s">
        <v>984</v>
      </c>
      <c r="B947">
        <v>56</v>
      </c>
      <c r="C947" t="s">
        <v>18</v>
      </c>
      <c r="D947" t="s">
        <v>30</v>
      </c>
      <c r="E947">
        <v>5</v>
      </c>
      <c r="F947" t="s">
        <v>33</v>
      </c>
      <c r="G947" t="s">
        <v>15</v>
      </c>
      <c r="H947" s="1">
        <v>301.39</v>
      </c>
      <c r="I947" t="s">
        <v>24</v>
      </c>
      <c r="J947">
        <v>0</v>
      </c>
      <c r="K947">
        <v>9</v>
      </c>
    </row>
    <row r="948" spans="1:11" x14ac:dyDescent="0.35">
      <c r="A948" t="s">
        <v>985</v>
      </c>
      <c r="B948">
        <v>82</v>
      </c>
      <c r="C948" t="s">
        <v>18</v>
      </c>
      <c r="D948" t="s">
        <v>19</v>
      </c>
      <c r="E948">
        <v>7</v>
      </c>
      <c r="F948" t="s">
        <v>33</v>
      </c>
      <c r="G948" t="s">
        <v>15</v>
      </c>
      <c r="H948" s="1">
        <v>417.9</v>
      </c>
      <c r="I948" t="s">
        <v>24</v>
      </c>
      <c r="J948">
        <v>0</v>
      </c>
      <c r="K948">
        <v>8</v>
      </c>
    </row>
    <row r="949" spans="1:11" x14ac:dyDescent="0.35">
      <c r="A949" t="s">
        <v>986</v>
      </c>
      <c r="B949">
        <v>18</v>
      </c>
      <c r="C949" t="s">
        <v>18</v>
      </c>
      <c r="D949" t="s">
        <v>19</v>
      </c>
      <c r="E949">
        <v>20</v>
      </c>
      <c r="F949" t="s">
        <v>31</v>
      </c>
      <c r="G949" t="s">
        <v>34</v>
      </c>
      <c r="H949" s="1">
        <v>105.75</v>
      </c>
      <c r="I949" t="s">
        <v>24</v>
      </c>
      <c r="J949">
        <v>3</v>
      </c>
      <c r="K949">
        <v>1</v>
      </c>
    </row>
    <row r="950" spans="1:11" x14ac:dyDescent="0.35">
      <c r="A950" t="s">
        <v>987</v>
      </c>
      <c r="B950">
        <v>44</v>
      </c>
      <c r="C950" t="s">
        <v>18</v>
      </c>
      <c r="D950" t="s">
        <v>13</v>
      </c>
      <c r="E950">
        <v>17</v>
      </c>
      <c r="F950" t="s">
        <v>33</v>
      </c>
      <c r="G950" t="s">
        <v>27</v>
      </c>
      <c r="H950" s="1">
        <v>86.87</v>
      </c>
      <c r="I950" t="s">
        <v>24</v>
      </c>
      <c r="J950">
        <v>0</v>
      </c>
      <c r="K950">
        <v>8</v>
      </c>
    </row>
    <row r="951" spans="1:11" x14ac:dyDescent="0.35">
      <c r="A951" t="s">
        <v>988</v>
      </c>
      <c r="B951">
        <v>30</v>
      </c>
      <c r="C951" t="s">
        <v>12</v>
      </c>
      <c r="D951" t="s">
        <v>21</v>
      </c>
      <c r="E951">
        <v>40</v>
      </c>
      <c r="F951" t="s">
        <v>22</v>
      </c>
      <c r="G951" t="s">
        <v>34</v>
      </c>
      <c r="H951" s="1">
        <v>93.61</v>
      </c>
      <c r="I951" t="s">
        <v>24</v>
      </c>
      <c r="J951">
        <v>1</v>
      </c>
      <c r="K951">
        <v>3</v>
      </c>
    </row>
    <row r="952" spans="1:11" x14ac:dyDescent="0.35">
      <c r="A952" t="s">
        <v>989</v>
      </c>
      <c r="B952">
        <v>76</v>
      </c>
      <c r="C952" t="s">
        <v>18</v>
      </c>
      <c r="D952" t="s">
        <v>30</v>
      </c>
      <c r="E952">
        <v>5</v>
      </c>
      <c r="F952" t="s">
        <v>22</v>
      </c>
      <c r="G952" t="s">
        <v>15</v>
      </c>
      <c r="H952" s="1">
        <v>96.81</v>
      </c>
      <c r="I952" t="s">
        <v>43</v>
      </c>
      <c r="J952">
        <v>0</v>
      </c>
      <c r="K952">
        <v>10</v>
      </c>
    </row>
    <row r="953" spans="1:11" x14ac:dyDescent="0.35">
      <c r="A953" t="s">
        <v>990</v>
      </c>
      <c r="B953">
        <v>35</v>
      </c>
      <c r="C953" t="s">
        <v>12</v>
      </c>
      <c r="D953" t="s">
        <v>13</v>
      </c>
      <c r="E953">
        <v>23</v>
      </c>
      <c r="F953" t="s">
        <v>33</v>
      </c>
      <c r="G953" t="s">
        <v>37</v>
      </c>
      <c r="H953" s="1">
        <v>156.29</v>
      </c>
      <c r="I953" t="s">
        <v>24</v>
      </c>
      <c r="J953">
        <v>1</v>
      </c>
      <c r="K953">
        <v>2</v>
      </c>
    </row>
    <row r="954" spans="1:11" x14ac:dyDescent="0.35">
      <c r="A954" t="s">
        <v>991</v>
      </c>
      <c r="B954">
        <v>21</v>
      </c>
      <c r="C954" t="s">
        <v>12</v>
      </c>
      <c r="D954" t="s">
        <v>30</v>
      </c>
      <c r="E954">
        <v>12</v>
      </c>
      <c r="F954" t="s">
        <v>33</v>
      </c>
      <c r="G954" t="s">
        <v>37</v>
      </c>
      <c r="H954" s="1">
        <v>199.19</v>
      </c>
      <c r="I954" t="s">
        <v>24</v>
      </c>
      <c r="J954">
        <v>0</v>
      </c>
      <c r="K954">
        <v>5</v>
      </c>
    </row>
    <row r="955" spans="1:11" x14ac:dyDescent="0.35">
      <c r="A955" t="s">
        <v>992</v>
      </c>
      <c r="B955">
        <v>36</v>
      </c>
      <c r="C955" t="s">
        <v>12</v>
      </c>
      <c r="D955" t="s">
        <v>21</v>
      </c>
      <c r="E955">
        <v>20</v>
      </c>
      <c r="F955" t="s">
        <v>26</v>
      </c>
      <c r="G955" t="s">
        <v>34</v>
      </c>
      <c r="H955" s="1">
        <v>167.59</v>
      </c>
      <c r="I955" t="s">
        <v>24</v>
      </c>
      <c r="J955">
        <v>3</v>
      </c>
      <c r="K955">
        <v>2</v>
      </c>
    </row>
    <row r="956" spans="1:11" x14ac:dyDescent="0.35">
      <c r="A956" t="s">
        <v>993</v>
      </c>
      <c r="B956">
        <v>22</v>
      </c>
      <c r="C956" t="s">
        <v>12</v>
      </c>
      <c r="D956" t="s">
        <v>30</v>
      </c>
      <c r="E956">
        <v>14</v>
      </c>
      <c r="F956" t="s">
        <v>31</v>
      </c>
      <c r="G956" t="s">
        <v>34</v>
      </c>
      <c r="H956" s="1">
        <v>215.78</v>
      </c>
      <c r="I956" t="s">
        <v>24</v>
      </c>
      <c r="J956">
        <v>2</v>
      </c>
      <c r="K956">
        <v>8</v>
      </c>
    </row>
    <row r="957" spans="1:11" x14ac:dyDescent="0.35">
      <c r="A957" t="s">
        <v>994</v>
      </c>
      <c r="B957">
        <v>37</v>
      </c>
      <c r="C957" t="s">
        <v>12</v>
      </c>
      <c r="D957" t="s">
        <v>19</v>
      </c>
      <c r="E957">
        <v>23</v>
      </c>
      <c r="F957" t="s">
        <v>33</v>
      </c>
      <c r="G957" t="s">
        <v>27</v>
      </c>
      <c r="H957" s="1">
        <v>169.25</v>
      </c>
      <c r="I957" t="s">
        <v>24</v>
      </c>
      <c r="J957">
        <v>0</v>
      </c>
      <c r="K957">
        <v>1</v>
      </c>
    </row>
    <row r="958" spans="1:11" x14ac:dyDescent="0.35">
      <c r="A958" t="s">
        <v>995</v>
      </c>
      <c r="B958">
        <v>27</v>
      </c>
      <c r="C958" t="s">
        <v>12</v>
      </c>
      <c r="D958" t="s">
        <v>30</v>
      </c>
      <c r="E958">
        <v>8</v>
      </c>
      <c r="F958" t="s">
        <v>26</v>
      </c>
      <c r="G958" t="s">
        <v>27</v>
      </c>
      <c r="H958" s="1">
        <v>123.79</v>
      </c>
      <c r="I958" t="s">
        <v>28</v>
      </c>
      <c r="J958">
        <v>2</v>
      </c>
      <c r="K958">
        <v>8</v>
      </c>
    </row>
    <row r="959" spans="1:11" x14ac:dyDescent="0.35">
      <c r="A959" t="s">
        <v>996</v>
      </c>
      <c r="B959">
        <v>52</v>
      </c>
      <c r="C959" t="s">
        <v>189</v>
      </c>
      <c r="D959" t="s">
        <v>19</v>
      </c>
      <c r="E959">
        <v>7</v>
      </c>
      <c r="F959" t="s">
        <v>31</v>
      </c>
      <c r="G959" t="s">
        <v>27</v>
      </c>
      <c r="H959" s="1">
        <v>58.55</v>
      </c>
      <c r="I959" t="s">
        <v>24</v>
      </c>
      <c r="J959">
        <v>2</v>
      </c>
      <c r="K959">
        <v>7</v>
      </c>
    </row>
    <row r="960" spans="1:11" x14ac:dyDescent="0.35">
      <c r="A960" t="s">
        <v>997</v>
      </c>
      <c r="B960">
        <v>27</v>
      </c>
      <c r="C960" t="s">
        <v>18</v>
      </c>
      <c r="D960" t="s">
        <v>21</v>
      </c>
      <c r="E960">
        <v>35</v>
      </c>
      <c r="F960" t="s">
        <v>26</v>
      </c>
      <c r="G960" t="s">
        <v>23</v>
      </c>
      <c r="H960" s="1">
        <v>337.24</v>
      </c>
      <c r="I960" t="s">
        <v>24</v>
      </c>
      <c r="J960">
        <v>4</v>
      </c>
      <c r="K960">
        <v>5</v>
      </c>
    </row>
    <row r="961" spans="1:11" x14ac:dyDescent="0.35">
      <c r="A961" t="s">
        <v>998</v>
      </c>
      <c r="B961">
        <v>85</v>
      </c>
      <c r="C961" t="s">
        <v>18</v>
      </c>
      <c r="D961" t="s">
        <v>30</v>
      </c>
      <c r="E961">
        <v>3</v>
      </c>
      <c r="F961" t="s">
        <v>33</v>
      </c>
      <c r="G961" t="s">
        <v>27</v>
      </c>
      <c r="H961" s="1">
        <v>36.58</v>
      </c>
      <c r="I961" t="s">
        <v>28</v>
      </c>
      <c r="J961">
        <v>1</v>
      </c>
      <c r="K961">
        <v>10</v>
      </c>
    </row>
    <row r="962" spans="1:11" x14ac:dyDescent="0.35">
      <c r="A962" t="s">
        <v>999</v>
      </c>
      <c r="B962">
        <v>53</v>
      </c>
      <c r="C962" t="s">
        <v>18</v>
      </c>
      <c r="D962" t="s">
        <v>13</v>
      </c>
      <c r="E962">
        <v>16</v>
      </c>
      <c r="F962" t="s">
        <v>22</v>
      </c>
      <c r="G962" t="s">
        <v>23</v>
      </c>
      <c r="H962" s="1">
        <v>241.52</v>
      </c>
      <c r="I962" t="s">
        <v>24</v>
      </c>
      <c r="J962">
        <v>3</v>
      </c>
      <c r="K962">
        <v>7</v>
      </c>
    </row>
    <row r="963" spans="1:11" x14ac:dyDescent="0.35">
      <c r="A963" t="s">
        <v>1000</v>
      </c>
      <c r="B963">
        <v>49</v>
      </c>
      <c r="C963" t="s">
        <v>18</v>
      </c>
      <c r="D963" t="s">
        <v>120</v>
      </c>
      <c r="E963">
        <v>37</v>
      </c>
      <c r="F963" t="s">
        <v>26</v>
      </c>
      <c r="G963" t="s">
        <v>27</v>
      </c>
      <c r="H963" s="1">
        <v>125.8</v>
      </c>
      <c r="I963" t="s">
        <v>28</v>
      </c>
      <c r="J963">
        <v>3</v>
      </c>
      <c r="K963">
        <v>5</v>
      </c>
    </row>
    <row r="964" spans="1:11" x14ac:dyDescent="0.35">
      <c r="A964" t="s">
        <v>1001</v>
      </c>
      <c r="B964">
        <v>56</v>
      </c>
      <c r="C964" t="s">
        <v>189</v>
      </c>
      <c r="D964" t="s">
        <v>19</v>
      </c>
      <c r="E964">
        <v>12</v>
      </c>
      <c r="F964" t="s">
        <v>31</v>
      </c>
      <c r="G964" t="s">
        <v>37</v>
      </c>
      <c r="H964" s="1">
        <v>107.05</v>
      </c>
      <c r="I964" t="s">
        <v>24</v>
      </c>
      <c r="J964">
        <v>0</v>
      </c>
      <c r="K964">
        <v>4</v>
      </c>
    </row>
    <row r="965" spans="1:11" x14ac:dyDescent="0.35">
      <c r="A965" t="s">
        <v>1002</v>
      </c>
      <c r="B965">
        <v>28</v>
      </c>
      <c r="C965" t="s">
        <v>12</v>
      </c>
      <c r="D965" t="s">
        <v>19</v>
      </c>
      <c r="E965">
        <v>12</v>
      </c>
      <c r="F965" t="s">
        <v>22</v>
      </c>
      <c r="G965" t="s">
        <v>37</v>
      </c>
      <c r="H965" s="1">
        <v>163.93</v>
      </c>
      <c r="I965" t="s">
        <v>28</v>
      </c>
      <c r="J965">
        <v>1</v>
      </c>
      <c r="K965">
        <v>4</v>
      </c>
    </row>
    <row r="966" spans="1:11" x14ac:dyDescent="0.35">
      <c r="A966" t="s">
        <v>1003</v>
      </c>
      <c r="B966">
        <v>80</v>
      </c>
      <c r="C966" t="s">
        <v>18</v>
      </c>
      <c r="D966" t="s">
        <v>19</v>
      </c>
      <c r="E966">
        <v>14</v>
      </c>
      <c r="F966" t="s">
        <v>31</v>
      </c>
      <c r="G966" t="s">
        <v>37</v>
      </c>
      <c r="H966" s="1">
        <v>106.02</v>
      </c>
      <c r="I966" t="s">
        <v>28</v>
      </c>
      <c r="J966">
        <v>1</v>
      </c>
      <c r="K966">
        <v>6</v>
      </c>
    </row>
    <row r="967" spans="1:11" x14ac:dyDescent="0.35">
      <c r="A967" t="s">
        <v>1004</v>
      </c>
      <c r="B967">
        <v>50</v>
      </c>
      <c r="C967" t="s">
        <v>12</v>
      </c>
      <c r="D967" t="s">
        <v>21</v>
      </c>
      <c r="E967">
        <v>15</v>
      </c>
      <c r="F967" t="s">
        <v>22</v>
      </c>
      <c r="G967" t="s">
        <v>27</v>
      </c>
      <c r="H967" s="1">
        <v>117.32</v>
      </c>
      <c r="I967" t="s">
        <v>24</v>
      </c>
      <c r="J967">
        <v>0</v>
      </c>
      <c r="K967">
        <v>4</v>
      </c>
    </row>
    <row r="968" spans="1:11" x14ac:dyDescent="0.35">
      <c r="A968" t="s">
        <v>1005</v>
      </c>
      <c r="B968">
        <v>32</v>
      </c>
      <c r="C968" t="s">
        <v>12</v>
      </c>
      <c r="D968" t="s">
        <v>30</v>
      </c>
      <c r="E968">
        <v>4</v>
      </c>
      <c r="F968" t="s">
        <v>33</v>
      </c>
      <c r="G968" t="s">
        <v>15</v>
      </c>
      <c r="H968" s="1">
        <v>101.32</v>
      </c>
      <c r="I968" t="s">
        <v>24</v>
      </c>
      <c r="J968">
        <v>0</v>
      </c>
      <c r="K968">
        <v>10</v>
      </c>
    </row>
    <row r="969" spans="1:11" x14ac:dyDescent="0.35">
      <c r="A969" t="s">
        <v>1006</v>
      </c>
      <c r="B969">
        <v>46</v>
      </c>
      <c r="C969" t="s">
        <v>12</v>
      </c>
      <c r="D969" t="s">
        <v>19</v>
      </c>
      <c r="E969">
        <v>14</v>
      </c>
      <c r="F969" t="s">
        <v>26</v>
      </c>
      <c r="G969" t="s">
        <v>37</v>
      </c>
      <c r="H969" s="1">
        <v>99.16</v>
      </c>
      <c r="I969" t="s">
        <v>43</v>
      </c>
      <c r="J969">
        <v>0</v>
      </c>
      <c r="K969">
        <v>4</v>
      </c>
    </row>
    <row r="970" spans="1:11" x14ac:dyDescent="0.35">
      <c r="A970" t="s">
        <v>1007</v>
      </c>
      <c r="B970">
        <v>80</v>
      </c>
      <c r="C970" t="s">
        <v>12</v>
      </c>
      <c r="D970" t="s">
        <v>13</v>
      </c>
      <c r="E970">
        <v>11</v>
      </c>
      <c r="F970" t="s">
        <v>31</v>
      </c>
      <c r="G970" t="s">
        <v>34</v>
      </c>
      <c r="H970" s="1">
        <v>92.19</v>
      </c>
      <c r="I970" t="s">
        <v>28</v>
      </c>
      <c r="J970">
        <v>1</v>
      </c>
      <c r="K970">
        <v>8</v>
      </c>
    </row>
    <row r="971" spans="1:11" x14ac:dyDescent="0.35">
      <c r="A971" t="s">
        <v>1008</v>
      </c>
      <c r="B971">
        <v>63</v>
      </c>
      <c r="C971" t="s">
        <v>18</v>
      </c>
      <c r="D971" t="s">
        <v>13</v>
      </c>
      <c r="E971">
        <v>17</v>
      </c>
      <c r="F971" t="s">
        <v>22</v>
      </c>
      <c r="G971" t="s">
        <v>34</v>
      </c>
      <c r="H971" s="1">
        <v>104.14</v>
      </c>
      <c r="I971" t="s">
        <v>24</v>
      </c>
      <c r="J971">
        <v>0</v>
      </c>
      <c r="K971">
        <v>6</v>
      </c>
    </row>
    <row r="972" spans="1:11" x14ac:dyDescent="0.35">
      <c r="A972" t="s">
        <v>1009</v>
      </c>
      <c r="B972">
        <v>59</v>
      </c>
      <c r="C972" t="s">
        <v>12</v>
      </c>
      <c r="D972" t="s">
        <v>13</v>
      </c>
      <c r="E972">
        <v>18</v>
      </c>
      <c r="F972" t="s">
        <v>31</v>
      </c>
      <c r="G972" t="s">
        <v>23</v>
      </c>
      <c r="H972" s="1">
        <v>313.63</v>
      </c>
      <c r="I972" t="s">
        <v>24</v>
      </c>
      <c r="J972">
        <v>2</v>
      </c>
      <c r="K972">
        <v>7</v>
      </c>
    </row>
    <row r="973" spans="1:11" x14ac:dyDescent="0.35">
      <c r="A973" t="s">
        <v>1010</v>
      </c>
      <c r="B973">
        <v>46</v>
      </c>
      <c r="C973" t="s">
        <v>12</v>
      </c>
      <c r="D973" t="s">
        <v>13</v>
      </c>
      <c r="E973">
        <v>13</v>
      </c>
      <c r="F973" t="s">
        <v>22</v>
      </c>
      <c r="G973" t="s">
        <v>37</v>
      </c>
      <c r="H973" s="1">
        <v>178.14</v>
      </c>
      <c r="I973" t="s">
        <v>24</v>
      </c>
      <c r="J973">
        <v>0</v>
      </c>
      <c r="K973">
        <v>5</v>
      </c>
    </row>
    <row r="974" spans="1:11" x14ac:dyDescent="0.35">
      <c r="A974" t="s">
        <v>1011</v>
      </c>
      <c r="B974">
        <v>48</v>
      </c>
      <c r="C974" t="s">
        <v>189</v>
      </c>
      <c r="D974" t="s">
        <v>21</v>
      </c>
      <c r="E974">
        <v>21</v>
      </c>
      <c r="F974" t="s">
        <v>14</v>
      </c>
      <c r="G974" t="s">
        <v>15</v>
      </c>
      <c r="H974" s="1">
        <v>0</v>
      </c>
      <c r="I974" t="s">
        <v>16</v>
      </c>
      <c r="J974">
        <v>2</v>
      </c>
      <c r="K974">
        <v>5</v>
      </c>
    </row>
    <row r="975" spans="1:11" x14ac:dyDescent="0.35">
      <c r="A975" t="s">
        <v>1012</v>
      </c>
      <c r="B975">
        <v>51</v>
      </c>
      <c r="C975" t="s">
        <v>18</v>
      </c>
      <c r="D975" t="s">
        <v>19</v>
      </c>
      <c r="E975">
        <v>12</v>
      </c>
      <c r="F975" t="s">
        <v>33</v>
      </c>
      <c r="G975" t="s">
        <v>27</v>
      </c>
      <c r="H975" s="1">
        <v>87.42</v>
      </c>
      <c r="I975" t="s">
        <v>43</v>
      </c>
      <c r="J975">
        <v>3</v>
      </c>
      <c r="K975">
        <v>6</v>
      </c>
    </row>
    <row r="976" spans="1:11" x14ac:dyDescent="0.35">
      <c r="A976" t="s">
        <v>1013</v>
      </c>
      <c r="B976">
        <v>53</v>
      </c>
      <c r="C976" t="s">
        <v>12</v>
      </c>
      <c r="D976" t="s">
        <v>30</v>
      </c>
      <c r="E976">
        <v>4</v>
      </c>
      <c r="F976" t="s">
        <v>14</v>
      </c>
      <c r="G976" t="s">
        <v>37</v>
      </c>
      <c r="H976" s="1">
        <v>0</v>
      </c>
      <c r="I976" t="s">
        <v>16</v>
      </c>
      <c r="J976">
        <v>1</v>
      </c>
      <c r="K976">
        <v>7</v>
      </c>
    </row>
    <row r="977" spans="1:11" x14ac:dyDescent="0.35">
      <c r="A977" t="s">
        <v>1014</v>
      </c>
      <c r="B977">
        <v>52</v>
      </c>
      <c r="C977" t="s">
        <v>12</v>
      </c>
      <c r="D977" t="s">
        <v>21</v>
      </c>
      <c r="E977">
        <v>48</v>
      </c>
      <c r="F977" t="s">
        <v>31</v>
      </c>
      <c r="G977" t="s">
        <v>37</v>
      </c>
      <c r="H977" s="1">
        <v>148.68</v>
      </c>
      <c r="I977" t="s">
        <v>24</v>
      </c>
      <c r="J977">
        <v>2</v>
      </c>
      <c r="K977">
        <v>5</v>
      </c>
    </row>
    <row r="978" spans="1:11" x14ac:dyDescent="0.35">
      <c r="A978" t="s">
        <v>1015</v>
      </c>
      <c r="B978">
        <v>65</v>
      </c>
      <c r="C978" t="s">
        <v>18</v>
      </c>
      <c r="D978" t="s">
        <v>21</v>
      </c>
      <c r="E978">
        <v>43</v>
      </c>
      <c r="F978" t="s">
        <v>33</v>
      </c>
      <c r="G978" t="s">
        <v>15</v>
      </c>
      <c r="H978" s="1">
        <v>241.15</v>
      </c>
      <c r="I978" t="s">
        <v>24</v>
      </c>
      <c r="J978">
        <v>1</v>
      </c>
      <c r="K978">
        <v>1</v>
      </c>
    </row>
    <row r="979" spans="1:11" x14ac:dyDescent="0.35">
      <c r="A979" t="s">
        <v>1016</v>
      </c>
      <c r="B979">
        <v>33</v>
      </c>
      <c r="C979" t="s">
        <v>18</v>
      </c>
      <c r="D979" t="s">
        <v>21</v>
      </c>
      <c r="E979">
        <v>16</v>
      </c>
      <c r="F979" t="s">
        <v>22</v>
      </c>
      <c r="G979" t="s">
        <v>23</v>
      </c>
      <c r="H979" s="1">
        <v>385.43</v>
      </c>
      <c r="I979" t="s">
        <v>24</v>
      </c>
      <c r="J979">
        <v>0</v>
      </c>
      <c r="K979">
        <v>4</v>
      </c>
    </row>
    <row r="980" spans="1:11" x14ac:dyDescent="0.35">
      <c r="A980" t="s">
        <v>1017</v>
      </c>
      <c r="B980">
        <v>33</v>
      </c>
      <c r="C980" t="s">
        <v>18</v>
      </c>
      <c r="D980" t="s">
        <v>57</v>
      </c>
      <c r="E980">
        <v>41</v>
      </c>
      <c r="F980" t="s">
        <v>33</v>
      </c>
      <c r="G980" t="s">
        <v>27</v>
      </c>
      <c r="H980" s="1">
        <v>64.64</v>
      </c>
      <c r="I980" t="s">
        <v>28</v>
      </c>
      <c r="J980">
        <v>4</v>
      </c>
      <c r="K980">
        <v>5</v>
      </c>
    </row>
    <row r="981" spans="1:11" x14ac:dyDescent="0.35">
      <c r="A981" t="s">
        <v>1018</v>
      </c>
      <c r="B981">
        <v>59</v>
      </c>
      <c r="C981" t="s">
        <v>18</v>
      </c>
      <c r="D981" t="s">
        <v>19</v>
      </c>
      <c r="E981">
        <v>15</v>
      </c>
      <c r="F981" t="s">
        <v>31</v>
      </c>
      <c r="G981" t="s">
        <v>15</v>
      </c>
      <c r="H981" s="1">
        <v>324.31</v>
      </c>
      <c r="I981" t="s">
        <v>24</v>
      </c>
      <c r="J981">
        <v>0</v>
      </c>
      <c r="K981">
        <v>8</v>
      </c>
    </row>
    <row r="982" spans="1:11" x14ac:dyDescent="0.35">
      <c r="A982" t="s">
        <v>1019</v>
      </c>
      <c r="B982">
        <v>67</v>
      </c>
      <c r="C982" t="s">
        <v>12</v>
      </c>
      <c r="D982" t="s">
        <v>19</v>
      </c>
      <c r="E982">
        <v>12</v>
      </c>
      <c r="F982" t="s">
        <v>22</v>
      </c>
      <c r="G982" t="s">
        <v>15</v>
      </c>
      <c r="H982" s="1">
        <v>178.24</v>
      </c>
      <c r="I982" t="s">
        <v>24</v>
      </c>
      <c r="J982">
        <v>2</v>
      </c>
      <c r="K982">
        <v>6</v>
      </c>
    </row>
    <row r="983" spans="1:11" x14ac:dyDescent="0.35">
      <c r="A983" t="s">
        <v>1020</v>
      </c>
      <c r="B983">
        <v>83</v>
      </c>
      <c r="C983" t="s">
        <v>18</v>
      </c>
      <c r="D983" t="s">
        <v>19</v>
      </c>
      <c r="E983">
        <v>20</v>
      </c>
      <c r="F983" t="s">
        <v>22</v>
      </c>
      <c r="G983" t="s">
        <v>37</v>
      </c>
      <c r="H983" s="1">
        <v>174.89</v>
      </c>
      <c r="I983" t="s">
        <v>28</v>
      </c>
      <c r="J983">
        <v>1</v>
      </c>
      <c r="K983">
        <v>2</v>
      </c>
    </row>
    <row r="984" spans="1:11" x14ac:dyDescent="0.35">
      <c r="A984" t="s">
        <v>1021</v>
      </c>
      <c r="B984">
        <v>20</v>
      </c>
      <c r="C984" t="s">
        <v>18</v>
      </c>
      <c r="D984" t="s">
        <v>13</v>
      </c>
      <c r="E984">
        <v>22</v>
      </c>
      <c r="F984" t="s">
        <v>33</v>
      </c>
      <c r="G984" t="s">
        <v>37</v>
      </c>
      <c r="H984" s="1">
        <v>196.8</v>
      </c>
      <c r="I984" t="s">
        <v>24</v>
      </c>
      <c r="J984">
        <v>1</v>
      </c>
      <c r="K984">
        <v>4</v>
      </c>
    </row>
    <row r="985" spans="1:11" x14ac:dyDescent="0.35">
      <c r="A985" t="s">
        <v>1022</v>
      </c>
      <c r="B985">
        <v>67</v>
      </c>
      <c r="C985" t="s">
        <v>12</v>
      </c>
      <c r="D985" t="s">
        <v>30</v>
      </c>
      <c r="E985">
        <v>9</v>
      </c>
      <c r="F985" t="s">
        <v>31</v>
      </c>
      <c r="G985" t="s">
        <v>37</v>
      </c>
      <c r="H985" s="1">
        <v>143.88999999999999</v>
      </c>
      <c r="I985" t="s">
        <v>24</v>
      </c>
      <c r="J985">
        <v>1</v>
      </c>
      <c r="K985">
        <v>5</v>
      </c>
    </row>
    <row r="986" spans="1:11" x14ac:dyDescent="0.35">
      <c r="A986" t="s">
        <v>1023</v>
      </c>
      <c r="B986">
        <v>43</v>
      </c>
      <c r="C986" t="s">
        <v>12</v>
      </c>
      <c r="D986" t="s">
        <v>21</v>
      </c>
      <c r="E986">
        <v>43</v>
      </c>
      <c r="F986" t="s">
        <v>31</v>
      </c>
      <c r="G986" t="s">
        <v>23</v>
      </c>
      <c r="H986" s="1">
        <v>71.59</v>
      </c>
      <c r="I986" t="s">
        <v>28</v>
      </c>
      <c r="J986">
        <v>3</v>
      </c>
      <c r="K986">
        <v>2</v>
      </c>
    </row>
    <row r="987" spans="1:11" x14ac:dyDescent="0.35">
      <c r="A987" t="s">
        <v>1024</v>
      </c>
      <c r="B987">
        <v>50</v>
      </c>
      <c r="C987" t="s">
        <v>12</v>
      </c>
      <c r="D987" t="s">
        <v>19</v>
      </c>
      <c r="E987">
        <v>10</v>
      </c>
      <c r="F987" t="s">
        <v>33</v>
      </c>
      <c r="G987" t="s">
        <v>23</v>
      </c>
      <c r="H987" s="1">
        <v>233.4</v>
      </c>
      <c r="I987" t="s">
        <v>24</v>
      </c>
      <c r="J987">
        <v>0</v>
      </c>
      <c r="K987">
        <v>5</v>
      </c>
    </row>
    <row r="988" spans="1:11" x14ac:dyDescent="0.35">
      <c r="A988" t="s">
        <v>1025</v>
      </c>
      <c r="B988">
        <v>58</v>
      </c>
      <c r="C988" t="s">
        <v>12</v>
      </c>
      <c r="D988" t="s">
        <v>21</v>
      </c>
      <c r="E988">
        <v>34</v>
      </c>
      <c r="F988" t="s">
        <v>22</v>
      </c>
      <c r="G988" t="s">
        <v>27</v>
      </c>
      <c r="H988" s="1">
        <v>57.85</v>
      </c>
      <c r="I988" t="s">
        <v>24</v>
      </c>
      <c r="J988">
        <v>4</v>
      </c>
      <c r="K988">
        <v>4</v>
      </c>
    </row>
    <row r="989" spans="1:11" x14ac:dyDescent="0.35">
      <c r="A989" t="s">
        <v>1026</v>
      </c>
      <c r="B989">
        <v>67</v>
      </c>
      <c r="C989" t="s">
        <v>18</v>
      </c>
      <c r="D989" t="s">
        <v>19</v>
      </c>
      <c r="E989">
        <v>12</v>
      </c>
      <c r="F989" t="s">
        <v>22</v>
      </c>
      <c r="G989" t="s">
        <v>27</v>
      </c>
      <c r="H989" s="1">
        <v>143.55000000000001</v>
      </c>
      <c r="I989" t="s">
        <v>24</v>
      </c>
      <c r="J989">
        <v>0</v>
      </c>
      <c r="K989">
        <v>7</v>
      </c>
    </row>
    <row r="990" spans="1:11" x14ac:dyDescent="0.35">
      <c r="A990" t="s">
        <v>1027</v>
      </c>
      <c r="B990">
        <v>20</v>
      </c>
      <c r="C990" t="s">
        <v>12</v>
      </c>
      <c r="D990" t="s">
        <v>21</v>
      </c>
      <c r="E990">
        <v>41</v>
      </c>
      <c r="F990" t="s">
        <v>22</v>
      </c>
      <c r="G990" t="s">
        <v>34</v>
      </c>
      <c r="H990" s="1">
        <v>103.82</v>
      </c>
      <c r="I990" t="s">
        <v>43</v>
      </c>
      <c r="J990">
        <v>2</v>
      </c>
      <c r="K990">
        <v>1</v>
      </c>
    </row>
    <row r="991" spans="1:11" x14ac:dyDescent="0.35">
      <c r="A991" t="s">
        <v>1028</v>
      </c>
      <c r="B991">
        <v>25</v>
      </c>
      <c r="C991" t="s">
        <v>12</v>
      </c>
      <c r="D991" t="s">
        <v>19</v>
      </c>
      <c r="E991">
        <v>11</v>
      </c>
      <c r="F991" t="s">
        <v>31</v>
      </c>
      <c r="G991" t="s">
        <v>34</v>
      </c>
      <c r="H991" s="1">
        <v>164.39</v>
      </c>
      <c r="I991" t="s">
        <v>24</v>
      </c>
      <c r="J991">
        <v>0</v>
      </c>
      <c r="K991">
        <v>4</v>
      </c>
    </row>
    <row r="992" spans="1:11" x14ac:dyDescent="0.35">
      <c r="A992" t="s">
        <v>1029</v>
      </c>
      <c r="B992">
        <v>33</v>
      </c>
      <c r="C992" t="s">
        <v>12</v>
      </c>
      <c r="D992" t="s">
        <v>21</v>
      </c>
      <c r="E992">
        <v>19</v>
      </c>
      <c r="F992" t="s">
        <v>31</v>
      </c>
      <c r="G992" t="s">
        <v>15</v>
      </c>
      <c r="H992" s="1">
        <v>344</v>
      </c>
      <c r="I992" t="s">
        <v>24</v>
      </c>
      <c r="J992">
        <v>1</v>
      </c>
      <c r="K992">
        <v>5</v>
      </c>
    </row>
    <row r="993" spans="1:11" x14ac:dyDescent="0.35">
      <c r="A993" t="s">
        <v>1030</v>
      </c>
      <c r="B993">
        <v>54</v>
      </c>
      <c r="C993" t="s">
        <v>12</v>
      </c>
      <c r="D993" t="s">
        <v>30</v>
      </c>
      <c r="E993">
        <v>5</v>
      </c>
      <c r="F993" t="s">
        <v>22</v>
      </c>
      <c r="G993" t="s">
        <v>15</v>
      </c>
      <c r="H993" s="1">
        <v>217.43</v>
      </c>
      <c r="I993" t="s">
        <v>24</v>
      </c>
      <c r="J993">
        <v>0</v>
      </c>
      <c r="K993">
        <v>8</v>
      </c>
    </row>
    <row r="994" spans="1:11" x14ac:dyDescent="0.35">
      <c r="A994" t="s">
        <v>1031</v>
      </c>
      <c r="B994">
        <v>58</v>
      </c>
      <c r="C994" t="s">
        <v>18</v>
      </c>
      <c r="D994" t="s">
        <v>21</v>
      </c>
      <c r="E994">
        <v>32</v>
      </c>
      <c r="F994" t="s">
        <v>31</v>
      </c>
      <c r="G994" t="s">
        <v>37</v>
      </c>
      <c r="H994" s="1">
        <v>124.62</v>
      </c>
      <c r="I994" t="s">
        <v>24</v>
      </c>
      <c r="J994">
        <v>4</v>
      </c>
      <c r="K994">
        <v>5</v>
      </c>
    </row>
    <row r="995" spans="1:11" x14ac:dyDescent="0.35">
      <c r="A995" t="s">
        <v>1032</v>
      </c>
      <c r="B995">
        <v>77</v>
      </c>
      <c r="C995" t="s">
        <v>12</v>
      </c>
      <c r="D995" t="s">
        <v>57</v>
      </c>
      <c r="E995">
        <v>33</v>
      </c>
      <c r="F995" t="s">
        <v>31</v>
      </c>
      <c r="G995" t="s">
        <v>34</v>
      </c>
      <c r="H995" s="1">
        <v>118.07</v>
      </c>
      <c r="I995" t="s">
        <v>24</v>
      </c>
      <c r="J995">
        <v>0</v>
      </c>
      <c r="K995">
        <v>4</v>
      </c>
    </row>
    <row r="996" spans="1:11" x14ac:dyDescent="0.35">
      <c r="A996" t="s">
        <v>1033</v>
      </c>
      <c r="B996">
        <v>71</v>
      </c>
      <c r="C996" t="s">
        <v>18</v>
      </c>
      <c r="D996" t="s">
        <v>19</v>
      </c>
      <c r="E996">
        <v>6</v>
      </c>
      <c r="F996" t="s">
        <v>22</v>
      </c>
      <c r="G996" t="s">
        <v>27</v>
      </c>
      <c r="H996" s="1">
        <v>26.03</v>
      </c>
      <c r="I996" t="s">
        <v>24</v>
      </c>
      <c r="J996">
        <v>0</v>
      </c>
      <c r="K996">
        <v>9</v>
      </c>
    </row>
    <row r="997" spans="1:11" x14ac:dyDescent="0.35">
      <c r="A997" t="s">
        <v>1034</v>
      </c>
      <c r="B997">
        <v>72</v>
      </c>
      <c r="C997" t="s">
        <v>18</v>
      </c>
      <c r="D997" t="s">
        <v>30</v>
      </c>
      <c r="E997">
        <v>4</v>
      </c>
      <c r="F997" t="s">
        <v>31</v>
      </c>
      <c r="G997" t="s">
        <v>15</v>
      </c>
      <c r="H997" s="1">
        <v>286.95</v>
      </c>
      <c r="I997" t="s">
        <v>24</v>
      </c>
      <c r="J997">
        <v>2</v>
      </c>
      <c r="K997">
        <v>7</v>
      </c>
    </row>
    <row r="998" spans="1:11" x14ac:dyDescent="0.35">
      <c r="A998" t="s">
        <v>1035</v>
      </c>
      <c r="B998">
        <v>70</v>
      </c>
      <c r="C998" t="s">
        <v>18</v>
      </c>
      <c r="D998" t="s">
        <v>13</v>
      </c>
      <c r="E998">
        <v>14</v>
      </c>
      <c r="F998" t="s">
        <v>26</v>
      </c>
      <c r="G998" t="s">
        <v>15</v>
      </c>
      <c r="H998" s="1">
        <v>435.22</v>
      </c>
      <c r="I998" t="s">
        <v>24</v>
      </c>
      <c r="J998">
        <v>1</v>
      </c>
      <c r="K998">
        <v>8</v>
      </c>
    </row>
    <row r="999" spans="1:11" x14ac:dyDescent="0.35">
      <c r="A999" t="s">
        <v>1036</v>
      </c>
      <c r="B999">
        <v>51</v>
      </c>
      <c r="C999" t="s">
        <v>18</v>
      </c>
      <c r="D999" t="s">
        <v>30</v>
      </c>
      <c r="E999">
        <v>13</v>
      </c>
      <c r="F999" t="s">
        <v>31</v>
      </c>
      <c r="G999" t="s">
        <v>34</v>
      </c>
      <c r="H999" s="1">
        <v>141.18</v>
      </c>
      <c r="I999" t="s">
        <v>24</v>
      </c>
      <c r="J999">
        <v>0</v>
      </c>
      <c r="K999">
        <v>7</v>
      </c>
    </row>
    <row r="1000" spans="1:11" x14ac:dyDescent="0.35">
      <c r="A1000" t="s">
        <v>1037</v>
      </c>
      <c r="B1000">
        <v>38</v>
      </c>
      <c r="C1000" t="s">
        <v>12</v>
      </c>
      <c r="D1000" t="s">
        <v>13</v>
      </c>
      <c r="E1000">
        <v>22</v>
      </c>
      <c r="F1000" t="s">
        <v>22</v>
      </c>
      <c r="G1000" t="s">
        <v>23</v>
      </c>
      <c r="H1000" s="1">
        <v>542.30999999999995</v>
      </c>
      <c r="I1000" t="s">
        <v>24</v>
      </c>
      <c r="J1000">
        <v>2</v>
      </c>
      <c r="K1000">
        <v>3</v>
      </c>
    </row>
    <row r="1001" spans="1:11" x14ac:dyDescent="0.35">
      <c r="A1001" t="s">
        <v>1038</v>
      </c>
      <c r="B1001">
        <v>37</v>
      </c>
      <c r="C1001" t="s">
        <v>18</v>
      </c>
      <c r="D1001" t="s">
        <v>120</v>
      </c>
      <c r="E1001">
        <v>38</v>
      </c>
      <c r="F1001" t="s">
        <v>33</v>
      </c>
      <c r="G1001" t="s">
        <v>27</v>
      </c>
      <c r="H1001" s="1">
        <v>139.75</v>
      </c>
      <c r="I1001" t="s">
        <v>24</v>
      </c>
      <c r="J1001">
        <v>3</v>
      </c>
      <c r="K1001">
        <v>5</v>
      </c>
    </row>
    <row r="1002" spans="1:11" x14ac:dyDescent="0.35">
      <c r="A1002" t="s">
        <v>1039</v>
      </c>
      <c r="B1002">
        <v>32</v>
      </c>
      <c r="C1002" t="s">
        <v>12</v>
      </c>
      <c r="D1002" t="s">
        <v>19</v>
      </c>
      <c r="E1002">
        <v>17</v>
      </c>
      <c r="F1002" t="s">
        <v>22</v>
      </c>
      <c r="G1002" t="s">
        <v>23</v>
      </c>
      <c r="H1002" s="1">
        <v>294.20999999999998</v>
      </c>
      <c r="I1002" t="s">
        <v>28</v>
      </c>
      <c r="J1002">
        <v>0</v>
      </c>
      <c r="K1002">
        <v>5</v>
      </c>
    </row>
    <row r="1003" spans="1:11" x14ac:dyDescent="0.35">
      <c r="A1003" t="s">
        <v>1040</v>
      </c>
      <c r="B1003">
        <v>48</v>
      </c>
      <c r="C1003" t="s">
        <v>12</v>
      </c>
      <c r="D1003" t="s">
        <v>13</v>
      </c>
      <c r="E1003">
        <v>22</v>
      </c>
      <c r="F1003" t="s">
        <v>14</v>
      </c>
      <c r="G1003" t="s">
        <v>23</v>
      </c>
      <c r="H1003" s="1">
        <v>0</v>
      </c>
      <c r="I1003" t="s">
        <v>16</v>
      </c>
      <c r="J1003">
        <v>3</v>
      </c>
      <c r="K1003">
        <v>5</v>
      </c>
    </row>
    <row r="1004" spans="1:11" x14ac:dyDescent="0.35">
      <c r="A1004" t="s">
        <v>1041</v>
      </c>
      <c r="B1004">
        <v>18</v>
      </c>
      <c r="C1004" t="s">
        <v>18</v>
      </c>
      <c r="D1004" t="s">
        <v>19</v>
      </c>
      <c r="E1004">
        <v>22</v>
      </c>
      <c r="F1004" t="s">
        <v>22</v>
      </c>
      <c r="G1004" t="s">
        <v>15</v>
      </c>
      <c r="H1004" s="1">
        <v>300.63</v>
      </c>
      <c r="I1004" t="s">
        <v>24</v>
      </c>
      <c r="J1004">
        <v>1</v>
      </c>
      <c r="K1004">
        <v>2</v>
      </c>
    </row>
    <row r="1005" spans="1:11" x14ac:dyDescent="0.35">
      <c r="A1005" t="s">
        <v>1042</v>
      </c>
      <c r="B1005">
        <v>52</v>
      </c>
      <c r="C1005" t="s">
        <v>12</v>
      </c>
      <c r="D1005" t="s">
        <v>13</v>
      </c>
      <c r="E1005">
        <v>22</v>
      </c>
      <c r="F1005" t="s">
        <v>33</v>
      </c>
      <c r="G1005" t="s">
        <v>23</v>
      </c>
      <c r="H1005" s="1">
        <v>206.82</v>
      </c>
      <c r="I1005" t="s">
        <v>24</v>
      </c>
      <c r="J1005">
        <v>0</v>
      </c>
      <c r="K1005">
        <v>5</v>
      </c>
    </row>
    <row r="1006" spans="1:11" x14ac:dyDescent="0.35">
      <c r="A1006" t="s">
        <v>1043</v>
      </c>
      <c r="B1006">
        <v>58</v>
      </c>
      <c r="C1006" t="s">
        <v>12</v>
      </c>
      <c r="D1006" t="s">
        <v>19</v>
      </c>
      <c r="E1006">
        <v>19</v>
      </c>
      <c r="F1006" t="s">
        <v>22</v>
      </c>
      <c r="G1006" t="s">
        <v>27</v>
      </c>
      <c r="H1006" s="1">
        <v>99.17</v>
      </c>
      <c r="I1006" t="s">
        <v>24</v>
      </c>
      <c r="J1006">
        <v>2</v>
      </c>
      <c r="K1006">
        <v>1</v>
      </c>
    </row>
    <row r="1007" spans="1:11" x14ac:dyDescent="0.35">
      <c r="A1007" t="s">
        <v>1044</v>
      </c>
      <c r="B1007">
        <v>43</v>
      </c>
      <c r="C1007" t="s">
        <v>12</v>
      </c>
      <c r="D1007" t="s">
        <v>13</v>
      </c>
      <c r="E1007">
        <v>23</v>
      </c>
      <c r="F1007" t="s">
        <v>14</v>
      </c>
      <c r="G1007" t="s">
        <v>27</v>
      </c>
      <c r="H1007" s="1">
        <v>0</v>
      </c>
      <c r="I1007" t="s">
        <v>16</v>
      </c>
      <c r="J1007">
        <v>2</v>
      </c>
      <c r="K1007">
        <v>2</v>
      </c>
    </row>
    <row r="1008" spans="1:11" x14ac:dyDescent="0.35">
      <c r="A1008" t="s">
        <v>1045</v>
      </c>
      <c r="B1008">
        <v>33</v>
      </c>
      <c r="C1008" t="s">
        <v>12</v>
      </c>
      <c r="D1008" t="s">
        <v>19</v>
      </c>
      <c r="E1008">
        <v>7</v>
      </c>
      <c r="F1008" t="s">
        <v>22</v>
      </c>
      <c r="G1008" t="s">
        <v>23</v>
      </c>
      <c r="H1008" s="1">
        <v>235.45</v>
      </c>
      <c r="I1008" t="s">
        <v>24</v>
      </c>
      <c r="J1008">
        <v>0</v>
      </c>
      <c r="K1008">
        <v>8</v>
      </c>
    </row>
    <row r="1009" spans="1:11" x14ac:dyDescent="0.35">
      <c r="A1009" t="s">
        <v>1046</v>
      </c>
      <c r="B1009">
        <v>22</v>
      </c>
      <c r="C1009" t="s">
        <v>12</v>
      </c>
      <c r="D1009" t="s">
        <v>21</v>
      </c>
      <c r="E1009">
        <v>40</v>
      </c>
      <c r="F1009" t="s">
        <v>22</v>
      </c>
      <c r="G1009" t="s">
        <v>34</v>
      </c>
      <c r="H1009" s="1">
        <v>201.02</v>
      </c>
      <c r="I1009" t="s">
        <v>24</v>
      </c>
      <c r="J1009">
        <v>2</v>
      </c>
      <c r="K1009">
        <v>5</v>
      </c>
    </row>
    <row r="1010" spans="1:11" x14ac:dyDescent="0.35">
      <c r="A1010" t="s">
        <v>1047</v>
      </c>
      <c r="B1010">
        <v>36</v>
      </c>
      <c r="C1010" t="s">
        <v>12</v>
      </c>
      <c r="D1010" t="s">
        <v>200</v>
      </c>
      <c r="E1010">
        <v>21</v>
      </c>
      <c r="F1010" t="s">
        <v>22</v>
      </c>
      <c r="G1010" t="s">
        <v>37</v>
      </c>
      <c r="H1010" s="1">
        <v>103.27</v>
      </c>
      <c r="I1010" t="s">
        <v>24</v>
      </c>
      <c r="J1010">
        <v>2</v>
      </c>
      <c r="K1010">
        <v>4</v>
      </c>
    </row>
    <row r="1011" spans="1:11" x14ac:dyDescent="0.35">
      <c r="A1011" t="s">
        <v>1048</v>
      </c>
      <c r="B1011">
        <v>36</v>
      </c>
      <c r="C1011" t="s">
        <v>18</v>
      </c>
      <c r="D1011" t="s">
        <v>19</v>
      </c>
      <c r="E1011">
        <v>19</v>
      </c>
      <c r="F1011" t="s">
        <v>33</v>
      </c>
      <c r="G1011" t="s">
        <v>23</v>
      </c>
      <c r="H1011" s="1">
        <v>247.26</v>
      </c>
      <c r="I1011" t="s">
        <v>43</v>
      </c>
      <c r="J1011">
        <v>1</v>
      </c>
      <c r="K1011">
        <v>3</v>
      </c>
    </row>
    <row r="1012" spans="1:11" x14ac:dyDescent="0.35">
      <c r="A1012" t="s">
        <v>1049</v>
      </c>
      <c r="B1012">
        <v>85</v>
      </c>
      <c r="C1012" t="s">
        <v>12</v>
      </c>
      <c r="D1012" t="s">
        <v>19</v>
      </c>
      <c r="E1012">
        <v>22</v>
      </c>
      <c r="F1012" t="s">
        <v>14</v>
      </c>
      <c r="G1012" t="s">
        <v>27</v>
      </c>
      <c r="H1012" s="1">
        <v>0</v>
      </c>
      <c r="I1012" t="s">
        <v>16</v>
      </c>
      <c r="J1012">
        <v>2</v>
      </c>
      <c r="K1012">
        <v>3</v>
      </c>
    </row>
    <row r="1013" spans="1:11" x14ac:dyDescent="0.35">
      <c r="A1013" t="s">
        <v>1050</v>
      </c>
      <c r="B1013">
        <v>54</v>
      </c>
      <c r="C1013" t="s">
        <v>18</v>
      </c>
      <c r="D1013" t="s">
        <v>57</v>
      </c>
      <c r="E1013">
        <v>12</v>
      </c>
      <c r="F1013" t="s">
        <v>22</v>
      </c>
      <c r="G1013" t="s">
        <v>37</v>
      </c>
      <c r="H1013" s="1">
        <v>175.94</v>
      </c>
      <c r="I1013" t="s">
        <v>43</v>
      </c>
      <c r="J1013">
        <v>1</v>
      </c>
      <c r="K1013">
        <v>5</v>
      </c>
    </row>
    <row r="1014" spans="1:11" x14ac:dyDescent="0.35">
      <c r="A1014" t="s">
        <v>1051</v>
      </c>
      <c r="B1014">
        <v>36</v>
      </c>
      <c r="C1014" t="s">
        <v>18</v>
      </c>
      <c r="D1014" t="s">
        <v>21</v>
      </c>
      <c r="E1014">
        <v>28</v>
      </c>
      <c r="F1014" t="s">
        <v>22</v>
      </c>
      <c r="G1014" t="s">
        <v>27</v>
      </c>
      <c r="H1014" s="1">
        <v>122.35</v>
      </c>
      <c r="I1014" t="s">
        <v>24</v>
      </c>
      <c r="J1014">
        <v>1</v>
      </c>
      <c r="K1014">
        <v>4</v>
      </c>
    </row>
    <row r="1015" spans="1:11" x14ac:dyDescent="0.35">
      <c r="A1015" t="s">
        <v>1052</v>
      </c>
      <c r="B1015">
        <v>66</v>
      </c>
      <c r="C1015" t="s">
        <v>12</v>
      </c>
      <c r="D1015" t="s">
        <v>19</v>
      </c>
      <c r="E1015">
        <v>13</v>
      </c>
      <c r="F1015" t="s">
        <v>33</v>
      </c>
      <c r="G1015" t="s">
        <v>23</v>
      </c>
      <c r="H1015" s="1">
        <v>317</v>
      </c>
      <c r="I1015" t="s">
        <v>28</v>
      </c>
      <c r="J1015">
        <v>1</v>
      </c>
      <c r="K1015">
        <v>6</v>
      </c>
    </row>
    <row r="1016" spans="1:11" x14ac:dyDescent="0.35">
      <c r="A1016" t="s">
        <v>1053</v>
      </c>
      <c r="B1016">
        <v>70</v>
      </c>
      <c r="C1016" t="s">
        <v>12</v>
      </c>
      <c r="D1016" t="s">
        <v>13</v>
      </c>
      <c r="E1016">
        <v>15</v>
      </c>
      <c r="F1016" t="s">
        <v>22</v>
      </c>
      <c r="G1016" t="s">
        <v>23</v>
      </c>
      <c r="H1016" s="1">
        <v>495.43</v>
      </c>
      <c r="I1016" t="s">
        <v>24</v>
      </c>
      <c r="J1016">
        <v>0</v>
      </c>
      <c r="K1016">
        <v>8</v>
      </c>
    </row>
    <row r="1017" spans="1:11" x14ac:dyDescent="0.35">
      <c r="A1017" t="s">
        <v>1054</v>
      </c>
      <c r="B1017">
        <v>37</v>
      </c>
      <c r="C1017" t="s">
        <v>12</v>
      </c>
      <c r="D1017" t="s">
        <v>19</v>
      </c>
      <c r="E1017">
        <v>7</v>
      </c>
      <c r="F1017" t="s">
        <v>33</v>
      </c>
      <c r="G1017" t="s">
        <v>15</v>
      </c>
      <c r="H1017" s="1">
        <v>410.35</v>
      </c>
      <c r="I1017" t="s">
        <v>24</v>
      </c>
      <c r="J1017">
        <v>0</v>
      </c>
      <c r="K1017">
        <v>10</v>
      </c>
    </row>
    <row r="1018" spans="1:11" x14ac:dyDescent="0.35">
      <c r="A1018" t="s">
        <v>1055</v>
      </c>
      <c r="B1018">
        <v>62</v>
      </c>
      <c r="C1018" t="s">
        <v>12</v>
      </c>
      <c r="D1018" t="s">
        <v>19</v>
      </c>
      <c r="E1018">
        <v>11</v>
      </c>
      <c r="F1018" t="s">
        <v>26</v>
      </c>
      <c r="G1018" t="s">
        <v>37</v>
      </c>
      <c r="H1018" s="1">
        <v>105.77</v>
      </c>
      <c r="I1018" t="s">
        <v>24</v>
      </c>
      <c r="J1018">
        <v>0</v>
      </c>
      <c r="K1018">
        <v>8</v>
      </c>
    </row>
    <row r="1019" spans="1:11" x14ac:dyDescent="0.35">
      <c r="A1019" t="s">
        <v>1056</v>
      </c>
      <c r="B1019">
        <v>22</v>
      </c>
      <c r="C1019" t="s">
        <v>12</v>
      </c>
      <c r="D1019" t="s">
        <v>19</v>
      </c>
      <c r="E1019">
        <v>17</v>
      </c>
      <c r="F1019" t="s">
        <v>22</v>
      </c>
      <c r="G1019" t="s">
        <v>15</v>
      </c>
      <c r="H1019" s="1">
        <v>375.13</v>
      </c>
      <c r="I1019" t="s">
        <v>24</v>
      </c>
      <c r="J1019">
        <v>0</v>
      </c>
      <c r="K1019">
        <v>7</v>
      </c>
    </row>
    <row r="1020" spans="1:11" x14ac:dyDescent="0.35">
      <c r="A1020" t="s">
        <v>1057</v>
      </c>
      <c r="B1020">
        <v>45</v>
      </c>
      <c r="C1020" t="s">
        <v>18</v>
      </c>
      <c r="D1020" t="s">
        <v>19</v>
      </c>
      <c r="E1020">
        <v>10</v>
      </c>
      <c r="F1020" t="s">
        <v>22</v>
      </c>
      <c r="G1020" t="s">
        <v>37</v>
      </c>
      <c r="H1020" s="1">
        <v>166.89</v>
      </c>
      <c r="I1020" t="s">
        <v>24</v>
      </c>
      <c r="J1020">
        <v>3</v>
      </c>
      <c r="K1020">
        <v>4</v>
      </c>
    </row>
    <row r="1021" spans="1:11" x14ac:dyDescent="0.35">
      <c r="A1021" t="s">
        <v>1058</v>
      </c>
      <c r="B1021">
        <v>26</v>
      </c>
      <c r="C1021" t="s">
        <v>18</v>
      </c>
      <c r="D1021" t="s">
        <v>21</v>
      </c>
      <c r="E1021">
        <v>40</v>
      </c>
      <c r="F1021" t="s">
        <v>31</v>
      </c>
      <c r="G1021" t="s">
        <v>15</v>
      </c>
      <c r="H1021" s="1">
        <v>415.07</v>
      </c>
      <c r="I1021" t="s">
        <v>24</v>
      </c>
      <c r="J1021">
        <v>2</v>
      </c>
      <c r="K1021">
        <v>5</v>
      </c>
    </row>
    <row r="1022" spans="1:11" x14ac:dyDescent="0.35">
      <c r="A1022" t="s">
        <v>1059</v>
      </c>
      <c r="B1022">
        <v>39</v>
      </c>
      <c r="C1022" t="s">
        <v>12</v>
      </c>
      <c r="D1022" t="s">
        <v>21</v>
      </c>
      <c r="E1022">
        <v>40</v>
      </c>
      <c r="F1022" t="s">
        <v>22</v>
      </c>
      <c r="G1022" t="s">
        <v>27</v>
      </c>
      <c r="H1022" s="1">
        <v>94.41</v>
      </c>
      <c r="I1022" t="s">
        <v>43</v>
      </c>
      <c r="J1022">
        <v>0</v>
      </c>
      <c r="K1022">
        <v>3</v>
      </c>
    </row>
    <row r="1023" spans="1:11" x14ac:dyDescent="0.35">
      <c r="A1023" t="s">
        <v>1060</v>
      </c>
      <c r="B1023">
        <v>48</v>
      </c>
      <c r="C1023" t="s">
        <v>18</v>
      </c>
      <c r="D1023" t="s">
        <v>13</v>
      </c>
      <c r="E1023">
        <v>24</v>
      </c>
      <c r="F1023" t="s">
        <v>22</v>
      </c>
      <c r="G1023" t="s">
        <v>34</v>
      </c>
      <c r="H1023" s="1">
        <v>128.36000000000001</v>
      </c>
      <c r="I1023" t="s">
        <v>24</v>
      </c>
      <c r="J1023">
        <v>1</v>
      </c>
      <c r="K1023">
        <v>4</v>
      </c>
    </row>
    <row r="1024" spans="1:11" x14ac:dyDescent="0.35">
      <c r="A1024" t="s">
        <v>1061</v>
      </c>
      <c r="B1024">
        <v>62</v>
      </c>
      <c r="C1024" t="s">
        <v>18</v>
      </c>
      <c r="D1024" t="s">
        <v>13</v>
      </c>
      <c r="E1024">
        <v>13</v>
      </c>
      <c r="F1024" t="s">
        <v>31</v>
      </c>
      <c r="G1024" t="s">
        <v>27</v>
      </c>
      <c r="H1024" s="1">
        <v>152.02000000000001</v>
      </c>
      <c r="I1024" t="s">
        <v>28</v>
      </c>
      <c r="J1024">
        <v>3</v>
      </c>
      <c r="K1024">
        <v>7</v>
      </c>
    </row>
    <row r="1025" spans="1:11" x14ac:dyDescent="0.35">
      <c r="A1025" t="s">
        <v>1062</v>
      </c>
      <c r="B1025">
        <v>73</v>
      </c>
      <c r="C1025" t="s">
        <v>12</v>
      </c>
      <c r="D1025" t="s">
        <v>244</v>
      </c>
      <c r="E1025">
        <v>10</v>
      </c>
      <c r="F1025" t="s">
        <v>31</v>
      </c>
      <c r="G1025" t="s">
        <v>37</v>
      </c>
      <c r="H1025" s="1">
        <v>142.69</v>
      </c>
      <c r="I1025" t="s">
        <v>24</v>
      </c>
      <c r="J1025">
        <v>1</v>
      </c>
      <c r="K1025">
        <v>6</v>
      </c>
    </row>
    <row r="1026" spans="1:11" x14ac:dyDescent="0.35">
      <c r="A1026" t="s">
        <v>1063</v>
      </c>
      <c r="B1026">
        <v>53</v>
      </c>
      <c r="C1026" t="s">
        <v>12</v>
      </c>
      <c r="D1026" t="s">
        <v>21</v>
      </c>
      <c r="E1026">
        <v>33</v>
      </c>
      <c r="F1026" t="s">
        <v>31</v>
      </c>
      <c r="G1026" t="s">
        <v>34</v>
      </c>
      <c r="H1026" s="1">
        <v>90.84</v>
      </c>
      <c r="I1026" t="s">
        <v>24</v>
      </c>
      <c r="J1026">
        <v>1</v>
      </c>
      <c r="K1026">
        <v>1</v>
      </c>
    </row>
    <row r="1027" spans="1:11" x14ac:dyDescent="0.35">
      <c r="A1027" t="s">
        <v>1064</v>
      </c>
      <c r="B1027">
        <v>73</v>
      </c>
      <c r="C1027" t="s">
        <v>12</v>
      </c>
      <c r="D1027" t="s">
        <v>21</v>
      </c>
      <c r="E1027">
        <v>42</v>
      </c>
      <c r="F1027" t="s">
        <v>31</v>
      </c>
      <c r="G1027" t="s">
        <v>37</v>
      </c>
      <c r="H1027" s="1">
        <v>95.38</v>
      </c>
      <c r="I1027" t="s">
        <v>24</v>
      </c>
      <c r="J1027">
        <v>2</v>
      </c>
      <c r="K1027">
        <v>2</v>
      </c>
    </row>
    <row r="1028" spans="1:11" x14ac:dyDescent="0.35">
      <c r="A1028" t="s">
        <v>1065</v>
      </c>
      <c r="B1028">
        <v>85</v>
      </c>
      <c r="C1028" t="s">
        <v>12</v>
      </c>
      <c r="D1028" t="s">
        <v>13</v>
      </c>
      <c r="E1028">
        <v>24</v>
      </c>
      <c r="F1028" t="s">
        <v>26</v>
      </c>
      <c r="G1028" t="s">
        <v>37</v>
      </c>
      <c r="H1028" s="1">
        <v>111.21</v>
      </c>
      <c r="I1028" t="s">
        <v>43</v>
      </c>
      <c r="J1028">
        <v>4</v>
      </c>
      <c r="K1028">
        <v>5</v>
      </c>
    </row>
    <row r="1029" spans="1:11" x14ac:dyDescent="0.35">
      <c r="A1029" t="s">
        <v>1066</v>
      </c>
      <c r="B1029">
        <v>19</v>
      </c>
      <c r="C1029" t="s">
        <v>18</v>
      </c>
      <c r="D1029" t="s">
        <v>19</v>
      </c>
      <c r="E1029">
        <v>20</v>
      </c>
      <c r="F1029" t="s">
        <v>31</v>
      </c>
      <c r="G1029" t="s">
        <v>34</v>
      </c>
      <c r="H1029" s="1">
        <v>183.54</v>
      </c>
      <c r="I1029" t="s">
        <v>24</v>
      </c>
      <c r="J1029">
        <v>1</v>
      </c>
      <c r="K1029">
        <v>2</v>
      </c>
    </row>
    <row r="1030" spans="1:11" x14ac:dyDescent="0.35">
      <c r="A1030" t="s">
        <v>1067</v>
      </c>
      <c r="B1030">
        <v>46</v>
      </c>
      <c r="C1030" t="s">
        <v>18</v>
      </c>
      <c r="D1030" t="s">
        <v>30</v>
      </c>
      <c r="E1030">
        <v>5</v>
      </c>
      <c r="F1030" t="s">
        <v>22</v>
      </c>
      <c r="G1030" t="s">
        <v>15</v>
      </c>
      <c r="H1030" s="1">
        <v>170.1</v>
      </c>
      <c r="I1030" t="s">
        <v>43</v>
      </c>
      <c r="J1030">
        <v>1</v>
      </c>
      <c r="K1030">
        <v>7</v>
      </c>
    </row>
    <row r="1031" spans="1:11" x14ac:dyDescent="0.35">
      <c r="A1031" t="s">
        <v>1068</v>
      </c>
      <c r="B1031">
        <v>49</v>
      </c>
      <c r="C1031" t="s">
        <v>12</v>
      </c>
      <c r="D1031" t="s">
        <v>13</v>
      </c>
      <c r="E1031">
        <v>17</v>
      </c>
      <c r="F1031" t="s">
        <v>14</v>
      </c>
      <c r="G1031" t="s">
        <v>23</v>
      </c>
      <c r="H1031" s="1">
        <v>0</v>
      </c>
      <c r="I1031" t="s">
        <v>16</v>
      </c>
      <c r="J1031">
        <v>0</v>
      </c>
      <c r="K1031">
        <v>4</v>
      </c>
    </row>
    <row r="1032" spans="1:11" x14ac:dyDescent="0.35">
      <c r="A1032" t="s">
        <v>1069</v>
      </c>
      <c r="B1032">
        <v>19</v>
      </c>
      <c r="C1032" t="s">
        <v>18</v>
      </c>
      <c r="D1032" t="s">
        <v>13</v>
      </c>
      <c r="E1032">
        <v>20</v>
      </c>
      <c r="F1032" t="s">
        <v>26</v>
      </c>
      <c r="G1032" t="s">
        <v>37</v>
      </c>
      <c r="H1032" s="1">
        <v>103.09</v>
      </c>
      <c r="I1032" t="s">
        <v>28</v>
      </c>
      <c r="J1032">
        <v>2</v>
      </c>
      <c r="K1032">
        <v>3</v>
      </c>
    </row>
    <row r="1033" spans="1:11" x14ac:dyDescent="0.35">
      <c r="A1033" t="s">
        <v>1070</v>
      </c>
      <c r="B1033">
        <v>73</v>
      </c>
      <c r="C1033" t="s">
        <v>18</v>
      </c>
      <c r="D1033" t="s">
        <v>19</v>
      </c>
      <c r="E1033">
        <v>8</v>
      </c>
      <c r="F1033" t="s">
        <v>22</v>
      </c>
      <c r="G1033" t="s">
        <v>15</v>
      </c>
      <c r="H1033" s="1">
        <v>202.66</v>
      </c>
      <c r="I1033" t="s">
        <v>24</v>
      </c>
      <c r="J1033">
        <v>0</v>
      </c>
      <c r="K1033">
        <v>7</v>
      </c>
    </row>
    <row r="1034" spans="1:11" x14ac:dyDescent="0.35">
      <c r="A1034" t="s">
        <v>1071</v>
      </c>
      <c r="B1034">
        <v>57</v>
      </c>
      <c r="C1034" t="s">
        <v>18</v>
      </c>
      <c r="D1034" t="s">
        <v>19</v>
      </c>
      <c r="E1034">
        <v>19</v>
      </c>
      <c r="F1034" t="s">
        <v>33</v>
      </c>
      <c r="G1034" t="s">
        <v>27</v>
      </c>
      <c r="H1034" s="1">
        <v>90.03</v>
      </c>
      <c r="I1034" t="s">
        <v>24</v>
      </c>
      <c r="J1034">
        <v>2</v>
      </c>
      <c r="K1034">
        <v>2</v>
      </c>
    </row>
    <row r="1035" spans="1:11" x14ac:dyDescent="0.35">
      <c r="A1035" t="s">
        <v>1072</v>
      </c>
      <c r="B1035">
        <v>22</v>
      </c>
      <c r="C1035" t="s">
        <v>18</v>
      </c>
      <c r="D1035" t="s">
        <v>30</v>
      </c>
      <c r="E1035">
        <v>9</v>
      </c>
      <c r="F1035" t="s">
        <v>26</v>
      </c>
      <c r="G1035" t="s">
        <v>37</v>
      </c>
      <c r="H1035" s="1">
        <v>106.76</v>
      </c>
      <c r="I1035" t="s">
        <v>24</v>
      </c>
      <c r="J1035">
        <v>3</v>
      </c>
      <c r="K1035">
        <v>7</v>
      </c>
    </row>
    <row r="1036" spans="1:11" x14ac:dyDescent="0.35">
      <c r="A1036" t="s">
        <v>1073</v>
      </c>
      <c r="B1036">
        <v>58</v>
      </c>
      <c r="C1036" t="s">
        <v>12</v>
      </c>
      <c r="D1036" t="s">
        <v>21</v>
      </c>
      <c r="E1036">
        <v>39</v>
      </c>
      <c r="F1036" t="s">
        <v>31</v>
      </c>
      <c r="G1036" t="s">
        <v>34</v>
      </c>
      <c r="H1036" s="1">
        <v>180.42</v>
      </c>
      <c r="I1036" t="s">
        <v>43</v>
      </c>
      <c r="J1036">
        <v>1</v>
      </c>
      <c r="K1036">
        <v>2</v>
      </c>
    </row>
    <row r="1037" spans="1:11" x14ac:dyDescent="0.35">
      <c r="A1037" t="s">
        <v>1074</v>
      </c>
      <c r="B1037">
        <v>66</v>
      </c>
      <c r="C1037" t="s">
        <v>18</v>
      </c>
      <c r="D1037" t="s">
        <v>19</v>
      </c>
      <c r="E1037">
        <v>14</v>
      </c>
      <c r="F1037" t="s">
        <v>31</v>
      </c>
      <c r="G1037" t="s">
        <v>27</v>
      </c>
      <c r="H1037" s="1">
        <v>93.47</v>
      </c>
      <c r="I1037" t="s">
        <v>24</v>
      </c>
      <c r="J1037">
        <v>0</v>
      </c>
      <c r="K1037">
        <v>5</v>
      </c>
    </row>
    <row r="1038" spans="1:11" x14ac:dyDescent="0.35">
      <c r="A1038" t="s">
        <v>1075</v>
      </c>
      <c r="B1038">
        <v>39</v>
      </c>
      <c r="C1038" t="s">
        <v>12</v>
      </c>
      <c r="D1038" t="s">
        <v>30</v>
      </c>
      <c r="E1038">
        <v>14</v>
      </c>
      <c r="F1038" t="s">
        <v>22</v>
      </c>
      <c r="G1038" t="s">
        <v>23</v>
      </c>
      <c r="H1038" s="1">
        <v>379.1</v>
      </c>
      <c r="I1038" t="s">
        <v>24</v>
      </c>
      <c r="J1038">
        <v>0</v>
      </c>
      <c r="K1038">
        <v>7</v>
      </c>
    </row>
    <row r="1039" spans="1:11" x14ac:dyDescent="0.35">
      <c r="A1039" t="s">
        <v>1076</v>
      </c>
      <c r="B1039">
        <v>50</v>
      </c>
      <c r="C1039" t="s">
        <v>12</v>
      </c>
      <c r="D1039" t="s">
        <v>21</v>
      </c>
      <c r="E1039">
        <v>21</v>
      </c>
      <c r="F1039" t="s">
        <v>31</v>
      </c>
      <c r="G1039" t="s">
        <v>27</v>
      </c>
      <c r="H1039" s="1">
        <v>66.8</v>
      </c>
      <c r="I1039" t="s">
        <v>24</v>
      </c>
      <c r="J1039">
        <v>1</v>
      </c>
      <c r="K1039">
        <v>2</v>
      </c>
    </row>
    <row r="1040" spans="1:11" x14ac:dyDescent="0.35">
      <c r="A1040" t="s">
        <v>1077</v>
      </c>
      <c r="B1040">
        <v>47</v>
      </c>
      <c r="C1040" t="s">
        <v>18</v>
      </c>
      <c r="D1040" t="s">
        <v>19</v>
      </c>
      <c r="E1040">
        <v>13</v>
      </c>
      <c r="F1040" t="s">
        <v>33</v>
      </c>
      <c r="G1040" t="s">
        <v>23</v>
      </c>
      <c r="H1040" s="1">
        <v>104.7</v>
      </c>
      <c r="I1040" t="s">
        <v>24</v>
      </c>
      <c r="J1040">
        <v>2</v>
      </c>
      <c r="K1040">
        <v>8</v>
      </c>
    </row>
    <row r="1041" spans="1:11" x14ac:dyDescent="0.35">
      <c r="A1041" t="s">
        <v>1078</v>
      </c>
      <c r="B1041">
        <v>57</v>
      </c>
      <c r="C1041" t="s">
        <v>12</v>
      </c>
      <c r="D1041" t="s">
        <v>19</v>
      </c>
      <c r="E1041">
        <v>17</v>
      </c>
      <c r="F1041" t="s">
        <v>22</v>
      </c>
      <c r="G1041" t="s">
        <v>15</v>
      </c>
      <c r="H1041" s="1">
        <v>193.3</v>
      </c>
      <c r="I1041" t="s">
        <v>24</v>
      </c>
      <c r="J1041">
        <v>1</v>
      </c>
      <c r="K1041">
        <v>4</v>
      </c>
    </row>
    <row r="1042" spans="1:11" x14ac:dyDescent="0.35">
      <c r="A1042" t="s">
        <v>1079</v>
      </c>
      <c r="B1042">
        <v>45</v>
      </c>
      <c r="C1042" t="s">
        <v>12</v>
      </c>
      <c r="D1042" t="s">
        <v>13</v>
      </c>
      <c r="E1042">
        <v>20</v>
      </c>
      <c r="F1042" t="s">
        <v>22</v>
      </c>
      <c r="G1042" t="s">
        <v>37</v>
      </c>
      <c r="H1042" s="1">
        <v>206.2</v>
      </c>
      <c r="I1042" t="s">
        <v>24</v>
      </c>
      <c r="J1042">
        <v>0</v>
      </c>
      <c r="K1042">
        <v>4</v>
      </c>
    </row>
    <row r="1043" spans="1:11" x14ac:dyDescent="0.35">
      <c r="A1043" t="s">
        <v>1080</v>
      </c>
      <c r="B1043">
        <v>81</v>
      </c>
      <c r="C1043" t="s">
        <v>12</v>
      </c>
      <c r="D1043" t="s">
        <v>19</v>
      </c>
      <c r="E1043">
        <v>10</v>
      </c>
      <c r="F1043" t="s">
        <v>14</v>
      </c>
      <c r="G1043" t="s">
        <v>37</v>
      </c>
      <c r="H1043" s="1">
        <v>0</v>
      </c>
      <c r="I1043" t="s">
        <v>16</v>
      </c>
      <c r="J1043">
        <v>2</v>
      </c>
      <c r="K1043">
        <v>8</v>
      </c>
    </row>
    <row r="1044" spans="1:11" x14ac:dyDescent="0.35">
      <c r="A1044" t="s">
        <v>1081</v>
      </c>
      <c r="B1044">
        <v>78</v>
      </c>
      <c r="C1044" t="s">
        <v>12</v>
      </c>
      <c r="D1044" t="s">
        <v>21</v>
      </c>
      <c r="E1044">
        <v>35</v>
      </c>
      <c r="F1044" t="s">
        <v>31</v>
      </c>
      <c r="G1044" t="s">
        <v>34</v>
      </c>
      <c r="H1044" s="1">
        <v>159.19999999999999</v>
      </c>
      <c r="I1044" t="s">
        <v>24</v>
      </c>
      <c r="J1044">
        <v>2</v>
      </c>
      <c r="K1044">
        <v>4</v>
      </c>
    </row>
    <row r="1045" spans="1:11" x14ac:dyDescent="0.35">
      <c r="A1045" t="s">
        <v>1082</v>
      </c>
      <c r="B1045">
        <v>84</v>
      </c>
      <c r="C1045" t="s">
        <v>12</v>
      </c>
      <c r="D1045" t="s">
        <v>47</v>
      </c>
      <c r="E1045">
        <v>14</v>
      </c>
      <c r="F1045" t="s">
        <v>22</v>
      </c>
      <c r="G1045" t="s">
        <v>34</v>
      </c>
      <c r="H1045" s="1">
        <v>213.42</v>
      </c>
      <c r="I1045" t="s">
        <v>28</v>
      </c>
      <c r="J1045">
        <v>3</v>
      </c>
      <c r="K1045">
        <v>7</v>
      </c>
    </row>
    <row r="1046" spans="1:11" x14ac:dyDescent="0.35">
      <c r="A1046" t="s">
        <v>1083</v>
      </c>
      <c r="B1046">
        <v>27</v>
      </c>
      <c r="C1046" t="s">
        <v>12</v>
      </c>
      <c r="D1046" t="s">
        <v>19</v>
      </c>
      <c r="E1046">
        <v>7</v>
      </c>
      <c r="F1046" t="s">
        <v>33</v>
      </c>
      <c r="G1046" t="s">
        <v>23</v>
      </c>
      <c r="H1046" s="1">
        <v>245.17</v>
      </c>
      <c r="I1046" t="s">
        <v>24</v>
      </c>
      <c r="J1046">
        <v>2</v>
      </c>
      <c r="K1046">
        <v>8</v>
      </c>
    </row>
    <row r="1047" spans="1:11" x14ac:dyDescent="0.35">
      <c r="A1047" t="s">
        <v>1084</v>
      </c>
      <c r="B1047">
        <v>33</v>
      </c>
      <c r="C1047" t="s">
        <v>12</v>
      </c>
      <c r="D1047" t="s">
        <v>41</v>
      </c>
      <c r="E1047">
        <v>8</v>
      </c>
      <c r="F1047" t="s">
        <v>31</v>
      </c>
      <c r="G1047" t="s">
        <v>23</v>
      </c>
      <c r="H1047" s="1">
        <v>581.35</v>
      </c>
      <c r="I1047" t="s">
        <v>24</v>
      </c>
      <c r="J1047">
        <v>0</v>
      </c>
      <c r="K1047">
        <v>10</v>
      </c>
    </row>
    <row r="1048" spans="1:11" x14ac:dyDescent="0.35">
      <c r="A1048" t="s">
        <v>1085</v>
      </c>
      <c r="B1048">
        <v>33</v>
      </c>
      <c r="C1048" t="s">
        <v>18</v>
      </c>
      <c r="D1048" t="s">
        <v>21</v>
      </c>
      <c r="E1048">
        <v>30</v>
      </c>
      <c r="F1048" t="s">
        <v>14</v>
      </c>
      <c r="G1048" t="s">
        <v>23</v>
      </c>
      <c r="H1048" s="1">
        <v>0</v>
      </c>
      <c r="I1048" t="s">
        <v>16</v>
      </c>
      <c r="J1048">
        <v>1</v>
      </c>
      <c r="K1048">
        <v>5</v>
      </c>
    </row>
    <row r="1049" spans="1:11" x14ac:dyDescent="0.35">
      <c r="A1049" t="s">
        <v>1086</v>
      </c>
      <c r="B1049">
        <v>24</v>
      </c>
      <c r="C1049" t="s">
        <v>18</v>
      </c>
      <c r="D1049" t="s">
        <v>21</v>
      </c>
      <c r="E1049">
        <v>32</v>
      </c>
      <c r="F1049" t="s">
        <v>22</v>
      </c>
      <c r="G1049" t="s">
        <v>27</v>
      </c>
      <c r="H1049" s="1">
        <v>119.74</v>
      </c>
      <c r="I1049" t="s">
        <v>24</v>
      </c>
      <c r="J1049">
        <v>0</v>
      </c>
      <c r="K1049">
        <v>2</v>
      </c>
    </row>
    <row r="1050" spans="1:11" x14ac:dyDescent="0.35">
      <c r="A1050" t="s">
        <v>1087</v>
      </c>
      <c r="B1050">
        <v>67</v>
      </c>
      <c r="C1050" t="s">
        <v>12</v>
      </c>
      <c r="D1050" t="s">
        <v>19</v>
      </c>
      <c r="E1050">
        <v>14</v>
      </c>
      <c r="F1050" t="s">
        <v>31</v>
      </c>
      <c r="G1050" t="s">
        <v>37</v>
      </c>
      <c r="H1050" s="1">
        <v>219.3</v>
      </c>
      <c r="I1050" t="s">
        <v>24</v>
      </c>
      <c r="J1050">
        <v>1</v>
      </c>
      <c r="K1050">
        <v>4</v>
      </c>
    </row>
    <row r="1051" spans="1:11" x14ac:dyDescent="0.35">
      <c r="A1051" t="s">
        <v>1088</v>
      </c>
      <c r="B1051">
        <v>39</v>
      </c>
      <c r="C1051" t="s">
        <v>12</v>
      </c>
      <c r="D1051" t="s">
        <v>21</v>
      </c>
      <c r="E1051">
        <v>22</v>
      </c>
      <c r="F1051" t="s">
        <v>33</v>
      </c>
      <c r="G1051" t="s">
        <v>37</v>
      </c>
      <c r="H1051" s="1">
        <v>182.09</v>
      </c>
      <c r="I1051" t="s">
        <v>24</v>
      </c>
      <c r="J1051">
        <v>3</v>
      </c>
      <c r="K1051">
        <v>5</v>
      </c>
    </row>
    <row r="1052" spans="1:11" x14ac:dyDescent="0.35">
      <c r="A1052" t="s">
        <v>1089</v>
      </c>
      <c r="B1052">
        <v>56</v>
      </c>
      <c r="C1052" t="s">
        <v>18</v>
      </c>
      <c r="D1052" t="s">
        <v>30</v>
      </c>
      <c r="E1052">
        <v>12</v>
      </c>
      <c r="F1052" t="s">
        <v>14</v>
      </c>
      <c r="G1052" t="s">
        <v>27</v>
      </c>
      <c r="H1052" s="1">
        <v>0</v>
      </c>
      <c r="I1052" t="s">
        <v>16</v>
      </c>
      <c r="J1052">
        <v>1</v>
      </c>
      <c r="K1052">
        <v>4</v>
      </c>
    </row>
    <row r="1053" spans="1:11" x14ac:dyDescent="0.35">
      <c r="A1053" t="s">
        <v>1090</v>
      </c>
      <c r="B1053">
        <v>43</v>
      </c>
      <c r="C1053" t="s">
        <v>12</v>
      </c>
      <c r="D1053" t="s">
        <v>19</v>
      </c>
      <c r="E1053">
        <v>13</v>
      </c>
      <c r="F1053" t="s">
        <v>22</v>
      </c>
      <c r="G1053" t="s">
        <v>23</v>
      </c>
      <c r="H1053" s="1">
        <v>396.55</v>
      </c>
      <c r="I1053" t="s">
        <v>24</v>
      </c>
      <c r="J1053">
        <v>1</v>
      </c>
      <c r="K1053">
        <v>8</v>
      </c>
    </row>
    <row r="1054" spans="1:11" x14ac:dyDescent="0.35">
      <c r="A1054" t="s">
        <v>1091</v>
      </c>
      <c r="B1054">
        <v>60</v>
      </c>
      <c r="C1054" t="s">
        <v>18</v>
      </c>
      <c r="D1054" t="s">
        <v>41</v>
      </c>
      <c r="E1054">
        <v>12</v>
      </c>
      <c r="F1054" t="s">
        <v>33</v>
      </c>
      <c r="G1054" t="s">
        <v>23</v>
      </c>
      <c r="H1054" s="1">
        <v>63.52</v>
      </c>
      <c r="I1054" t="s">
        <v>24</v>
      </c>
      <c r="J1054">
        <v>3</v>
      </c>
      <c r="K1054">
        <v>6</v>
      </c>
    </row>
    <row r="1055" spans="1:11" x14ac:dyDescent="0.35">
      <c r="A1055" t="s">
        <v>1092</v>
      </c>
      <c r="B1055">
        <v>60</v>
      </c>
      <c r="C1055" t="s">
        <v>18</v>
      </c>
      <c r="D1055" t="s">
        <v>57</v>
      </c>
      <c r="E1055">
        <v>47</v>
      </c>
      <c r="F1055" t="s">
        <v>22</v>
      </c>
      <c r="G1055" t="s">
        <v>15</v>
      </c>
      <c r="H1055" s="1">
        <v>223.54</v>
      </c>
      <c r="I1055" t="s">
        <v>24</v>
      </c>
      <c r="J1055">
        <v>4</v>
      </c>
      <c r="K1055">
        <v>5</v>
      </c>
    </row>
    <row r="1056" spans="1:11" x14ac:dyDescent="0.35">
      <c r="A1056" t="s">
        <v>1093</v>
      </c>
      <c r="B1056">
        <v>74</v>
      </c>
      <c r="C1056" t="s">
        <v>18</v>
      </c>
      <c r="D1056" t="s">
        <v>30</v>
      </c>
      <c r="E1056">
        <v>5</v>
      </c>
      <c r="F1056" t="s">
        <v>22</v>
      </c>
      <c r="G1056" t="s">
        <v>15</v>
      </c>
      <c r="H1056" s="1">
        <v>267.62</v>
      </c>
      <c r="I1056" t="s">
        <v>24</v>
      </c>
      <c r="J1056">
        <v>0</v>
      </c>
      <c r="K1056">
        <v>9</v>
      </c>
    </row>
    <row r="1057" spans="1:11" x14ac:dyDescent="0.35">
      <c r="A1057" t="s">
        <v>1094</v>
      </c>
      <c r="B1057">
        <v>49</v>
      </c>
      <c r="C1057" t="s">
        <v>18</v>
      </c>
      <c r="D1057" t="s">
        <v>21</v>
      </c>
      <c r="E1057">
        <v>41</v>
      </c>
      <c r="F1057" t="s">
        <v>33</v>
      </c>
      <c r="G1057" t="s">
        <v>23</v>
      </c>
      <c r="H1057" s="1">
        <v>434.54</v>
      </c>
      <c r="I1057" t="s">
        <v>24</v>
      </c>
      <c r="J1057">
        <v>2</v>
      </c>
      <c r="K1057">
        <v>2</v>
      </c>
    </row>
    <row r="1058" spans="1:11" x14ac:dyDescent="0.35">
      <c r="A1058" t="s">
        <v>1095</v>
      </c>
      <c r="B1058">
        <v>81</v>
      </c>
      <c r="C1058" t="s">
        <v>12</v>
      </c>
      <c r="D1058" t="s">
        <v>19</v>
      </c>
      <c r="E1058">
        <v>6</v>
      </c>
      <c r="F1058" t="s">
        <v>31</v>
      </c>
      <c r="G1058" t="s">
        <v>34</v>
      </c>
      <c r="H1058" s="1">
        <v>128.58000000000001</v>
      </c>
      <c r="I1058" t="s">
        <v>28</v>
      </c>
      <c r="J1058">
        <v>2</v>
      </c>
      <c r="K1058">
        <v>8</v>
      </c>
    </row>
    <row r="1059" spans="1:11" x14ac:dyDescent="0.35">
      <c r="A1059" t="s">
        <v>1096</v>
      </c>
      <c r="B1059">
        <v>77</v>
      </c>
      <c r="C1059" t="s">
        <v>18</v>
      </c>
      <c r="D1059" t="s">
        <v>19</v>
      </c>
      <c r="E1059">
        <v>9</v>
      </c>
      <c r="F1059" t="s">
        <v>26</v>
      </c>
      <c r="G1059" t="s">
        <v>34</v>
      </c>
      <c r="H1059" s="1">
        <v>213.82</v>
      </c>
      <c r="I1059" t="s">
        <v>24</v>
      </c>
      <c r="J1059">
        <v>1</v>
      </c>
      <c r="K1059">
        <v>8</v>
      </c>
    </row>
    <row r="1060" spans="1:11" x14ac:dyDescent="0.35">
      <c r="A1060" t="s">
        <v>1097</v>
      </c>
      <c r="B1060">
        <v>70</v>
      </c>
      <c r="C1060" t="s">
        <v>18</v>
      </c>
      <c r="D1060" t="s">
        <v>19</v>
      </c>
      <c r="E1060">
        <v>10</v>
      </c>
      <c r="F1060" t="s">
        <v>33</v>
      </c>
      <c r="G1060" t="s">
        <v>27</v>
      </c>
      <c r="H1060" s="1">
        <v>157.04</v>
      </c>
      <c r="I1060" t="s">
        <v>28</v>
      </c>
      <c r="J1060">
        <v>2</v>
      </c>
      <c r="K1060">
        <v>6</v>
      </c>
    </row>
    <row r="1061" spans="1:11" x14ac:dyDescent="0.35">
      <c r="A1061" t="s">
        <v>1098</v>
      </c>
      <c r="B1061">
        <v>20</v>
      </c>
      <c r="C1061" t="s">
        <v>12</v>
      </c>
      <c r="D1061" t="s">
        <v>19</v>
      </c>
      <c r="E1061">
        <v>23</v>
      </c>
      <c r="F1061" t="s">
        <v>22</v>
      </c>
      <c r="G1061" t="s">
        <v>37</v>
      </c>
      <c r="H1061" s="1">
        <v>216.86</v>
      </c>
      <c r="I1061" t="s">
        <v>28</v>
      </c>
      <c r="J1061">
        <v>2</v>
      </c>
      <c r="K1061">
        <v>4</v>
      </c>
    </row>
    <row r="1062" spans="1:11" x14ac:dyDescent="0.35">
      <c r="A1062" t="s">
        <v>1099</v>
      </c>
      <c r="B1062">
        <v>71</v>
      </c>
      <c r="C1062" t="s">
        <v>12</v>
      </c>
      <c r="D1062" t="s">
        <v>13</v>
      </c>
      <c r="E1062">
        <v>22</v>
      </c>
      <c r="F1062" t="s">
        <v>31</v>
      </c>
      <c r="G1062" t="s">
        <v>27</v>
      </c>
      <c r="H1062" s="1">
        <v>107.32</v>
      </c>
      <c r="I1062" t="s">
        <v>24</v>
      </c>
      <c r="J1062">
        <v>3</v>
      </c>
      <c r="K1062">
        <v>2</v>
      </c>
    </row>
    <row r="1063" spans="1:11" x14ac:dyDescent="0.35">
      <c r="A1063" t="s">
        <v>1100</v>
      </c>
      <c r="B1063">
        <v>43</v>
      </c>
      <c r="C1063" t="s">
        <v>12</v>
      </c>
      <c r="D1063" t="s">
        <v>200</v>
      </c>
      <c r="E1063">
        <v>20</v>
      </c>
      <c r="F1063" t="s">
        <v>22</v>
      </c>
      <c r="G1063" t="s">
        <v>15</v>
      </c>
      <c r="H1063" s="1">
        <v>124.1</v>
      </c>
      <c r="I1063" t="s">
        <v>24</v>
      </c>
      <c r="J1063">
        <v>4</v>
      </c>
      <c r="K1063">
        <v>5</v>
      </c>
    </row>
    <row r="1064" spans="1:11" x14ac:dyDescent="0.35">
      <c r="A1064" t="s">
        <v>1101</v>
      </c>
      <c r="B1064">
        <v>37</v>
      </c>
      <c r="C1064" t="s">
        <v>12</v>
      </c>
      <c r="D1064" t="s">
        <v>13</v>
      </c>
      <c r="E1064">
        <v>14</v>
      </c>
      <c r="F1064" t="s">
        <v>33</v>
      </c>
      <c r="G1064" t="s">
        <v>15</v>
      </c>
      <c r="H1064" s="1">
        <v>94.31</v>
      </c>
      <c r="I1064" t="s">
        <v>24</v>
      </c>
      <c r="J1064">
        <v>0</v>
      </c>
      <c r="K1064">
        <v>7</v>
      </c>
    </row>
    <row r="1065" spans="1:11" x14ac:dyDescent="0.35">
      <c r="A1065" t="s">
        <v>1102</v>
      </c>
      <c r="B1065">
        <v>55</v>
      </c>
      <c r="C1065" t="s">
        <v>189</v>
      </c>
      <c r="D1065" t="s">
        <v>19</v>
      </c>
      <c r="E1065">
        <v>17</v>
      </c>
      <c r="F1065" t="s">
        <v>22</v>
      </c>
      <c r="G1065" t="s">
        <v>23</v>
      </c>
      <c r="H1065" s="1">
        <v>420.11</v>
      </c>
      <c r="I1065" t="s">
        <v>28</v>
      </c>
      <c r="J1065">
        <v>1</v>
      </c>
      <c r="K1065">
        <v>6</v>
      </c>
    </row>
    <row r="1066" spans="1:11" x14ac:dyDescent="0.35">
      <c r="A1066" t="s">
        <v>1103</v>
      </c>
      <c r="B1066">
        <v>18</v>
      </c>
      <c r="C1066" t="s">
        <v>12</v>
      </c>
      <c r="D1066" t="s">
        <v>21</v>
      </c>
      <c r="E1066">
        <v>43</v>
      </c>
      <c r="F1066" t="s">
        <v>14</v>
      </c>
      <c r="G1066" t="s">
        <v>37</v>
      </c>
      <c r="H1066" s="1">
        <v>0</v>
      </c>
      <c r="I1066" t="s">
        <v>16</v>
      </c>
      <c r="J1066">
        <v>2</v>
      </c>
      <c r="K1066">
        <v>2</v>
      </c>
    </row>
    <row r="1067" spans="1:11" x14ac:dyDescent="0.35">
      <c r="A1067" t="s">
        <v>1104</v>
      </c>
      <c r="B1067">
        <v>72</v>
      </c>
      <c r="C1067" t="s">
        <v>18</v>
      </c>
      <c r="D1067" t="s">
        <v>19</v>
      </c>
      <c r="E1067">
        <v>19</v>
      </c>
      <c r="F1067" t="s">
        <v>14</v>
      </c>
      <c r="G1067" t="s">
        <v>34</v>
      </c>
      <c r="H1067" s="1">
        <v>0</v>
      </c>
      <c r="I1067" t="s">
        <v>16</v>
      </c>
      <c r="J1067">
        <v>1</v>
      </c>
      <c r="K1067">
        <v>3</v>
      </c>
    </row>
    <row r="1068" spans="1:11" x14ac:dyDescent="0.35">
      <c r="A1068" t="s">
        <v>1105</v>
      </c>
      <c r="B1068">
        <v>22</v>
      </c>
      <c r="C1068" t="s">
        <v>12</v>
      </c>
      <c r="D1068" t="s">
        <v>13</v>
      </c>
      <c r="E1068">
        <v>14</v>
      </c>
      <c r="F1068" t="s">
        <v>22</v>
      </c>
      <c r="G1068" t="s">
        <v>34</v>
      </c>
      <c r="H1068" s="1">
        <v>215.62</v>
      </c>
      <c r="I1068" t="s">
        <v>24</v>
      </c>
      <c r="J1068">
        <v>3</v>
      </c>
      <c r="K1068">
        <v>8</v>
      </c>
    </row>
    <row r="1069" spans="1:11" x14ac:dyDescent="0.35">
      <c r="A1069" t="s">
        <v>1106</v>
      </c>
      <c r="B1069">
        <v>47</v>
      </c>
      <c r="C1069" t="s">
        <v>18</v>
      </c>
      <c r="D1069" t="s">
        <v>13</v>
      </c>
      <c r="E1069">
        <v>6</v>
      </c>
      <c r="F1069" t="s">
        <v>33</v>
      </c>
      <c r="G1069" t="s">
        <v>15</v>
      </c>
      <c r="H1069" s="1">
        <v>218.61</v>
      </c>
      <c r="I1069" t="s">
        <v>43</v>
      </c>
      <c r="J1069">
        <v>2</v>
      </c>
      <c r="K1069">
        <v>8</v>
      </c>
    </row>
    <row r="1070" spans="1:11" x14ac:dyDescent="0.35">
      <c r="A1070" t="s">
        <v>1107</v>
      </c>
      <c r="B1070">
        <v>44</v>
      </c>
      <c r="C1070" t="s">
        <v>12</v>
      </c>
      <c r="D1070" t="s">
        <v>19</v>
      </c>
      <c r="E1070">
        <v>21</v>
      </c>
      <c r="F1070" t="s">
        <v>26</v>
      </c>
      <c r="G1070" t="s">
        <v>23</v>
      </c>
      <c r="H1070" s="1">
        <v>580.99</v>
      </c>
      <c r="I1070" t="s">
        <v>24</v>
      </c>
      <c r="J1070">
        <v>2</v>
      </c>
      <c r="K1070">
        <v>4</v>
      </c>
    </row>
    <row r="1071" spans="1:11" x14ac:dyDescent="0.35">
      <c r="A1071" t="s">
        <v>1108</v>
      </c>
      <c r="B1071">
        <v>85</v>
      </c>
      <c r="C1071" t="s">
        <v>12</v>
      </c>
      <c r="D1071" t="s">
        <v>13</v>
      </c>
      <c r="E1071">
        <v>23</v>
      </c>
      <c r="F1071" t="s">
        <v>33</v>
      </c>
      <c r="G1071" t="s">
        <v>15</v>
      </c>
      <c r="H1071" s="1">
        <v>265.01</v>
      </c>
      <c r="I1071" t="s">
        <v>24</v>
      </c>
      <c r="J1071">
        <v>1</v>
      </c>
      <c r="K1071">
        <v>2</v>
      </c>
    </row>
    <row r="1072" spans="1:11" x14ac:dyDescent="0.35">
      <c r="A1072" t="s">
        <v>1109</v>
      </c>
      <c r="B1072">
        <v>74</v>
      </c>
      <c r="C1072" t="s">
        <v>12</v>
      </c>
      <c r="D1072" t="s">
        <v>200</v>
      </c>
      <c r="E1072">
        <v>21</v>
      </c>
      <c r="F1072" t="s">
        <v>33</v>
      </c>
      <c r="G1072" t="s">
        <v>15</v>
      </c>
      <c r="H1072" s="1">
        <v>114.45</v>
      </c>
      <c r="I1072" t="s">
        <v>24</v>
      </c>
      <c r="J1072">
        <v>1</v>
      </c>
      <c r="K1072">
        <v>1</v>
      </c>
    </row>
    <row r="1073" spans="1:11" x14ac:dyDescent="0.35">
      <c r="A1073" t="s">
        <v>1110</v>
      </c>
      <c r="B1073">
        <v>45</v>
      </c>
      <c r="C1073" t="s">
        <v>12</v>
      </c>
      <c r="D1073" t="s">
        <v>21</v>
      </c>
      <c r="E1073">
        <v>48</v>
      </c>
      <c r="F1073" t="s">
        <v>26</v>
      </c>
      <c r="G1073" t="s">
        <v>23</v>
      </c>
      <c r="H1073" s="1">
        <v>502.95</v>
      </c>
      <c r="I1073" t="s">
        <v>24</v>
      </c>
      <c r="J1073">
        <v>1</v>
      </c>
      <c r="K1073">
        <v>1</v>
      </c>
    </row>
    <row r="1074" spans="1:11" x14ac:dyDescent="0.35">
      <c r="A1074" t="s">
        <v>1111</v>
      </c>
      <c r="B1074">
        <v>70</v>
      </c>
      <c r="C1074" t="s">
        <v>18</v>
      </c>
      <c r="D1074" t="s">
        <v>30</v>
      </c>
      <c r="E1074">
        <v>4</v>
      </c>
      <c r="F1074" t="s">
        <v>33</v>
      </c>
      <c r="G1074" t="s">
        <v>27</v>
      </c>
      <c r="H1074" s="1">
        <v>143.28</v>
      </c>
      <c r="I1074" t="s">
        <v>24</v>
      </c>
      <c r="J1074">
        <v>0</v>
      </c>
      <c r="K1074">
        <v>7</v>
      </c>
    </row>
    <row r="1075" spans="1:11" x14ac:dyDescent="0.35">
      <c r="A1075" t="s">
        <v>1112</v>
      </c>
      <c r="B1075">
        <v>80</v>
      </c>
      <c r="C1075" t="s">
        <v>18</v>
      </c>
      <c r="D1075" t="s">
        <v>30</v>
      </c>
      <c r="E1075">
        <v>11</v>
      </c>
      <c r="F1075" t="s">
        <v>33</v>
      </c>
      <c r="G1075" t="s">
        <v>27</v>
      </c>
      <c r="H1075" s="1">
        <v>108.71</v>
      </c>
      <c r="I1075" t="s">
        <v>24</v>
      </c>
      <c r="J1075">
        <v>1</v>
      </c>
      <c r="K1075">
        <v>6</v>
      </c>
    </row>
    <row r="1076" spans="1:11" x14ac:dyDescent="0.35">
      <c r="A1076" t="s">
        <v>1113</v>
      </c>
      <c r="B1076">
        <v>61</v>
      </c>
      <c r="C1076" t="s">
        <v>12</v>
      </c>
      <c r="D1076" t="s">
        <v>13</v>
      </c>
      <c r="E1076">
        <v>19</v>
      </c>
      <c r="F1076" t="s">
        <v>22</v>
      </c>
      <c r="G1076" t="s">
        <v>27</v>
      </c>
      <c r="H1076" s="1">
        <v>74.239999999999995</v>
      </c>
      <c r="I1076" t="s">
        <v>24</v>
      </c>
      <c r="J1076">
        <v>2</v>
      </c>
      <c r="K1076">
        <v>1</v>
      </c>
    </row>
    <row r="1077" spans="1:11" x14ac:dyDescent="0.35">
      <c r="A1077" t="s">
        <v>1114</v>
      </c>
      <c r="B1077">
        <v>60</v>
      </c>
      <c r="C1077" t="s">
        <v>18</v>
      </c>
      <c r="D1077" t="s">
        <v>13</v>
      </c>
      <c r="E1077">
        <v>6</v>
      </c>
      <c r="F1077" t="s">
        <v>33</v>
      </c>
      <c r="G1077" t="s">
        <v>37</v>
      </c>
      <c r="H1077" s="1">
        <v>219.02</v>
      </c>
      <c r="I1077" t="s">
        <v>24</v>
      </c>
      <c r="J1077">
        <v>0</v>
      </c>
      <c r="K1077">
        <v>8</v>
      </c>
    </row>
    <row r="1078" spans="1:11" x14ac:dyDescent="0.35">
      <c r="A1078" t="s">
        <v>1115</v>
      </c>
      <c r="B1078">
        <v>82</v>
      </c>
      <c r="C1078" t="s">
        <v>12</v>
      </c>
      <c r="D1078" t="s">
        <v>19</v>
      </c>
      <c r="E1078">
        <v>13</v>
      </c>
      <c r="F1078" t="s">
        <v>26</v>
      </c>
      <c r="G1078" t="s">
        <v>23</v>
      </c>
      <c r="H1078" s="1">
        <v>292.55</v>
      </c>
      <c r="I1078" t="s">
        <v>43</v>
      </c>
      <c r="J1078">
        <v>1</v>
      </c>
      <c r="K1078">
        <v>7</v>
      </c>
    </row>
    <row r="1079" spans="1:11" x14ac:dyDescent="0.35">
      <c r="A1079" t="s">
        <v>1116</v>
      </c>
      <c r="B1079">
        <v>50</v>
      </c>
      <c r="C1079" t="s">
        <v>18</v>
      </c>
      <c r="D1079" t="s">
        <v>19</v>
      </c>
      <c r="E1079">
        <v>18</v>
      </c>
      <c r="F1079" t="s">
        <v>22</v>
      </c>
      <c r="G1079" t="s">
        <v>37</v>
      </c>
      <c r="H1079" s="1">
        <v>98.36</v>
      </c>
      <c r="I1079" t="s">
        <v>24</v>
      </c>
      <c r="J1079">
        <v>2</v>
      </c>
      <c r="K1079">
        <v>6</v>
      </c>
    </row>
    <row r="1080" spans="1:11" x14ac:dyDescent="0.35">
      <c r="A1080" t="s">
        <v>1117</v>
      </c>
      <c r="B1080">
        <v>74</v>
      </c>
      <c r="C1080" t="s">
        <v>12</v>
      </c>
      <c r="D1080" t="s">
        <v>19</v>
      </c>
      <c r="E1080">
        <v>21</v>
      </c>
      <c r="F1080" t="s">
        <v>22</v>
      </c>
      <c r="G1080" t="s">
        <v>27</v>
      </c>
      <c r="H1080" s="1">
        <v>150.13999999999999</v>
      </c>
      <c r="I1080" t="s">
        <v>43</v>
      </c>
      <c r="J1080">
        <v>2</v>
      </c>
      <c r="K1080">
        <v>5</v>
      </c>
    </row>
    <row r="1081" spans="1:11" x14ac:dyDescent="0.35">
      <c r="A1081" t="s">
        <v>1118</v>
      </c>
      <c r="B1081">
        <v>68</v>
      </c>
      <c r="C1081" t="s">
        <v>12</v>
      </c>
      <c r="D1081" t="s">
        <v>19</v>
      </c>
      <c r="E1081">
        <v>18</v>
      </c>
      <c r="F1081" t="s">
        <v>26</v>
      </c>
      <c r="G1081" t="s">
        <v>34</v>
      </c>
      <c r="H1081" s="1">
        <v>203.69</v>
      </c>
      <c r="I1081" t="s">
        <v>24</v>
      </c>
      <c r="J1081">
        <v>1</v>
      </c>
      <c r="K1081">
        <v>7</v>
      </c>
    </row>
    <row r="1082" spans="1:11" x14ac:dyDescent="0.35">
      <c r="A1082" t="s">
        <v>1119</v>
      </c>
      <c r="B1082">
        <v>51</v>
      </c>
      <c r="C1082" t="s">
        <v>18</v>
      </c>
      <c r="D1082" t="s">
        <v>19</v>
      </c>
      <c r="E1082">
        <v>13</v>
      </c>
      <c r="F1082" t="s">
        <v>26</v>
      </c>
      <c r="G1082" t="s">
        <v>15</v>
      </c>
      <c r="H1082" s="1">
        <v>407.9</v>
      </c>
      <c r="I1082" t="s">
        <v>43</v>
      </c>
      <c r="J1082">
        <v>1</v>
      </c>
      <c r="K1082">
        <v>5</v>
      </c>
    </row>
    <row r="1083" spans="1:11" x14ac:dyDescent="0.35">
      <c r="A1083" t="s">
        <v>1120</v>
      </c>
      <c r="B1083">
        <v>77</v>
      </c>
      <c r="C1083" t="s">
        <v>18</v>
      </c>
      <c r="D1083" t="s">
        <v>21</v>
      </c>
      <c r="E1083">
        <v>20</v>
      </c>
      <c r="F1083" t="s">
        <v>26</v>
      </c>
      <c r="G1083" t="s">
        <v>27</v>
      </c>
      <c r="H1083" s="1">
        <v>147.88999999999999</v>
      </c>
      <c r="I1083" t="s">
        <v>24</v>
      </c>
      <c r="J1083">
        <v>4</v>
      </c>
      <c r="K1083">
        <v>5</v>
      </c>
    </row>
    <row r="1084" spans="1:11" x14ac:dyDescent="0.35">
      <c r="A1084" t="s">
        <v>1121</v>
      </c>
      <c r="B1084">
        <v>29</v>
      </c>
      <c r="C1084" t="s">
        <v>18</v>
      </c>
      <c r="D1084" t="s">
        <v>19</v>
      </c>
      <c r="E1084">
        <v>12</v>
      </c>
      <c r="F1084" t="s">
        <v>22</v>
      </c>
      <c r="G1084" t="s">
        <v>27</v>
      </c>
      <c r="H1084" s="1">
        <v>117.26</v>
      </c>
      <c r="I1084" t="s">
        <v>24</v>
      </c>
      <c r="J1084">
        <v>1</v>
      </c>
      <c r="K1084">
        <v>6</v>
      </c>
    </row>
    <row r="1085" spans="1:11" x14ac:dyDescent="0.35">
      <c r="A1085" t="s">
        <v>1122</v>
      </c>
      <c r="B1085">
        <v>77</v>
      </c>
      <c r="C1085" t="s">
        <v>18</v>
      </c>
      <c r="D1085" t="s">
        <v>13</v>
      </c>
      <c r="E1085">
        <v>22</v>
      </c>
      <c r="F1085" t="s">
        <v>31</v>
      </c>
      <c r="G1085" t="s">
        <v>34</v>
      </c>
      <c r="H1085" s="1">
        <v>108.77</v>
      </c>
      <c r="I1085" t="s">
        <v>24</v>
      </c>
      <c r="J1085">
        <v>4</v>
      </c>
      <c r="K1085">
        <v>3</v>
      </c>
    </row>
    <row r="1086" spans="1:11" x14ac:dyDescent="0.35">
      <c r="A1086" t="s">
        <v>1123</v>
      </c>
      <c r="B1086">
        <v>81</v>
      </c>
      <c r="C1086" t="s">
        <v>18</v>
      </c>
      <c r="D1086" t="s">
        <v>21</v>
      </c>
      <c r="E1086">
        <v>16</v>
      </c>
      <c r="F1086" t="s">
        <v>31</v>
      </c>
      <c r="G1086" t="s">
        <v>23</v>
      </c>
      <c r="H1086" s="1">
        <v>562.80999999999995</v>
      </c>
      <c r="I1086" t="s">
        <v>24</v>
      </c>
      <c r="J1086">
        <v>0</v>
      </c>
      <c r="K1086">
        <v>8</v>
      </c>
    </row>
    <row r="1087" spans="1:11" x14ac:dyDescent="0.35">
      <c r="A1087" t="s">
        <v>1124</v>
      </c>
      <c r="B1087">
        <v>26</v>
      </c>
      <c r="C1087" t="s">
        <v>12</v>
      </c>
      <c r="D1087" t="s">
        <v>21</v>
      </c>
      <c r="E1087">
        <v>26</v>
      </c>
      <c r="F1087" t="s">
        <v>31</v>
      </c>
      <c r="G1087" t="s">
        <v>37</v>
      </c>
      <c r="H1087" s="1">
        <v>210.77</v>
      </c>
      <c r="I1087" t="s">
        <v>24</v>
      </c>
      <c r="J1087">
        <v>3</v>
      </c>
      <c r="K1087">
        <v>2</v>
      </c>
    </row>
    <row r="1088" spans="1:11" x14ac:dyDescent="0.35">
      <c r="A1088" t="s">
        <v>1125</v>
      </c>
      <c r="B1088">
        <v>40</v>
      </c>
      <c r="C1088" t="s">
        <v>12</v>
      </c>
      <c r="D1088" t="s">
        <v>30</v>
      </c>
      <c r="E1088">
        <v>14</v>
      </c>
      <c r="F1088" t="s">
        <v>33</v>
      </c>
      <c r="G1088" t="s">
        <v>34</v>
      </c>
      <c r="H1088" s="1">
        <v>145.34</v>
      </c>
      <c r="I1088" t="s">
        <v>24</v>
      </c>
      <c r="J1088">
        <v>3</v>
      </c>
      <c r="K1088">
        <v>8</v>
      </c>
    </row>
    <row r="1089" spans="1:11" x14ac:dyDescent="0.35">
      <c r="A1089" t="s">
        <v>1126</v>
      </c>
      <c r="B1089">
        <v>35</v>
      </c>
      <c r="C1089" t="s">
        <v>12</v>
      </c>
      <c r="D1089" t="s">
        <v>21</v>
      </c>
      <c r="E1089">
        <v>25</v>
      </c>
      <c r="F1089" t="s">
        <v>22</v>
      </c>
      <c r="G1089" t="s">
        <v>34</v>
      </c>
      <c r="H1089" s="1">
        <v>181.72</v>
      </c>
      <c r="I1089" t="s">
        <v>28</v>
      </c>
      <c r="J1089">
        <v>1</v>
      </c>
      <c r="K1089">
        <v>3</v>
      </c>
    </row>
    <row r="1090" spans="1:11" x14ac:dyDescent="0.35">
      <c r="A1090" t="s">
        <v>1127</v>
      </c>
      <c r="B1090">
        <v>67</v>
      </c>
      <c r="C1090" t="s">
        <v>18</v>
      </c>
      <c r="D1090" t="s">
        <v>19</v>
      </c>
      <c r="E1090">
        <v>22</v>
      </c>
      <c r="F1090" t="s">
        <v>14</v>
      </c>
      <c r="G1090" t="s">
        <v>27</v>
      </c>
      <c r="H1090" s="1">
        <v>0</v>
      </c>
      <c r="I1090" t="s">
        <v>16</v>
      </c>
      <c r="J1090">
        <v>2</v>
      </c>
      <c r="K1090">
        <v>4</v>
      </c>
    </row>
    <row r="1091" spans="1:11" x14ac:dyDescent="0.35">
      <c r="A1091" t="s">
        <v>1128</v>
      </c>
      <c r="B1091">
        <v>19</v>
      </c>
      <c r="C1091" t="s">
        <v>12</v>
      </c>
      <c r="D1091" t="s">
        <v>21</v>
      </c>
      <c r="E1091">
        <v>12</v>
      </c>
      <c r="F1091" t="s">
        <v>14</v>
      </c>
      <c r="G1091" t="s">
        <v>23</v>
      </c>
      <c r="H1091" s="1">
        <v>0</v>
      </c>
      <c r="I1091" t="s">
        <v>16</v>
      </c>
      <c r="J1091">
        <v>2</v>
      </c>
      <c r="K1091">
        <v>7</v>
      </c>
    </row>
    <row r="1092" spans="1:11" x14ac:dyDescent="0.35">
      <c r="A1092" t="s">
        <v>1129</v>
      </c>
      <c r="B1092">
        <v>76</v>
      </c>
      <c r="C1092" t="s">
        <v>18</v>
      </c>
      <c r="D1092" t="s">
        <v>41</v>
      </c>
      <c r="E1092">
        <v>2</v>
      </c>
      <c r="F1092" t="s">
        <v>33</v>
      </c>
      <c r="G1092" t="s">
        <v>34</v>
      </c>
      <c r="H1092" s="1">
        <v>123.63</v>
      </c>
      <c r="I1092" t="s">
        <v>24</v>
      </c>
      <c r="J1092">
        <v>0</v>
      </c>
      <c r="K1092">
        <v>10</v>
      </c>
    </row>
    <row r="1093" spans="1:11" x14ac:dyDescent="0.35">
      <c r="A1093" t="s">
        <v>1130</v>
      </c>
      <c r="B1093">
        <v>81</v>
      </c>
      <c r="C1093" t="s">
        <v>18</v>
      </c>
      <c r="D1093" t="s">
        <v>19</v>
      </c>
      <c r="E1093">
        <v>23</v>
      </c>
      <c r="F1093" t="s">
        <v>14</v>
      </c>
      <c r="G1093" t="s">
        <v>23</v>
      </c>
      <c r="H1093" s="1">
        <v>0</v>
      </c>
      <c r="I1093" t="s">
        <v>16</v>
      </c>
      <c r="J1093">
        <v>2</v>
      </c>
      <c r="K1093">
        <v>2</v>
      </c>
    </row>
    <row r="1094" spans="1:11" x14ac:dyDescent="0.35">
      <c r="A1094" t="s">
        <v>1131</v>
      </c>
      <c r="B1094">
        <v>54</v>
      </c>
      <c r="C1094" t="s">
        <v>12</v>
      </c>
      <c r="D1094" t="s">
        <v>19</v>
      </c>
      <c r="E1094">
        <v>10</v>
      </c>
      <c r="F1094" t="s">
        <v>31</v>
      </c>
      <c r="G1094" t="s">
        <v>27</v>
      </c>
      <c r="H1094" s="1">
        <v>68.099999999999994</v>
      </c>
      <c r="I1094" t="s">
        <v>43</v>
      </c>
      <c r="J1094">
        <v>0</v>
      </c>
      <c r="K1094">
        <v>5</v>
      </c>
    </row>
    <row r="1095" spans="1:11" x14ac:dyDescent="0.35">
      <c r="A1095" t="s">
        <v>1132</v>
      </c>
      <c r="B1095">
        <v>41</v>
      </c>
      <c r="C1095" t="s">
        <v>12</v>
      </c>
      <c r="D1095" t="s">
        <v>13</v>
      </c>
      <c r="E1095">
        <v>19</v>
      </c>
      <c r="F1095" t="s">
        <v>14</v>
      </c>
      <c r="G1095" t="s">
        <v>23</v>
      </c>
      <c r="H1095" s="1">
        <v>0</v>
      </c>
      <c r="I1095" t="s">
        <v>16</v>
      </c>
      <c r="J1095">
        <v>1</v>
      </c>
      <c r="K1095">
        <v>4</v>
      </c>
    </row>
    <row r="1096" spans="1:11" x14ac:dyDescent="0.35">
      <c r="A1096" t="s">
        <v>1133</v>
      </c>
      <c r="B1096">
        <v>51</v>
      </c>
      <c r="C1096" t="s">
        <v>12</v>
      </c>
      <c r="D1096" t="s">
        <v>19</v>
      </c>
      <c r="E1096">
        <v>8</v>
      </c>
      <c r="F1096" t="s">
        <v>14</v>
      </c>
      <c r="G1096" t="s">
        <v>23</v>
      </c>
      <c r="H1096" s="1">
        <v>0</v>
      </c>
      <c r="I1096" t="s">
        <v>16</v>
      </c>
      <c r="J1096">
        <v>0</v>
      </c>
      <c r="K1096">
        <v>10</v>
      </c>
    </row>
    <row r="1097" spans="1:11" x14ac:dyDescent="0.35">
      <c r="A1097" t="s">
        <v>1134</v>
      </c>
      <c r="B1097">
        <v>78</v>
      </c>
      <c r="C1097" t="s">
        <v>12</v>
      </c>
      <c r="D1097" t="s">
        <v>19</v>
      </c>
      <c r="E1097">
        <v>17</v>
      </c>
      <c r="F1097" t="s">
        <v>22</v>
      </c>
      <c r="G1097" t="s">
        <v>23</v>
      </c>
      <c r="H1097" s="1">
        <v>365.37</v>
      </c>
      <c r="I1097" t="s">
        <v>43</v>
      </c>
      <c r="J1097">
        <v>0</v>
      </c>
      <c r="K1097">
        <v>6</v>
      </c>
    </row>
    <row r="1098" spans="1:11" x14ac:dyDescent="0.35">
      <c r="A1098" t="s">
        <v>1135</v>
      </c>
      <c r="B1098">
        <v>36</v>
      </c>
      <c r="C1098" t="s">
        <v>12</v>
      </c>
      <c r="D1098" t="s">
        <v>19</v>
      </c>
      <c r="E1098">
        <v>19</v>
      </c>
      <c r="F1098" t="s">
        <v>22</v>
      </c>
      <c r="G1098" t="s">
        <v>15</v>
      </c>
      <c r="H1098" s="1">
        <v>189.68</v>
      </c>
      <c r="I1098" t="s">
        <v>24</v>
      </c>
      <c r="J1098">
        <v>2</v>
      </c>
      <c r="K1098">
        <v>4</v>
      </c>
    </row>
    <row r="1099" spans="1:11" x14ac:dyDescent="0.35">
      <c r="A1099" t="s">
        <v>1136</v>
      </c>
      <c r="B1099">
        <v>77</v>
      </c>
      <c r="C1099" t="s">
        <v>18</v>
      </c>
      <c r="D1099" t="s">
        <v>19</v>
      </c>
      <c r="E1099">
        <v>11</v>
      </c>
      <c r="F1099" t="s">
        <v>14</v>
      </c>
      <c r="G1099" t="s">
        <v>34</v>
      </c>
      <c r="H1099" s="1">
        <v>0</v>
      </c>
      <c r="I1099" t="s">
        <v>16</v>
      </c>
      <c r="J1099">
        <v>0</v>
      </c>
      <c r="K1099">
        <v>5</v>
      </c>
    </row>
    <row r="1100" spans="1:11" x14ac:dyDescent="0.35">
      <c r="A1100" t="s">
        <v>1137</v>
      </c>
      <c r="B1100">
        <v>78</v>
      </c>
      <c r="C1100" t="s">
        <v>18</v>
      </c>
      <c r="D1100" t="s">
        <v>13</v>
      </c>
      <c r="E1100">
        <v>8</v>
      </c>
      <c r="F1100" t="s">
        <v>14</v>
      </c>
      <c r="G1100" t="s">
        <v>15</v>
      </c>
      <c r="H1100" s="1">
        <v>0</v>
      </c>
      <c r="I1100" t="s">
        <v>16</v>
      </c>
      <c r="J1100">
        <v>0</v>
      </c>
      <c r="K1100">
        <v>8</v>
      </c>
    </row>
    <row r="1101" spans="1:11" x14ac:dyDescent="0.35">
      <c r="A1101" t="s">
        <v>1138</v>
      </c>
      <c r="B1101">
        <v>81</v>
      </c>
      <c r="C1101" t="s">
        <v>12</v>
      </c>
      <c r="D1101" t="s">
        <v>19</v>
      </c>
      <c r="E1101">
        <v>17</v>
      </c>
      <c r="F1101" t="s">
        <v>31</v>
      </c>
      <c r="G1101" t="s">
        <v>23</v>
      </c>
      <c r="H1101" s="1">
        <v>298.8</v>
      </c>
      <c r="I1101" t="s">
        <v>24</v>
      </c>
      <c r="J1101">
        <v>1</v>
      </c>
      <c r="K1101">
        <v>7</v>
      </c>
    </row>
    <row r="1102" spans="1:11" x14ac:dyDescent="0.35">
      <c r="A1102" t="s">
        <v>1139</v>
      </c>
      <c r="B1102">
        <v>31</v>
      </c>
      <c r="C1102" t="s">
        <v>18</v>
      </c>
      <c r="D1102" t="s">
        <v>21</v>
      </c>
      <c r="E1102">
        <v>17</v>
      </c>
      <c r="F1102" t="s">
        <v>22</v>
      </c>
      <c r="G1102" t="s">
        <v>23</v>
      </c>
      <c r="H1102" s="1">
        <v>295.49</v>
      </c>
      <c r="I1102" t="s">
        <v>28</v>
      </c>
      <c r="J1102">
        <v>0</v>
      </c>
      <c r="K1102">
        <v>4</v>
      </c>
    </row>
    <row r="1103" spans="1:11" x14ac:dyDescent="0.35">
      <c r="A1103" t="s">
        <v>1140</v>
      </c>
      <c r="B1103">
        <v>57</v>
      </c>
      <c r="C1103" t="s">
        <v>18</v>
      </c>
      <c r="D1103" t="s">
        <v>13</v>
      </c>
      <c r="E1103">
        <v>23</v>
      </c>
      <c r="F1103" t="s">
        <v>22</v>
      </c>
      <c r="G1103" t="s">
        <v>23</v>
      </c>
      <c r="H1103" s="1">
        <v>513.22</v>
      </c>
      <c r="I1103" t="s">
        <v>24</v>
      </c>
      <c r="J1103">
        <v>4</v>
      </c>
      <c r="K1103">
        <v>1</v>
      </c>
    </row>
    <row r="1104" spans="1:11" x14ac:dyDescent="0.35">
      <c r="A1104" t="s">
        <v>1141</v>
      </c>
      <c r="B1104">
        <v>30</v>
      </c>
      <c r="C1104" t="s">
        <v>18</v>
      </c>
      <c r="D1104" t="s">
        <v>30</v>
      </c>
      <c r="E1104">
        <v>8</v>
      </c>
      <c r="F1104" t="s">
        <v>26</v>
      </c>
      <c r="G1104" t="s">
        <v>15</v>
      </c>
      <c r="H1104" s="1">
        <v>437.41</v>
      </c>
      <c r="I1104" t="s">
        <v>24</v>
      </c>
      <c r="J1104">
        <v>1</v>
      </c>
      <c r="K1104">
        <v>8</v>
      </c>
    </row>
    <row r="1105" spans="1:11" x14ac:dyDescent="0.35">
      <c r="A1105" t="s">
        <v>1142</v>
      </c>
      <c r="B1105">
        <v>38</v>
      </c>
      <c r="C1105" t="s">
        <v>18</v>
      </c>
      <c r="D1105" t="s">
        <v>57</v>
      </c>
      <c r="E1105">
        <v>18</v>
      </c>
      <c r="F1105" t="s">
        <v>33</v>
      </c>
      <c r="G1105" t="s">
        <v>37</v>
      </c>
      <c r="H1105" s="1">
        <v>172.71</v>
      </c>
      <c r="I1105" t="s">
        <v>24</v>
      </c>
      <c r="J1105">
        <v>1</v>
      </c>
      <c r="K1105">
        <v>6</v>
      </c>
    </row>
    <row r="1106" spans="1:11" x14ac:dyDescent="0.35">
      <c r="A1106" t="s">
        <v>1143</v>
      </c>
      <c r="B1106">
        <v>77</v>
      </c>
      <c r="C1106" t="s">
        <v>12</v>
      </c>
      <c r="D1106" t="s">
        <v>21</v>
      </c>
      <c r="E1106">
        <v>25</v>
      </c>
      <c r="F1106" t="s">
        <v>33</v>
      </c>
      <c r="G1106" t="s">
        <v>27</v>
      </c>
      <c r="H1106" s="1">
        <v>172.52</v>
      </c>
      <c r="I1106" t="s">
        <v>24</v>
      </c>
      <c r="J1106">
        <v>1</v>
      </c>
      <c r="K1106">
        <v>1</v>
      </c>
    </row>
    <row r="1107" spans="1:11" x14ac:dyDescent="0.35">
      <c r="A1107" t="s">
        <v>1144</v>
      </c>
      <c r="B1107">
        <v>54</v>
      </c>
      <c r="C1107" t="s">
        <v>12</v>
      </c>
      <c r="D1107" t="s">
        <v>41</v>
      </c>
      <c r="E1107">
        <v>8</v>
      </c>
      <c r="F1107" t="s">
        <v>31</v>
      </c>
      <c r="G1107" t="s">
        <v>23</v>
      </c>
      <c r="H1107" s="1">
        <v>365.8</v>
      </c>
      <c r="I1107" t="s">
        <v>24</v>
      </c>
      <c r="J1107">
        <v>0</v>
      </c>
      <c r="K1107">
        <v>10</v>
      </c>
    </row>
    <row r="1108" spans="1:11" x14ac:dyDescent="0.35">
      <c r="A1108" t="s">
        <v>1145</v>
      </c>
      <c r="B1108">
        <v>35</v>
      </c>
      <c r="C1108" t="s">
        <v>528</v>
      </c>
      <c r="D1108" t="s">
        <v>30</v>
      </c>
      <c r="E1108">
        <v>6</v>
      </c>
      <c r="F1108" t="s">
        <v>26</v>
      </c>
      <c r="G1108" t="s">
        <v>23</v>
      </c>
      <c r="H1108" s="1">
        <v>244.44</v>
      </c>
      <c r="I1108" t="s">
        <v>28</v>
      </c>
      <c r="J1108">
        <v>0</v>
      </c>
      <c r="K1108">
        <v>7</v>
      </c>
    </row>
    <row r="1109" spans="1:11" x14ac:dyDescent="0.35">
      <c r="A1109" t="s">
        <v>1146</v>
      </c>
      <c r="B1109">
        <v>32</v>
      </c>
      <c r="C1109" t="s">
        <v>18</v>
      </c>
      <c r="D1109" t="s">
        <v>13</v>
      </c>
      <c r="E1109">
        <v>8</v>
      </c>
      <c r="F1109" t="s">
        <v>22</v>
      </c>
      <c r="G1109" t="s">
        <v>34</v>
      </c>
      <c r="H1109" s="1">
        <v>218.53</v>
      </c>
      <c r="I1109" t="s">
        <v>24</v>
      </c>
      <c r="J1109">
        <v>0</v>
      </c>
      <c r="K1109">
        <v>7</v>
      </c>
    </row>
    <row r="1110" spans="1:11" x14ac:dyDescent="0.35">
      <c r="A1110" t="s">
        <v>1147</v>
      </c>
      <c r="B1110">
        <v>63</v>
      </c>
      <c r="C1110" t="s">
        <v>12</v>
      </c>
      <c r="D1110" t="s">
        <v>30</v>
      </c>
      <c r="E1110">
        <v>4</v>
      </c>
      <c r="F1110" t="s">
        <v>14</v>
      </c>
      <c r="G1110" t="s">
        <v>34</v>
      </c>
      <c r="H1110" s="1">
        <v>0</v>
      </c>
      <c r="I1110" t="s">
        <v>16</v>
      </c>
      <c r="J1110">
        <v>2</v>
      </c>
      <c r="K1110">
        <v>10</v>
      </c>
    </row>
    <row r="1111" spans="1:11" x14ac:dyDescent="0.35">
      <c r="A1111" t="s">
        <v>1148</v>
      </c>
      <c r="B1111">
        <v>25</v>
      </c>
      <c r="C1111" t="s">
        <v>12</v>
      </c>
      <c r="D1111" t="s">
        <v>19</v>
      </c>
      <c r="E1111">
        <v>24</v>
      </c>
      <c r="F1111" t="s">
        <v>22</v>
      </c>
      <c r="G1111" t="s">
        <v>15</v>
      </c>
      <c r="H1111" s="1">
        <v>136</v>
      </c>
      <c r="I1111" t="s">
        <v>24</v>
      </c>
      <c r="J1111">
        <v>3</v>
      </c>
      <c r="K1111">
        <v>4</v>
      </c>
    </row>
    <row r="1112" spans="1:11" x14ac:dyDescent="0.35">
      <c r="A1112" t="s">
        <v>1149</v>
      </c>
      <c r="B1112">
        <v>64</v>
      </c>
      <c r="C1112" t="s">
        <v>18</v>
      </c>
      <c r="D1112" t="s">
        <v>21</v>
      </c>
      <c r="E1112">
        <v>46</v>
      </c>
      <c r="F1112" t="s">
        <v>33</v>
      </c>
      <c r="G1112" t="s">
        <v>27</v>
      </c>
      <c r="H1112" s="1">
        <v>74.319999999999993</v>
      </c>
      <c r="I1112" t="s">
        <v>24</v>
      </c>
      <c r="J1112">
        <v>4</v>
      </c>
      <c r="K1112">
        <v>4</v>
      </c>
    </row>
    <row r="1113" spans="1:11" x14ac:dyDescent="0.35">
      <c r="A1113" t="s">
        <v>1150</v>
      </c>
      <c r="B1113">
        <v>76</v>
      </c>
      <c r="C1113" t="s">
        <v>18</v>
      </c>
      <c r="D1113" t="s">
        <v>19</v>
      </c>
      <c r="E1113">
        <v>13</v>
      </c>
      <c r="F1113" t="s">
        <v>31</v>
      </c>
      <c r="G1113" t="s">
        <v>34</v>
      </c>
      <c r="H1113" s="1">
        <v>146.02000000000001</v>
      </c>
      <c r="I1113" t="s">
        <v>24</v>
      </c>
      <c r="J1113">
        <v>2</v>
      </c>
      <c r="K1113">
        <v>5</v>
      </c>
    </row>
    <row r="1114" spans="1:11" x14ac:dyDescent="0.35">
      <c r="A1114" t="s">
        <v>1151</v>
      </c>
      <c r="B1114">
        <v>57</v>
      </c>
      <c r="C1114" t="s">
        <v>18</v>
      </c>
      <c r="D1114" t="s">
        <v>47</v>
      </c>
      <c r="E1114">
        <v>3</v>
      </c>
      <c r="F1114" t="s">
        <v>31</v>
      </c>
      <c r="G1114" t="s">
        <v>37</v>
      </c>
      <c r="H1114" s="1">
        <v>137.77000000000001</v>
      </c>
      <c r="I1114" t="s">
        <v>24</v>
      </c>
      <c r="J1114">
        <v>2</v>
      </c>
      <c r="K1114">
        <v>7</v>
      </c>
    </row>
    <row r="1115" spans="1:11" x14ac:dyDescent="0.35">
      <c r="A1115" t="s">
        <v>1152</v>
      </c>
      <c r="B1115">
        <v>21</v>
      </c>
      <c r="C1115" t="s">
        <v>12</v>
      </c>
      <c r="D1115" t="s">
        <v>41</v>
      </c>
      <c r="E1115">
        <v>9</v>
      </c>
      <c r="F1115" t="s">
        <v>33</v>
      </c>
      <c r="G1115" t="s">
        <v>37</v>
      </c>
      <c r="H1115" s="1">
        <v>216.93</v>
      </c>
      <c r="I1115" t="s">
        <v>24</v>
      </c>
      <c r="J1115">
        <v>1</v>
      </c>
      <c r="K1115">
        <v>4</v>
      </c>
    </row>
    <row r="1116" spans="1:11" x14ac:dyDescent="0.35">
      <c r="A1116" t="s">
        <v>1153</v>
      </c>
      <c r="B1116">
        <v>48</v>
      </c>
      <c r="C1116" t="s">
        <v>12</v>
      </c>
      <c r="D1116" t="s">
        <v>21</v>
      </c>
      <c r="E1116">
        <v>35</v>
      </c>
      <c r="F1116" t="s">
        <v>26</v>
      </c>
      <c r="G1116" t="s">
        <v>34</v>
      </c>
      <c r="H1116" s="1">
        <v>132.43</v>
      </c>
      <c r="I1116" t="s">
        <v>24</v>
      </c>
      <c r="J1116">
        <v>2</v>
      </c>
      <c r="K1116">
        <v>2</v>
      </c>
    </row>
    <row r="1117" spans="1:11" x14ac:dyDescent="0.35">
      <c r="A1117" t="s">
        <v>1154</v>
      </c>
      <c r="B1117">
        <v>27</v>
      </c>
      <c r="C1117" t="s">
        <v>18</v>
      </c>
      <c r="D1117" t="s">
        <v>21</v>
      </c>
      <c r="E1117">
        <v>24</v>
      </c>
      <c r="F1117" t="s">
        <v>22</v>
      </c>
      <c r="G1117" t="s">
        <v>23</v>
      </c>
      <c r="H1117" s="1">
        <v>284.39999999999998</v>
      </c>
      <c r="I1117" t="s">
        <v>24</v>
      </c>
      <c r="J1117">
        <v>1</v>
      </c>
      <c r="K1117">
        <v>5</v>
      </c>
    </row>
    <row r="1118" spans="1:11" x14ac:dyDescent="0.35">
      <c r="A1118" t="s">
        <v>1155</v>
      </c>
      <c r="B1118">
        <v>33</v>
      </c>
      <c r="C1118" t="s">
        <v>12</v>
      </c>
      <c r="D1118" t="s">
        <v>13</v>
      </c>
      <c r="E1118">
        <v>11</v>
      </c>
      <c r="F1118" t="s">
        <v>33</v>
      </c>
      <c r="G1118" t="s">
        <v>27</v>
      </c>
      <c r="H1118" s="1">
        <v>166.65</v>
      </c>
      <c r="I1118" t="s">
        <v>24</v>
      </c>
      <c r="J1118">
        <v>3</v>
      </c>
      <c r="K1118">
        <v>4</v>
      </c>
    </row>
    <row r="1119" spans="1:11" x14ac:dyDescent="0.35">
      <c r="A1119" t="s">
        <v>1156</v>
      </c>
      <c r="B1119">
        <v>46</v>
      </c>
      <c r="C1119" t="s">
        <v>12</v>
      </c>
      <c r="D1119" t="s">
        <v>21</v>
      </c>
      <c r="E1119">
        <v>34</v>
      </c>
      <c r="F1119" t="s">
        <v>22</v>
      </c>
      <c r="G1119" t="s">
        <v>15</v>
      </c>
      <c r="H1119" s="1">
        <v>193.35</v>
      </c>
      <c r="I1119" t="s">
        <v>28</v>
      </c>
      <c r="J1119">
        <v>4</v>
      </c>
      <c r="K1119">
        <v>5</v>
      </c>
    </row>
    <row r="1120" spans="1:11" x14ac:dyDescent="0.35">
      <c r="A1120" t="s">
        <v>1157</v>
      </c>
      <c r="B1120">
        <v>70</v>
      </c>
      <c r="C1120" t="s">
        <v>12</v>
      </c>
      <c r="D1120" t="s">
        <v>19</v>
      </c>
      <c r="E1120">
        <v>22</v>
      </c>
      <c r="F1120" t="s">
        <v>22</v>
      </c>
      <c r="G1120" t="s">
        <v>15</v>
      </c>
      <c r="H1120" s="1">
        <v>426.33</v>
      </c>
      <c r="I1120" t="s">
        <v>43</v>
      </c>
      <c r="J1120">
        <v>3</v>
      </c>
      <c r="K1120">
        <v>5</v>
      </c>
    </row>
    <row r="1121" spans="1:11" x14ac:dyDescent="0.35">
      <c r="A1121" t="s">
        <v>1158</v>
      </c>
      <c r="B1121">
        <v>44</v>
      </c>
      <c r="C1121" t="s">
        <v>18</v>
      </c>
      <c r="D1121" t="s">
        <v>30</v>
      </c>
      <c r="E1121">
        <v>9</v>
      </c>
      <c r="F1121" t="s">
        <v>22</v>
      </c>
      <c r="G1121" t="s">
        <v>34</v>
      </c>
      <c r="H1121" s="1">
        <v>205.12</v>
      </c>
      <c r="I1121" t="s">
        <v>24</v>
      </c>
      <c r="J1121">
        <v>0</v>
      </c>
      <c r="K1121">
        <v>7</v>
      </c>
    </row>
    <row r="1122" spans="1:11" x14ac:dyDescent="0.35">
      <c r="A1122" t="s">
        <v>1159</v>
      </c>
      <c r="B1122">
        <v>34</v>
      </c>
      <c r="C1122" t="s">
        <v>18</v>
      </c>
      <c r="D1122" t="s">
        <v>244</v>
      </c>
      <c r="E1122">
        <v>10</v>
      </c>
      <c r="F1122" t="s">
        <v>33</v>
      </c>
      <c r="G1122" t="s">
        <v>23</v>
      </c>
      <c r="H1122" s="1">
        <v>377.95</v>
      </c>
      <c r="I1122" t="s">
        <v>43</v>
      </c>
      <c r="J1122">
        <v>0</v>
      </c>
      <c r="K1122">
        <v>6</v>
      </c>
    </row>
    <row r="1123" spans="1:11" x14ac:dyDescent="0.35">
      <c r="A1123" t="s">
        <v>1160</v>
      </c>
      <c r="B1123">
        <v>35</v>
      </c>
      <c r="C1123" t="s">
        <v>18</v>
      </c>
      <c r="D1123" t="s">
        <v>19</v>
      </c>
      <c r="E1123">
        <v>16</v>
      </c>
      <c r="F1123" t="s">
        <v>33</v>
      </c>
      <c r="G1123" t="s">
        <v>27</v>
      </c>
      <c r="H1123" s="1">
        <v>99.71</v>
      </c>
      <c r="I1123" t="s">
        <v>24</v>
      </c>
      <c r="J1123">
        <v>0</v>
      </c>
      <c r="K1123">
        <v>5</v>
      </c>
    </row>
    <row r="1124" spans="1:11" x14ac:dyDescent="0.35">
      <c r="A1124" t="s">
        <v>1161</v>
      </c>
      <c r="B1124">
        <v>19</v>
      </c>
      <c r="C1124" t="s">
        <v>12</v>
      </c>
      <c r="D1124" t="s">
        <v>21</v>
      </c>
      <c r="E1124">
        <v>42</v>
      </c>
      <c r="F1124" t="s">
        <v>33</v>
      </c>
      <c r="G1124" t="s">
        <v>15</v>
      </c>
      <c r="H1124" s="1">
        <v>278.91000000000003</v>
      </c>
      <c r="I1124" t="s">
        <v>24</v>
      </c>
      <c r="J1124">
        <v>2</v>
      </c>
      <c r="K1124">
        <v>5</v>
      </c>
    </row>
    <row r="1125" spans="1:11" x14ac:dyDescent="0.35">
      <c r="A1125" t="s">
        <v>1162</v>
      </c>
      <c r="B1125">
        <v>80</v>
      </c>
      <c r="C1125" t="s">
        <v>189</v>
      </c>
      <c r="D1125" t="s">
        <v>47</v>
      </c>
      <c r="E1125">
        <v>4</v>
      </c>
      <c r="F1125" t="s">
        <v>22</v>
      </c>
      <c r="G1125" t="s">
        <v>23</v>
      </c>
      <c r="H1125" s="1">
        <v>171.28</v>
      </c>
      <c r="I1125" t="s">
        <v>24</v>
      </c>
      <c r="J1125">
        <v>0</v>
      </c>
      <c r="K1125">
        <v>7</v>
      </c>
    </row>
    <row r="1126" spans="1:11" x14ac:dyDescent="0.35">
      <c r="A1126" t="s">
        <v>1163</v>
      </c>
      <c r="B1126">
        <v>73</v>
      </c>
      <c r="C1126" t="s">
        <v>18</v>
      </c>
      <c r="D1126" t="s">
        <v>19</v>
      </c>
      <c r="E1126">
        <v>20</v>
      </c>
      <c r="F1126" t="s">
        <v>33</v>
      </c>
      <c r="G1126" t="s">
        <v>23</v>
      </c>
      <c r="H1126" s="1">
        <v>559.63</v>
      </c>
      <c r="I1126" t="s">
        <v>24</v>
      </c>
      <c r="J1126">
        <v>2</v>
      </c>
      <c r="K1126">
        <v>5</v>
      </c>
    </row>
    <row r="1127" spans="1:11" x14ac:dyDescent="0.35">
      <c r="A1127" t="s">
        <v>1164</v>
      </c>
      <c r="B1127">
        <v>35</v>
      </c>
      <c r="C1127" t="s">
        <v>12</v>
      </c>
      <c r="D1127" t="s">
        <v>30</v>
      </c>
      <c r="E1127">
        <v>4</v>
      </c>
      <c r="F1127" t="s">
        <v>22</v>
      </c>
      <c r="G1127" t="s">
        <v>34</v>
      </c>
      <c r="H1127" s="1">
        <v>164.73</v>
      </c>
      <c r="I1127" t="s">
        <v>43</v>
      </c>
      <c r="J1127">
        <v>1</v>
      </c>
      <c r="K1127">
        <v>9</v>
      </c>
    </row>
    <row r="1128" spans="1:11" x14ac:dyDescent="0.35">
      <c r="A1128" t="s">
        <v>1165</v>
      </c>
      <c r="B1128">
        <v>58</v>
      </c>
      <c r="C1128" t="s">
        <v>18</v>
      </c>
      <c r="D1128" t="s">
        <v>19</v>
      </c>
      <c r="E1128">
        <v>12</v>
      </c>
      <c r="F1128" t="s">
        <v>33</v>
      </c>
      <c r="G1128" t="s">
        <v>34</v>
      </c>
      <c r="H1128" s="1">
        <v>125.25</v>
      </c>
      <c r="I1128" t="s">
        <v>24</v>
      </c>
      <c r="J1128">
        <v>0</v>
      </c>
      <c r="K1128">
        <v>5</v>
      </c>
    </row>
    <row r="1129" spans="1:11" x14ac:dyDescent="0.35">
      <c r="A1129" t="s">
        <v>1166</v>
      </c>
      <c r="B1129">
        <v>46</v>
      </c>
      <c r="C1129" t="s">
        <v>12</v>
      </c>
      <c r="D1129" t="s">
        <v>13</v>
      </c>
      <c r="E1129">
        <v>15</v>
      </c>
      <c r="F1129" t="s">
        <v>14</v>
      </c>
      <c r="G1129" t="s">
        <v>34</v>
      </c>
      <c r="H1129" s="1">
        <v>0</v>
      </c>
      <c r="I1129" t="s">
        <v>16</v>
      </c>
      <c r="J1129">
        <v>1</v>
      </c>
      <c r="K1129">
        <v>6</v>
      </c>
    </row>
    <row r="1130" spans="1:11" x14ac:dyDescent="0.35">
      <c r="A1130" t="s">
        <v>1167</v>
      </c>
      <c r="B1130">
        <v>80</v>
      </c>
      <c r="C1130" t="s">
        <v>12</v>
      </c>
      <c r="D1130" t="s">
        <v>47</v>
      </c>
      <c r="E1130">
        <v>8</v>
      </c>
      <c r="F1130" t="s">
        <v>22</v>
      </c>
      <c r="G1130" t="s">
        <v>34</v>
      </c>
      <c r="H1130" s="1">
        <v>98.09</v>
      </c>
      <c r="I1130" t="s">
        <v>24</v>
      </c>
      <c r="J1130">
        <v>1</v>
      </c>
      <c r="K1130">
        <v>9</v>
      </c>
    </row>
    <row r="1131" spans="1:11" x14ac:dyDescent="0.35">
      <c r="A1131" t="s">
        <v>1168</v>
      </c>
      <c r="B1131">
        <v>20</v>
      </c>
      <c r="C1131" t="s">
        <v>12</v>
      </c>
      <c r="D1131" t="s">
        <v>19</v>
      </c>
      <c r="E1131">
        <v>17</v>
      </c>
      <c r="F1131" t="s">
        <v>33</v>
      </c>
      <c r="G1131" t="s">
        <v>34</v>
      </c>
      <c r="H1131" s="1">
        <v>97.53</v>
      </c>
      <c r="I1131" t="s">
        <v>43</v>
      </c>
      <c r="J1131">
        <v>0</v>
      </c>
      <c r="K1131">
        <v>5</v>
      </c>
    </row>
    <row r="1132" spans="1:11" x14ac:dyDescent="0.35">
      <c r="A1132" t="s">
        <v>1169</v>
      </c>
      <c r="B1132">
        <v>73</v>
      </c>
      <c r="C1132" t="s">
        <v>12</v>
      </c>
      <c r="D1132" t="s">
        <v>19</v>
      </c>
      <c r="E1132">
        <v>13</v>
      </c>
      <c r="F1132" t="s">
        <v>33</v>
      </c>
      <c r="G1132" t="s">
        <v>15</v>
      </c>
      <c r="H1132" s="1">
        <v>183.23</v>
      </c>
      <c r="I1132" t="s">
        <v>28</v>
      </c>
      <c r="J1132">
        <v>3</v>
      </c>
      <c r="K1132">
        <v>8</v>
      </c>
    </row>
    <row r="1133" spans="1:11" x14ac:dyDescent="0.35">
      <c r="A1133" t="s">
        <v>1170</v>
      </c>
      <c r="B1133">
        <v>80</v>
      </c>
      <c r="C1133" t="s">
        <v>12</v>
      </c>
      <c r="D1133" t="s">
        <v>19</v>
      </c>
      <c r="E1133">
        <v>21</v>
      </c>
      <c r="F1133" t="s">
        <v>33</v>
      </c>
      <c r="G1133" t="s">
        <v>27</v>
      </c>
      <c r="H1133" s="1">
        <v>112.11</v>
      </c>
      <c r="I1133" t="s">
        <v>24</v>
      </c>
      <c r="J1133">
        <v>1</v>
      </c>
      <c r="K1133">
        <v>4</v>
      </c>
    </row>
    <row r="1134" spans="1:11" x14ac:dyDescent="0.35">
      <c r="A1134" t="s">
        <v>1171</v>
      </c>
      <c r="B1134">
        <v>48</v>
      </c>
      <c r="C1134" t="s">
        <v>18</v>
      </c>
      <c r="D1134" t="s">
        <v>13</v>
      </c>
      <c r="E1134">
        <v>8</v>
      </c>
      <c r="F1134" t="s">
        <v>26</v>
      </c>
      <c r="G1134" t="s">
        <v>15</v>
      </c>
      <c r="H1134" s="1">
        <v>410.33</v>
      </c>
      <c r="I1134" t="s">
        <v>24</v>
      </c>
      <c r="J1134">
        <v>0</v>
      </c>
      <c r="K1134">
        <v>7</v>
      </c>
    </row>
    <row r="1135" spans="1:11" x14ac:dyDescent="0.35">
      <c r="A1135" t="s">
        <v>1172</v>
      </c>
      <c r="B1135">
        <v>46</v>
      </c>
      <c r="C1135" t="s">
        <v>12</v>
      </c>
      <c r="D1135" t="s">
        <v>19</v>
      </c>
      <c r="E1135">
        <v>11</v>
      </c>
      <c r="F1135" t="s">
        <v>31</v>
      </c>
      <c r="G1135" t="s">
        <v>34</v>
      </c>
      <c r="H1135" s="1">
        <v>179.39</v>
      </c>
      <c r="I1135" t="s">
        <v>24</v>
      </c>
      <c r="J1135">
        <v>1</v>
      </c>
      <c r="K1135">
        <v>8</v>
      </c>
    </row>
    <row r="1136" spans="1:11" x14ac:dyDescent="0.35">
      <c r="A1136" t="s">
        <v>1173</v>
      </c>
      <c r="B1136">
        <v>62</v>
      </c>
      <c r="C1136" t="s">
        <v>18</v>
      </c>
      <c r="D1136" t="s">
        <v>21</v>
      </c>
      <c r="E1136">
        <v>47</v>
      </c>
      <c r="F1136" t="s">
        <v>31</v>
      </c>
      <c r="G1136" t="s">
        <v>37</v>
      </c>
      <c r="H1136" s="1">
        <v>90.4</v>
      </c>
      <c r="I1136" t="s">
        <v>24</v>
      </c>
      <c r="J1136">
        <v>3</v>
      </c>
      <c r="K1136">
        <v>3</v>
      </c>
    </row>
    <row r="1137" spans="1:11" x14ac:dyDescent="0.35">
      <c r="A1137" t="s">
        <v>1174</v>
      </c>
      <c r="B1137">
        <v>40</v>
      </c>
      <c r="C1137" t="s">
        <v>189</v>
      </c>
      <c r="D1137" t="s">
        <v>30</v>
      </c>
      <c r="E1137">
        <v>10</v>
      </c>
      <c r="F1137" t="s">
        <v>22</v>
      </c>
      <c r="G1137" t="s">
        <v>27</v>
      </c>
      <c r="H1137" s="1">
        <v>66.239999999999995</v>
      </c>
      <c r="I1137" t="s">
        <v>24</v>
      </c>
      <c r="J1137">
        <v>1</v>
      </c>
      <c r="K1137">
        <v>8</v>
      </c>
    </row>
    <row r="1138" spans="1:11" x14ac:dyDescent="0.35">
      <c r="A1138" t="s">
        <v>1175</v>
      </c>
      <c r="B1138">
        <v>68</v>
      </c>
      <c r="C1138" t="s">
        <v>12</v>
      </c>
      <c r="D1138" t="s">
        <v>19</v>
      </c>
      <c r="E1138">
        <v>24</v>
      </c>
      <c r="F1138" t="s">
        <v>31</v>
      </c>
      <c r="G1138" t="s">
        <v>37</v>
      </c>
      <c r="H1138" s="1">
        <v>129.44</v>
      </c>
      <c r="I1138" t="s">
        <v>24</v>
      </c>
      <c r="J1138">
        <v>2</v>
      </c>
      <c r="K1138">
        <v>1</v>
      </c>
    </row>
    <row r="1139" spans="1:11" x14ac:dyDescent="0.35">
      <c r="A1139" t="s">
        <v>1176</v>
      </c>
      <c r="B1139">
        <v>35</v>
      </c>
      <c r="C1139" t="s">
        <v>12</v>
      </c>
      <c r="D1139" t="s">
        <v>30</v>
      </c>
      <c r="E1139">
        <v>8</v>
      </c>
      <c r="F1139" t="s">
        <v>31</v>
      </c>
      <c r="G1139" t="s">
        <v>27</v>
      </c>
      <c r="H1139" s="1">
        <v>161.86000000000001</v>
      </c>
      <c r="I1139" t="s">
        <v>24</v>
      </c>
      <c r="J1139">
        <v>0</v>
      </c>
      <c r="K1139">
        <v>8</v>
      </c>
    </row>
    <row r="1140" spans="1:11" x14ac:dyDescent="0.35">
      <c r="A1140" t="s">
        <v>1177</v>
      </c>
      <c r="B1140">
        <v>31</v>
      </c>
      <c r="C1140" t="s">
        <v>12</v>
      </c>
      <c r="D1140" t="s">
        <v>19</v>
      </c>
      <c r="E1140">
        <v>24</v>
      </c>
      <c r="F1140" t="s">
        <v>33</v>
      </c>
      <c r="G1140" t="s">
        <v>15</v>
      </c>
      <c r="H1140" s="1">
        <v>190.29</v>
      </c>
      <c r="I1140" t="s">
        <v>24</v>
      </c>
      <c r="J1140">
        <v>0</v>
      </c>
      <c r="K1140">
        <v>1</v>
      </c>
    </row>
    <row r="1141" spans="1:11" x14ac:dyDescent="0.35">
      <c r="A1141" t="s">
        <v>1178</v>
      </c>
      <c r="B1141">
        <v>48</v>
      </c>
      <c r="C1141" t="s">
        <v>18</v>
      </c>
      <c r="D1141" t="s">
        <v>19</v>
      </c>
      <c r="E1141">
        <v>22</v>
      </c>
      <c r="F1141" t="s">
        <v>31</v>
      </c>
      <c r="G1141" t="s">
        <v>27</v>
      </c>
      <c r="H1141" s="1">
        <v>157.19</v>
      </c>
      <c r="I1141" t="s">
        <v>24</v>
      </c>
      <c r="J1141">
        <v>2</v>
      </c>
      <c r="K1141">
        <v>3</v>
      </c>
    </row>
    <row r="1142" spans="1:11" x14ac:dyDescent="0.35">
      <c r="A1142" t="s">
        <v>1179</v>
      </c>
      <c r="B1142">
        <v>72</v>
      </c>
      <c r="C1142" t="s">
        <v>18</v>
      </c>
      <c r="D1142" t="s">
        <v>30</v>
      </c>
      <c r="E1142">
        <v>8</v>
      </c>
      <c r="F1142" t="s">
        <v>22</v>
      </c>
      <c r="G1142" t="s">
        <v>23</v>
      </c>
      <c r="H1142" s="1">
        <v>491.57</v>
      </c>
      <c r="I1142" t="s">
        <v>24</v>
      </c>
      <c r="J1142">
        <v>1</v>
      </c>
      <c r="K1142">
        <v>8</v>
      </c>
    </row>
    <row r="1143" spans="1:11" x14ac:dyDescent="0.35">
      <c r="A1143" t="s">
        <v>1180</v>
      </c>
      <c r="B1143">
        <v>71</v>
      </c>
      <c r="C1143" t="s">
        <v>18</v>
      </c>
      <c r="D1143" t="s">
        <v>21</v>
      </c>
      <c r="E1143">
        <v>18</v>
      </c>
      <c r="F1143" t="s">
        <v>22</v>
      </c>
      <c r="G1143" t="s">
        <v>27</v>
      </c>
      <c r="H1143" s="1">
        <v>59.86</v>
      </c>
      <c r="I1143" t="s">
        <v>24</v>
      </c>
      <c r="J1143">
        <v>1</v>
      </c>
      <c r="K1143">
        <v>5</v>
      </c>
    </row>
    <row r="1144" spans="1:11" x14ac:dyDescent="0.35">
      <c r="A1144" t="s">
        <v>1181</v>
      </c>
      <c r="B1144">
        <v>50</v>
      </c>
      <c r="C1144" t="s">
        <v>18</v>
      </c>
      <c r="D1144" t="s">
        <v>19</v>
      </c>
      <c r="E1144">
        <v>16</v>
      </c>
      <c r="F1144" t="s">
        <v>14</v>
      </c>
      <c r="G1144" t="s">
        <v>34</v>
      </c>
      <c r="H1144" s="1">
        <v>0</v>
      </c>
      <c r="I1144" t="s">
        <v>16</v>
      </c>
      <c r="J1144">
        <v>0</v>
      </c>
      <c r="K1144">
        <v>5</v>
      </c>
    </row>
    <row r="1145" spans="1:11" x14ac:dyDescent="0.35">
      <c r="A1145" t="s">
        <v>1182</v>
      </c>
      <c r="B1145">
        <v>40</v>
      </c>
      <c r="C1145" t="s">
        <v>18</v>
      </c>
      <c r="D1145" t="s">
        <v>21</v>
      </c>
      <c r="E1145">
        <v>18</v>
      </c>
      <c r="F1145" t="s">
        <v>22</v>
      </c>
      <c r="G1145" t="s">
        <v>34</v>
      </c>
      <c r="H1145" s="1">
        <v>215.62</v>
      </c>
      <c r="I1145" t="s">
        <v>24</v>
      </c>
      <c r="J1145">
        <v>2</v>
      </c>
      <c r="K1145">
        <v>4</v>
      </c>
    </row>
    <row r="1146" spans="1:11" x14ac:dyDescent="0.35">
      <c r="A1146" t="s">
        <v>1183</v>
      </c>
      <c r="B1146">
        <v>43</v>
      </c>
      <c r="C1146" t="s">
        <v>12</v>
      </c>
      <c r="D1146" t="s">
        <v>21</v>
      </c>
      <c r="E1146">
        <v>31</v>
      </c>
      <c r="F1146" t="s">
        <v>22</v>
      </c>
      <c r="G1146" t="s">
        <v>37</v>
      </c>
      <c r="H1146" s="1">
        <v>140.13999999999999</v>
      </c>
      <c r="I1146" t="s">
        <v>24</v>
      </c>
      <c r="J1146">
        <v>2</v>
      </c>
      <c r="K1146">
        <v>1</v>
      </c>
    </row>
    <row r="1147" spans="1:11" x14ac:dyDescent="0.35">
      <c r="A1147" t="s">
        <v>1184</v>
      </c>
      <c r="B1147">
        <v>19</v>
      </c>
      <c r="C1147" t="s">
        <v>12</v>
      </c>
      <c r="D1147" t="s">
        <v>19</v>
      </c>
      <c r="E1147">
        <v>12</v>
      </c>
      <c r="F1147" t="s">
        <v>33</v>
      </c>
      <c r="G1147" t="s">
        <v>34</v>
      </c>
      <c r="H1147" s="1">
        <v>195.64</v>
      </c>
      <c r="I1147" t="s">
        <v>24</v>
      </c>
      <c r="J1147">
        <v>3</v>
      </c>
      <c r="K1147">
        <v>7</v>
      </c>
    </row>
    <row r="1148" spans="1:11" x14ac:dyDescent="0.35">
      <c r="A1148" t="s">
        <v>1185</v>
      </c>
      <c r="B1148">
        <v>48</v>
      </c>
      <c r="C1148" t="s">
        <v>18</v>
      </c>
      <c r="D1148" t="s">
        <v>19</v>
      </c>
      <c r="E1148">
        <v>8</v>
      </c>
      <c r="F1148" t="s">
        <v>31</v>
      </c>
      <c r="G1148" t="s">
        <v>34</v>
      </c>
      <c r="H1148" s="1">
        <v>157.16999999999999</v>
      </c>
      <c r="I1148" t="s">
        <v>28</v>
      </c>
      <c r="J1148">
        <v>0</v>
      </c>
      <c r="K1148">
        <v>8</v>
      </c>
    </row>
    <row r="1149" spans="1:11" x14ac:dyDescent="0.35">
      <c r="A1149" t="s">
        <v>1186</v>
      </c>
      <c r="B1149">
        <v>53</v>
      </c>
      <c r="C1149" t="s">
        <v>18</v>
      </c>
      <c r="D1149" t="s">
        <v>13</v>
      </c>
      <c r="E1149">
        <v>20</v>
      </c>
      <c r="F1149" t="s">
        <v>31</v>
      </c>
      <c r="G1149" t="s">
        <v>37</v>
      </c>
      <c r="H1149" s="1">
        <v>142.19</v>
      </c>
      <c r="I1149" t="s">
        <v>24</v>
      </c>
      <c r="J1149">
        <v>2</v>
      </c>
      <c r="K1149">
        <v>2</v>
      </c>
    </row>
    <row r="1150" spans="1:11" x14ac:dyDescent="0.35">
      <c r="A1150" t="s">
        <v>1187</v>
      </c>
      <c r="B1150">
        <v>22</v>
      </c>
      <c r="C1150" t="s">
        <v>18</v>
      </c>
      <c r="D1150" t="s">
        <v>19</v>
      </c>
      <c r="E1150">
        <v>17</v>
      </c>
      <c r="F1150" t="s">
        <v>31</v>
      </c>
      <c r="G1150" t="s">
        <v>34</v>
      </c>
      <c r="H1150" s="1">
        <v>218.82</v>
      </c>
      <c r="I1150" t="s">
        <v>28</v>
      </c>
      <c r="J1150">
        <v>1</v>
      </c>
      <c r="K1150">
        <v>7</v>
      </c>
    </row>
    <row r="1151" spans="1:11" x14ac:dyDescent="0.35">
      <c r="A1151" t="s">
        <v>1188</v>
      </c>
      <c r="B1151">
        <v>32</v>
      </c>
      <c r="C1151" t="s">
        <v>12</v>
      </c>
      <c r="D1151" t="s">
        <v>21</v>
      </c>
      <c r="E1151">
        <v>12</v>
      </c>
      <c r="F1151" t="s">
        <v>33</v>
      </c>
      <c r="G1151" t="s">
        <v>27</v>
      </c>
      <c r="H1151" s="1">
        <v>101.55</v>
      </c>
      <c r="I1151" t="s">
        <v>28</v>
      </c>
      <c r="J1151">
        <v>2</v>
      </c>
      <c r="K1151">
        <v>8</v>
      </c>
    </row>
    <row r="1152" spans="1:11" x14ac:dyDescent="0.35">
      <c r="A1152" t="s">
        <v>1189</v>
      </c>
      <c r="B1152">
        <v>53</v>
      </c>
      <c r="C1152" t="s">
        <v>12</v>
      </c>
      <c r="D1152" t="s">
        <v>21</v>
      </c>
      <c r="E1152">
        <v>34</v>
      </c>
      <c r="F1152" t="s">
        <v>33</v>
      </c>
      <c r="G1152" t="s">
        <v>23</v>
      </c>
      <c r="H1152" s="1">
        <v>373.18</v>
      </c>
      <c r="I1152" t="s">
        <v>24</v>
      </c>
      <c r="J1152">
        <v>1</v>
      </c>
      <c r="K1152">
        <v>3</v>
      </c>
    </row>
    <row r="1153" spans="1:11" x14ac:dyDescent="0.35">
      <c r="A1153" t="s">
        <v>1190</v>
      </c>
      <c r="B1153">
        <v>70</v>
      </c>
      <c r="C1153" t="s">
        <v>12</v>
      </c>
      <c r="D1153" t="s">
        <v>19</v>
      </c>
      <c r="E1153">
        <v>13</v>
      </c>
      <c r="F1153" t="s">
        <v>31</v>
      </c>
      <c r="G1153" t="s">
        <v>37</v>
      </c>
      <c r="H1153" s="1">
        <v>169.99</v>
      </c>
      <c r="I1153" t="s">
        <v>24</v>
      </c>
      <c r="J1153">
        <v>0</v>
      </c>
      <c r="K1153">
        <v>6</v>
      </c>
    </row>
    <row r="1154" spans="1:11" x14ac:dyDescent="0.35">
      <c r="A1154" t="s">
        <v>1191</v>
      </c>
      <c r="B1154">
        <v>30</v>
      </c>
      <c r="C1154" t="s">
        <v>18</v>
      </c>
      <c r="D1154" t="s">
        <v>41</v>
      </c>
      <c r="E1154">
        <v>13</v>
      </c>
      <c r="F1154" t="s">
        <v>22</v>
      </c>
      <c r="G1154" t="s">
        <v>34</v>
      </c>
      <c r="H1154" s="1">
        <v>135.72999999999999</v>
      </c>
      <c r="I1154" t="s">
        <v>24</v>
      </c>
      <c r="J1154">
        <v>2</v>
      </c>
      <c r="K1154">
        <v>4</v>
      </c>
    </row>
    <row r="1155" spans="1:11" x14ac:dyDescent="0.35">
      <c r="A1155" t="s">
        <v>1192</v>
      </c>
      <c r="B1155">
        <v>34</v>
      </c>
      <c r="C1155" t="s">
        <v>12</v>
      </c>
      <c r="D1155" t="s">
        <v>19</v>
      </c>
      <c r="E1155">
        <v>18</v>
      </c>
      <c r="F1155" t="s">
        <v>22</v>
      </c>
      <c r="G1155" t="s">
        <v>23</v>
      </c>
      <c r="H1155" s="1">
        <v>517.14</v>
      </c>
      <c r="I1155" t="s">
        <v>43</v>
      </c>
      <c r="J1155">
        <v>0</v>
      </c>
      <c r="K1155">
        <v>5</v>
      </c>
    </row>
    <row r="1156" spans="1:11" x14ac:dyDescent="0.35">
      <c r="A1156" t="s">
        <v>1193</v>
      </c>
      <c r="B1156">
        <v>27</v>
      </c>
      <c r="C1156" t="s">
        <v>12</v>
      </c>
      <c r="D1156" t="s">
        <v>19</v>
      </c>
      <c r="E1156">
        <v>14</v>
      </c>
      <c r="F1156" t="s">
        <v>26</v>
      </c>
      <c r="G1156" t="s">
        <v>37</v>
      </c>
      <c r="H1156" s="1">
        <v>205.48</v>
      </c>
      <c r="I1156" t="s">
        <v>24</v>
      </c>
      <c r="J1156">
        <v>1</v>
      </c>
      <c r="K1156">
        <v>8</v>
      </c>
    </row>
    <row r="1157" spans="1:11" x14ac:dyDescent="0.35">
      <c r="A1157" t="s">
        <v>1194</v>
      </c>
      <c r="B1157">
        <v>65</v>
      </c>
      <c r="C1157" t="s">
        <v>18</v>
      </c>
      <c r="D1157" t="s">
        <v>13</v>
      </c>
      <c r="E1157">
        <v>18</v>
      </c>
      <c r="F1157" t="s">
        <v>26</v>
      </c>
      <c r="G1157" t="s">
        <v>23</v>
      </c>
      <c r="H1157" s="1">
        <v>174.9</v>
      </c>
      <c r="I1157" t="s">
        <v>24</v>
      </c>
      <c r="J1157">
        <v>1</v>
      </c>
      <c r="K1157">
        <v>8</v>
      </c>
    </row>
    <row r="1158" spans="1:11" x14ac:dyDescent="0.35">
      <c r="A1158" t="s">
        <v>1195</v>
      </c>
      <c r="B1158">
        <v>60</v>
      </c>
      <c r="C1158" t="s">
        <v>12</v>
      </c>
      <c r="D1158" t="s">
        <v>13</v>
      </c>
      <c r="E1158">
        <v>10</v>
      </c>
      <c r="F1158" t="s">
        <v>22</v>
      </c>
      <c r="G1158" t="s">
        <v>34</v>
      </c>
      <c r="H1158" s="1">
        <v>199.45</v>
      </c>
      <c r="I1158" t="s">
        <v>24</v>
      </c>
      <c r="J1158">
        <v>2</v>
      </c>
      <c r="K1158">
        <v>7</v>
      </c>
    </row>
    <row r="1159" spans="1:11" x14ac:dyDescent="0.35">
      <c r="A1159" t="s">
        <v>1196</v>
      </c>
      <c r="B1159">
        <v>26</v>
      </c>
      <c r="C1159" t="s">
        <v>18</v>
      </c>
      <c r="D1159" t="s">
        <v>13</v>
      </c>
      <c r="E1159">
        <v>10</v>
      </c>
      <c r="F1159" t="s">
        <v>26</v>
      </c>
      <c r="G1159" t="s">
        <v>37</v>
      </c>
      <c r="H1159" s="1">
        <v>156.72999999999999</v>
      </c>
      <c r="I1159" t="s">
        <v>43</v>
      </c>
      <c r="J1159">
        <v>1</v>
      </c>
      <c r="K1159">
        <v>7</v>
      </c>
    </row>
    <row r="1160" spans="1:11" x14ac:dyDescent="0.35">
      <c r="A1160" t="s">
        <v>1197</v>
      </c>
      <c r="B1160">
        <v>28</v>
      </c>
      <c r="C1160" t="s">
        <v>18</v>
      </c>
      <c r="D1160" t="s">
        <v>21</v>
      </c>
      <c r="E1160">
        <v>14</v>
      </c>
      <c r="F1160" t="s">
        <v>14</v>
      </c>
      <c r="G1160" t="s">
        <v>15</v>
      </c>
      <c r="H1160" s="1">
        <v>0</v>
      </c>
      <c r="I1160" t="s">
        <v>16</v>
      </c>
      <c r="J1160">
        <v>1</v>
      </c>
      <c r="K1160">
        <v>8</v>
      </c>
    </row>
    <row r="1161" spans="1:11" x14ac:dyDescent="0.35">
      <c r="A1161" t="s">
        <v>1198</v>
      </c>
      <c r="B1161">
        <v>67</v>
      </c>
      <c r="C1161" t="s">
        <v>18</v>
      </c>
      <c r="D1161" t="s">
        <v>21</v>
      </c>
      <c r="E1161">
        <v>45</v>
      </c>
      <c r="F1161" t="s">
        <v>31</v>
      </c>
      <c r="G1161" t="s">
        <v>34</v>
      </c>
      <c r="H1161" s="1">
        <v>105.1</v>
      </c>
      <c r="I1161" t="s">
        <v>24</v>
      </c>
      <c r="J1161">
        <v>2</v>
      </c>
      <c r="K1161">
        <v>1</v>
      </c>
    </row>
    <row r="1162" spans="1:11" x14ac:dyDescent="0.35">
      <c r="A1162" t="s">
        <v>1199</v>
      </c>
      <c r="B1162">
        <v>52</v>
      </c>
      <c r="C1162" t="s">
        <v>18</v>
      </c>
      <c r="D1162" t="s">
        <v>13</v>
      </c>
      <c r="E1162">
        <v>6</v>
      </c>
      <c r="F1162" t="s">
        <v>33</v>
      </c>
      <c r="G1162" t="s">
        <v>27</v>
      </c>
      <c r="H1162" s="1">
        <v>137.69999999999999</v>
      </c>
      <c r="I1162" t="s">
        <v>24</v>
      </c>
      <c r="J1162">
        <v>0</v>
      </c>
      <c r="K1162">
        <v>8</v>
      </c>
    </row>
    <row r="1163" spans="1:11" x14ac:dyDescent="0.35">
      <c r="A1163" t="s">
        <v>1200</v>
      </c>
      <c r="B1163">
        <v>73</v>
      </c>
      <c r="C1163" t="s">
        <v>12</v>
      </c>
      <c r="D1163" t="s">
        <v>13</v>
      </c>
      <c r="E1163">
        <v>21</v>
      </c>
      <c r="F1163" t="s">
        <v>31</v>
      </c>
      <c r="G1163" t="s">
        <v>34</v>
      </c>
      <c r="H1163" s="1">
        <v>184.79</v>
      </c>
      <c r="I1163" t="s">
        <v>28</v>
      </c>
      <c r="J1163">
        <v>0</v>
      </c>
      <c r="K1163">
        <v>5</v>
      </c>
    </row>
    <row r="1164" spans="1:11" x14ac:dyDescent="0.35">
      <c r="A1164" t="s">
        <v>1201</v>
      </c>
      <c r="B1164">
        <v>47</v>
      </c>
      <c r="C1164" t="s">
        <v>18</v>
      </c>
      <c r="D1164" t="s">
        <v>19</v>
      </c>
      <c r="E1164">
        <v>17</v>
      </c>
      <c r="F1164" t="s">
        <v>22</v>
      </c>
      <c r="G1164" t="s">
        <v>34</v>
      </c>
      <c r="H1164" s="1">
        <v>206.88</v>
      </c>
      <c r="I1164" t="s">
        <v>24</v>
      </c>
      <c r="J1164">
        <v>1</v>
      </c>
      <c r="K1164">
        <v>7</v>
      </c>
    </row>
    <row r="1165" spans="1:11" x14ac:dyDescent="0.35">
      <c r="A1165" t="s">
        <v>1202</v>
      </c>
      <c r="B1165">
        <v>25</v>
      </c>
      <c r="C1165" t="s">
        <v>18</v>
      </c>
      <c r="D1165" t="s">
        <v>21</v>
      </c>
      <c r="E1165">
        <v>15</v>
      </c>
      <c r="F1165" t="s">
        <v>22</v>
      </c>
      <c r="G1165" t="s">
        <v>27</v>
      </c>
      <c r="H1165" s="1">
        <v>135.44</v>
      </c>
      <c r="I1165" t="s">
        <v>24</v>
      </c>
      <c r="J1165">
        <v>0</v>
      </c>
      <c r="K1165">
        <v>5</v>
      </c>
    </row>
    <row r="1166" spans="1:11" x14ac:dyDescent="0.35">
      <c r="A1166" t="s">
        <v>1203</v>
      </c>
      <c r="B1166">
        <v>43</v>
      </c>
      <c r="C1166" t="s">
        <v>18</v>
      </c>
      <c r="D1166" t="s">
        <v>21</v>
      </c>
      <c r="E1166">
        <v>14</v>
      </c>
      <c r="F1166" t="s">
        <v>33</v>
      </c>
      <c r="G1166" t="s">
        <v>37</v>
      </c>
      <c r="H1166" s="1">
        <v>122.17</v>
      </c>
      <c r="I1166" t="s">
        <v>24</v>
      </c>
      <c r="J1166">
        <v>0</v>
      </c>
      <c r="K1166">
        <v>4</v>
      </c>
    </row>
    <row r="1167" spans="1:11" x14ac:dyDescent="0.35">
      <c r="A1167" t="s">
        <v>1204</v>
      </c>
      <c r="B1167">
        <v>83</v>
      </c>
      <c r="C1167" t="s">
        <v>18</v>
      </c>
      <c r="D1167" t="s">
        <v>19</v>
      </c>
      <c r="E1167">
        <v>9</v>
      </c>
      <c r="F1167" t="s">
        <v>14</v>
      </c>
      <c r="G1167" t="s">
        <v>15</v>
      </c>
      <c r="H1167" s="1">
        <v>0</v>
      </c>
      <c r="I1167" t="s">
        <v>16</v>
      </c>
      <c r="J1167">
        <v>3</v>
      </c>
      <c r="K1167">
        <v>8</v>
      </c>
    </row>
    <row r="1168" spans="1:11" x14ac:dyDescent="0.35">
      <c r="A1168" t="s">
        <v>1205</v>
      </c>
      <c r="B1168">
        <v>66</v>
      </c>
      <c r="C1168" t="s">
        <v>18</v>
      </c>
      <c r="D1168" t="s">
        <v>19</v>
      </c>
      <c r="E1168">
        <v>23</v>
      </c>
      <c r="F1168" t="s">
        <v>33</v>
      </c>
      <c r="G1168" t="s">
        <v>34</v>
      </c>
      <c r="H1168" s="1">
        <v>189.24</v>
      </c>
      <c r="I1168" t="s">
        <v>28</v>
      </c>
      <c r="J1168">
        <v>0</v>
      </c>
      <c r="K1168">
        <v>2</v>
      </c>
    </row>
    <row r="1169" spans="1:11" x14ac:dyDescent="0.35">
      <c r="A1169" t="s">
        <v>1206</v>
      </c>
      <c r="B1169">
        <v>66</v>
      </c>
      <c r="C1169" t="s">
        <v>12</v>
      </c>
      <c r="D1169" t="s">
        <v>21</v>
      </c>
      <c r="E1169">
        <v>41</v>
      </c>
      <c r="F1169" t="s">
        <v>22</v>
      </c>
      <c r="G1169" t="s">
        <v>34</v>
      </c>
      <c r="H1169" s="1">
        <v>199.76</v>
      </c>
      <c r="I1169" t="s">
        <v>28</v>
      </c>
      <c r="J1169">
        <v>1</v>
      </c>
      <c r="K1169">
        <v>2</v>
      </c>
    </row>
    <row r="1170" spans="1:11" x14ac:dyDescent="0.35">
      <c r="A1170" t="s">
        <v>1207</v>
      </c>
      <c r="B1170">
        <v>43</v>
      </c>
      <c r="C1170" t="s">
        <v>12</v>
      </c>
      <c r="D1170" t="s">
        <v>21</v>
      </c>
      <c r="E1170">
        <v>17</v>
      </c>
      <c r="F1170" t="s">
        <v>33</v>
      </c>
      <c r="G1170" t="s">
        <v>27</v>
      </c>
      <c r="H1170" s="1">
        <v>52.1</v>
      </c>
      <c r="I1170" t="s">
        <v>24</v>
      </c>
      <c r="J1170">
        <v>1</v>
      </c>
      <c r="K1170">
        <v>6</v>
      </c>
    </row>
    <row r="1171" spans="1:11" x14ac:dyDescent="0.35">
      <c r="A1171" t="s">
        <v>1208</v>
      </c>
      <c r="B1171">
        <v>25</v>
      </c>
      <c r="C1171" t="s">
        <v>12</v>
      </c>
      <c r="D1171" t="s">
        <v>19</v>
      </c>
      <c r="E1171">
        <v>11</v>
      </c>
      <c r="F1171" t="s">
        <v>33</v>
      </c>
      <c r="G1171" t="s">
        <v>27</v>
      </c>
      <c r="H1171" s="1">
        <v>51.75</v>
      </c>
      <c r="I1171" t="s">
        <v>24</v>
      </c>
      <c r="J1171">
        <v>0</v>
      </c>
      <c r="K1171">
        <v>5</v>
      </c>
    </row>
    <row r="1172" spans="1:11" x14ac:dyDescent="0.35">
      <c r="A1172" t="s">
        <v>1209</v>
      </c>
      <c r="B1172">
        <v>49</v>
      </c>
      <c r="C1172" t="s">
        <v>18</v>
      </c>
      <c r="D1172" t="s">
        <v>30</v>
      </c>
      <c r="E1172">
        <v>7</v>
      </c>
      <c r="F1172" t="s">
        <v>22</v>
      </c>
      <c r="G1172" t="s">
        <v>23</v>
      </c>
      <c r="H1172" s="1">
        <v>87.86</v>
      </c>
      <c r="I1172" t="s">
        <v>24</v>
      </c>
      <c r="J1172">
        <v>0</v>
      </c>
      <c r="K1172">
        <v>10</v>
      </c>
    </row>
    <row r="1173" spans="1:11" x14ac:dyDescent="0.35">
      <c r="A1173" t="s">
        <v>1210</v>
      </c>
      <c r="B1173">
        <v>18</v>
      </c>
      <c r="C1173" t="s">
        <v>12</v>
      </c>
      <c r="D1173" t="s">
        <v>19</v>
      </c>
      <c r="E1173">
        <v>14</v>
      </c>
      <c r="F1173" t="s">
        <v>22</v>
      </c>
      <c r="G1173" t="s">
        <v>37</v>
      </c>
      <c r="H1173" s="1">
        <v>140.72999999999999</v>
      </c>
      <c r="I1173" t="s">
        <v>24</v>
      </c>
      <c r="J1173">
        <v>0</v>
      </c>
      <c r="K1173">
        <v>8</v>
      </c>
    </row>
    <row r="1174" spans="1:11" x14ac:dyDescent="0.35">
      <c r="A1174" t="s">
        <v>1211</v>
      </c>
      <c r="B1174">
        <v>59</v>
      </c>
      <c r="C1174" t="s">
        <v>12</v>
      </c>
      <c r="D1174" t="s">
        <v>19</v>
      </c>
      <c r="E1174">
        <v>24</v>
      </c>
      <c r="F1174" t="s">
        <v>31</v>
      </c>
      <c r="G1174" t="s">
        <v>27</v>
      </c>
      <c r="H1174" s="1">
        <v>137.43</v>
      </c>
      <c r="I1174" t="s">
        <v>24</v>
      </c>
      <c r="J1174">
        <v>1</v>
      </c>
      <c r="K1174">
        <v>5</v>
      </c>
    </row>
    <row r="1175" spans="1:11" x14ac:dyDescent="0.35">
      <c r="A1175" t="s">
        <v>1212</v>
      </c>
      <c r="B1175">
        <v>38</v>
      </c>
      <c r="C1175" t="s">
        <v>12</v>
      </c>
      <c r="D1175" t="s">
        <v>13</v>
      </c>
      <c r="E1175">
        <v>8</v>
      </c>
      <c r="F1175" t="s">
        <v>26</v>
      </c>
      <c r="G1175" t="s">
        <v>27</v>
      </c>
      <c r="H1175" s="1">
        <v>22.41</v>
      </c>
      <c r="I1175" t="s">
        <v>24</v>
      </c>
      <c r="J1175">
        <v>0</v>
      </c>
      <c r="K1175">
        <v>10</v>
      </c>
    </row>
    <row r="1176" spans="1:11" x14ac:dyDescent="0.35">
      <c r="A1176" t="s">
        <v>1213</v>
      </c>
      <c r="B1176">
        <v>65</v>
      </c>
      <c r="C1176" t="s">
        <v>12</v>
      </c>
      <c r="D1176" t="s">
        <v>19</v>
      </c>
      <c r="E1176">
        <v>11</v>
      </c>
      <c r="F1176" t="s">
        <v>31</v>
      </c>
      <c r="G1176" t="s">
        <v>23</v>
      </c>
      <c r="H1176" s="1">
        <v>265.81</v>
      </c>
      <c r="I1176" t="s">
        <v>24</v>
      </c>
      <c r="J1176">
        <v>1</v>
      </c>
      <c r="K1176">
        <v>7</v>
      </c>
    </row>
    <row r="1177" spans="1:11" x14ac:dyDescent="0.35">
      <c r="A1177" t="s">
        <v>1214</v>
      </c>
      <c r="B1177">
        <v>47</v>
      </c>
      <c r="C1177" t="s">
        <v>12</v>
      </c>
      <c r="D1177" t="s">
        <v>21</v>
      </c>
      <c r="E1177">
        <v>13</v>
      </c>
      <c r="F1177" t="s">
        <v>26</v>
      </c>
      <c r="G1177" t="s">
        <v>23</v>
      </c>
      <c r="H1177" s="1">
        <v>381.23</v>
      </c>
      <c r="I1177" t="s">
        <v>24</v>
      </c>
      <c r="J1177">
        <v>0</v>
      </c>
      <c r="K1177">
        <v>5</v>
      </c>
    </row>
    <row r="1178" spans="1:11" x14ac:dyDescent="0.35">
      <c r="A1178" t="s">
        <v>1215</v>
      </c>
      <c r="B1178">
        <v>24</v>
      </c>
      <c r="C1178" t="s">
        <v>18</v>
      </c>
      <c r="D1178" t="s">
        <v>19</v>
      </c>
      <c r="E1178">
        <v>15</v>
      </c>
      <c r="F1178" t="s">
        <v>14</v>
      </c>
      <c r="G1178" t="s">
        <v>23</v>
      </c>
      <c r="H1178" s="1">
        <v>0</v>
      </c>
      <c r="I1178" t="s">
        <v>16</v>
      </c>
      <c r="J1178">
        <v>1</v>
      </c>
      <c r="K1178">
        <v>6</v>
      </c>
    </row>
    <row r="1179" spans="1:11" x14ac:dyDescent="0.35">
      <c r="A1179" t="s">
        <v>1216</v>
      </c>
      <c r="B1179">
        <v>80</v>
      </c>
      <c r="C1179" t="s">
        <v>12</v>
      </c>
      <c r="D1179" t="s">
        <v>21</v>
      </c>
      <c r="E1179">
        <v>31</v>
      </c>
      <c r="F1179" t="s">
        <v>26</v>
      </c>
      <c r="G1179" t="s">
        <v>27</v>
      </c>
      <c r="H1179" s="1">
        <v>82.48</v>
      </c>
      <c r="I1179" t="s">
        <v>24</v>
      </c>
      <c r="J1179">
        <v>1</v>
      </c>
      <c r="K1179">
        <v>2</v>
      </c>
    </row>
    <row r="1180" spans="1:11" x14ac:dyDescent="0.35">
      <c r="A1180" t="s">
        <v>1217</v>
      </c>
      <c r="B1180">
        <v>32</v>
      </c>
      <c r="C1180" t="s">
        <v>18</v>
      </c>
      <c r="D1180" t="s">
        <v>19</v>
      </c>
      <c r="E1180">
        <v>20</v>
      </c>
      <c r="F1180" t="s">
        <v>22</v>
      </c>
      <c r="G1180" t="s">
        <v>37</v>
      </c>
      <c r="H1180" s="1">
        <v>104.05</v>
      </c>
      <c r="I1180" t="s">
        <v>24</v>
      </c>
      <c r="J1180">
        <v>1</v>
      </c>
      <c r="K1180">
        <v>5</v>
      </c>
    </row>
    <row r="1181" spans="1:11" x14ac:dyDescent="0.35">
      <c r="A1181" t="s">
        <v>1218</v>
      </c>
      <c r="B1181">
        <v>53</v>
      </c>
      <c r="C1181" t="s">
        <v>12</v>
      </c>
      <c r="D1181" t="s">
        <v>13</v>
      </c>
      <c r="E1181">
        <v>22</v>
      </c>
      <c r="F1181" t="s">
        <v>22</v>
      </c>
      <c r="G1181" t="s">
        <v>27</v>
      </c>
      <c r="H1181" s="1">
        <v>79.92</v>
      </c>
      <c r="I1181" t="s">
        <v>24</v>
      </c>
      <c r="J1181">
        <v>4</v>
      </c>
      <c r="K1181">
        <v>5</v>
      </c>
    </row>
    <row r="1182" spans="1:11" x14ac:dyDescent="0.35">
      <c r="A1182" t="s">
        <v>1219</v>
      </c>
      <c r="B1182">
        <v>40</v>
      </c>
      <c r="C1182" t="s">
        <v>12</v>
      </c>
      <c r="D1182" t="s">
        <v>21</v>
      </c>
      <c r="E1182">
        <v>13</v>
      </c>
      <c r="F1182" t="s">
        <v>22</v>
      </c>
      <c r="G1182" t="s">
        <v>27</v>
      </c>
      <c r="H1182" s="1">
        <v>40.03</v>
      </c>
      <c r="I1182" t="s">
        <v>28</v>
      </c>
      <c r="J1182">
        <v>0</v>
      </c>
      <c r="K1182">
        <v>5</v>
      </c>
    </row>
    <row r="1183" spans="1:11" x14ac:dyDescent="0.35">
      <c r="A1183" t="s">
        <v>1220</v>
      </c>
      <c r="B1183">
        <v>53</v>
      </c>
      <c r="C1183" t="s">
        <v>189</v>
      </c>
      <c r="D1183" t="s">
        <v>19</v>
      </c>
      <c r="E1183">
        <v>19</v>
      </c>
      <c r="F1183" t="s">
        <v>22</v>
      </c>
      <c r="G1183" t="s">
        <v>27</v>
      </c>
      <c r="H1183" s="1">
        <v>30.3</v>
      </c>
      <c r="I1183" t="s">
        <v>28</v>
      </c>
      <c r="J1183">
        <v>2</v>
      </c>
      <c r="K1183">
        <v>1</v>
      </c>
    </row>
    <row r="1184" spans="1:11" x14ac:dyDescent="0.35">
      <c r="A1184" t="s">
        <v>1221</v>
      </c>
      <c r="B1184">
        <v>72</v>
      </c>
      <c r="C1184" t="s">
        <v>18</v>
      </c>
      <c r="D1184" t="s">
        <v>19</v>
      </c>
      <c r="E1184">
        <v>23</v>
      </c>
      <c r="F1184" t="s">
        <v>22</v>
      </c>
      <c r="G1184" t="s">
        <v>34</v>
      </c>
      <c r="H1184" s="1">
        <v>154.59</v>
      </c>
      <c r="I1184" t="s">
        <v>43</v>
      </c>
      <c r="J1184">
        <v>1</v>
      </c>
      <c r="K1184">
        <v>3</v>
      </c>
    </row>
    <row r="1185" spans="1:11" x14ac:dyDescent="0.35">
      <c r="A1185" t="s">
        <v>1222</v>
      </c>
      <c r="B1185">
        <v>40</v>
      </c>
      <c r="C1185" t="s">
        <v>18</v>
      </c>
      <c r="D1185" t="s">
        <v>19</v>
      </c>
      <c r="E1185">
        <v>9</v>
      </c>
      <c r="F1185" t="s">
        <v>33</v>
      </c>
      <c r="G1185" t="s">
        <v>15</v>
      </c>
      <c r="H1185" s="1">
        <v>224.25</v>
      </c>
      <c r="I1185" t="s">
        <v>24</v>
      </c>
      <c r="J1185">
        <v>1</v>
      </c>
      <c r="K1185">
        <v>5</v>
      </c>
    </row>
    <row r="1186" spans="1:11" x14ac:dyDescent="0.35">
      <c r="A1186" t="s">
        <v>1223</v>
      </c>
      <c r="B1186">
        <v>57</v>
      </c>
      <c r="C1186" t="s">
        <v>18</v>
      </c>
      <c r="D1186" t="s">
        <v>13</v>
      </c>
      <c r="E1186">
        <v>12</v>
      </c>
      <c r="F1186" t="s">
        <v>31</v>
      </c>
      <c r="G1186" t="s">
        <v>23</v>
      </c>
      <c r="H1186" s="1">
        <v>398.76</v>
      </c>
      <c r="I1186" t="s">
        <v>24</v>
      </c>
      <c r="J1186">
        <v>0</v>
      </c>
      <c r="K1186">
        <v>7</v>
      </c>
    </row>
    <row r="1187" spans="1:11" x14ac:dyDescent="0.35">
      <c r="A1187" t="s">
        <v>1224</v>
      </c>
      <c r="B1187">
        <v>34</v>
      </c>
      <c r="C1187" t="s">
        <v>12</v>
      </c>
      <c r="D1187" t="s">
        <v>41</v>
      </c>
      <c r="E1187">
        <v>12</v>
      </c>
      <c r="F1187" t="s">
        <v>14</v>
      </c>
      <c r="G1187" t="s">
        <v>27</v>
      </c>
      <c r="H1187" s="1">
        <v>0</v>
      </c>
      <c r="I1187" t="s">
        <v>16</v>
      </c>
      <c r="J1187">
        <v>0</v>
      </c>
      <c r="K1187">
        <v>4</v>
      </c>
    </row>
    <row r="1188" spans="1:11" x14ac:dyDescent="0.35">
      <c r="A1188" t="s">
        <v>1225</v>
      </c>
      <c r="B1188">
        <v>40</v>
      </c>
      <c r="C1188" t="s">
        <v>12</v>
      </c>
      <c r="D1188" t="s">
        <v>19</v>
      </c>
      <c r="E1188">
        <v>13</v>
      </c>
      <c r="F1188" t="s">
        <v>14</v>
      </c>
      <c r="G1188" t="s">
        <v>34</v>
      </c>
      <c r="H1188" s="1">
        <v>0</v>
      </c>
      <c r="I1188" t="s">
        <v>16</v>
      </c>
      <c r="J1188">
        <v>0</v>
      </c>
      <c r="K1188">
        <v>8</v>
      </c>
    </row>
    <row r="1189" spans="1:11" x14ac:dyDescent="0.35">
      <c r="A1189" t="s">
        <v>1226</v>
      </c>
      <c r="B1189">
        <v>78</v>
      </c>
      <c r="C1189" t="s">
        <v>18</v>
      </c>
      <c r="D1189" t="s">
        <v>19</v>
      </c>
      <c r="E1189">
        <v>13</v>
      </c>
      <c r="F1189" t="s">
        <v>22</v>
      </c>
      <c r="G1189" t="s">
        <v>23</v>
      </c>
      <c r="H1189" s="1">
        <v>561.49</v>
      </c>
      <c r="I1189" t="s">
        <v>24</v>
      </c>
      <c r="J1189">
        <v>1</v>
      </c>
      <c r="K1189">
        <v>4</v>
      </c>
    </row>
    <row r="1190" spans="1:11" x14ac:dyDescent="0.35">
      <c r="A1190" t="s">
        <v>1227</v>
      </c>
      <c r="B1190">
        <v>73</v>
      </c>
      <c r="C1190" t="s">
        <v>18</v>
      </c>
      <c r="D1190" t="s">
        <v>21</v>
      </c>
      <c r="E1190">
        <v>16</v>
      </c>
      <c r="F1190" t="s">
        <v>33</v>
      </c>
      <c r="G1190" t="s">
        <v>15</v>
      </c>
      <c r="H1190" s="1">
        <v>170.86</v>
      </c>
      <c r="I1190" t="s">
        <v>24</v>
      </c>
      <c r="J1190">
        <v>3</v>
      </c>
      <c r="K1190">
        <v>5</v>
      </c>
    </row>
    <row r="1191" spans="1:11" x14ac:dyDescent="0.35">
      <c r="A1191" t="s">
        <v>1228</v>
      </c>
      <c r="B1191">
        <v>21</v>
      </c>
      <c r="C1191" t="s">
        <v>12</v>
      </c>
      <c r="D1191" t="s">
        <v>120</v>
      </c>
      <c r="E1191">
        <v>37</v>
      </c>
      <c r="F1191" t="s">
        <v>22</v>
      </c>
      <c r="G1191" t="s">
        <v>23</v>
      </c>
      <c r="H1191" s="1">
        <v>544.04</v>
      </c>
      <c r="I1191" t="s">
        <v>24</v>
      </c>
      <c r="J1191">
        <v>2</v>
      </c>
      <c r="K1191">
        <v>3</v>
      </c>
    </row>
    <row r="1192" spans="1:11" x14ac:dyDescent="0.35">
      <c r="A1192" t="s">
        <v>1229</v>
      </c>
      <c r="B1192">
        <v>51</v>
      </c>
      <c r="C1192" t="s">
        <v>18</v>
      </c>
      <c r="D1192" t="s">
        <v>57</v>
      </c>
      <c r="E1192">
        <v>43</v>
      </c>
      <c r="F1192" t="s">
        <v>22</v>
      </c>
      <c r="G1192" t="s">
        <v>37</v>
      </c>
      <c r="H1192" s="1">
        <v>138.87</v>
      </c>
      <c r="I1192" t="s">
        <v>24</v>
      </c>
      <c r="J1192">
        <v>4</v>
      </c>
      <c r="K1192">
        <v>1</v>
      </c>
    </row>
    <row r="1193" spans="1:11" x14ac:dyDescent="0.35">
      <c r="A1193" t="s">
        <v>1230</v>
      </c>
      <c r="B1193">
        <v>62</v>
      </c>
      <c r="C1193" t="s">
        <v>12</v>
      </c>
      <c r="D1193" t="s">
        <v>21</v>
      </c>
      <c r="E1193">
        <v>44</v>
      </c>
      <c r="F1193" t="s">
        <v>22</v>
      </c>
      <c r="G1193" t="s">
        <v>15</v>
      </c>
      <c r="H1193" s="1">
        <v>419.72</v>
      </c>
      <c r="I1193" t="s">
        <v>24</v>
      </c>
      <c r="J1193">
        <v>4</v>
      </c>
      <c r="K1193">
        <v>1</v>
      </c>
    </row>
    <row r="1194" spans="1:11" x14ac:dyDescent="0.35">
      <c r="A1194" t="s">
        <v>1231</v>
      </c>
      <c r="B1194">
        <v>46</v>
      </c>
      <c r="C1194" t="s">
        <v>12</v>
      </c>
      <c r="D1194" t="s">
        <v>19</v>
      </c>
      <c r="E1194">
        <v>6</v>
      </c>
      <c r="F1194" t="s">
        <v>33</v>
      </c>
      <c r="G1194" t="s">
        <v>34</v>
      </c>
      <c r="H1194" s="1">
        <v>115.49</v>
      </c>
      <c r="I1194" t="s">
        <v>24</v>
      </c>
      <c r="J1194">
        <v>0</v>
      </c>
      <c r="K1194">
        <v>9</v>
      </c>
    </row>
    <row r="1195" spans="1:11" x14ac:dyDescent="0.35">
      <c r="A1195" t="s">
        <v>1232</v>
      </c>
      <c r="B1195">
        <v>52</v>
      </c>
      <c r="C1195" t="s">
        <v>18</v>
      </c>
      <c r="D1195" t="s">
        <v>21</v>
      </c>
      <c r="E1195">
        <v>33</v>
      </c>
      <c r="F1195" t="s">
        <v>22</v>
      </c>
      <c r="G1195" t="s">
        <v>15</v>
      </c>
      <c r="H1195" s="1">
        <v>363.93</v>
      </c>
      <c r="I1195" t="s">
        <v>24</v>
      </c>
      <c r="J1195">
        <v>1</v>
      </c>
      <c r="K1195">
        <v>5</v>
      </c>
    </row>
    <row r="1196" spans="1:11" x14ac:dyDescent="0.35">
      <c r="A1196" t="s">
        <v>1233</v>
      </c>
      <c r="B1196">
        <v>68</v>
      </c>
      <c r="C1196" t="s">
        <v>18</v>
      </c>
      <c r="D1196" t="s">
        <v>13</v>
      </c>
      <c r="E1196">
        <v>6</v>
      </c>
      <c r="F1196" t="s">
        <v>33</v>
      </c>
      <c r="G1196" t="s">
        <v>23</v>
      </c>
      <c r="H1196" s="1">
        <v>340.06</v>
      </c>
      <c r="I1196" t="s">
        <v>43</v>
      </c>
      <c r="J1196">
        <v>0</v>
      </c>
      <c r="K1196">
        <v>10</v>
      </c>
    </row>
    <row r="1197" spans="1:11" x14ac:dyDescent="0.35">
      <c r="A1197" t="s">
        <v>1234</v>
      </c>
      <c r="B1197">
        <v>39</v>
      </c>
      <c r="C1197" t="s">
        <v>18</v>
      </c>
      <c r="D1197" t="s">
        <v>41</v>
      </c>
      <c r="E1197">
        <v>9</v>
      </c>
      <c r="F1197" t="s">
        <v>31</v>
      </c>
      <c r="G1197" t="s">
        <v>23</v>
      </c>
      <c r="H1197" s="1">
        <v>138.19999999999999</v>
      </c>
      <c r="I1197" t="s">
        <v>24</v>
      </c>
      <c r="J1197">
        <v>0</v>
      </c>
      <c r="K1197">
        <v>6</v>
      </c>
    </row>
    <row r="1198" spans="1:11" x14ac:dyDescent="0.35">
      <c r="A1198" t="s">
        <v>1235</v>
      </c>
      <c r="B1198">
        <v>57</v>
      </c>
      <c r="C1198" t="s">
        <v>18</v>
      </c>
      <c r="D1198" t="s">
        <v>21</v>
      </c>
      <c r="E1198">
        <v>39</v>
      </c>
      <c r="F1198" t="s">
        <v>31</v>
      </c>
      <c r="G1198" t="s">
        <v>27</v>
      </c>
      <c r="H1198" s="1">
        <v>128.78</v>
      </c>
      <c r="I1198" t="s">
        <v>24</v>
      </c>
      <c r="J1198">
        <v>3</v>
      </c>
      <c r="K1198">
        <v>2</v>
      </c>
    </row>
    <row r="1199" spans="1:11" x14ac:dyDescent="0.35">
      <c r="A1199" t="s">
        <v>1236</v>
      </c>
      <c r="B1199">
        <v>33</v>
      </c>
      <c r="C1199" t="s">
        <v>189</v>
      </c>
      <c r="D1199" t="s">
        <v>13</v>
      </c>
      <c r="E1199">
        <v>20</v>
      </c>
      <c r="F1199" t="s">
        <v>33</v>
      </c>
      <c r="G1199" t="s">
        <v>15</v>
      </c>
      <c r="H1199" s="1">
        <v>265.33999999999997</v>
      </c>
      <c r="I1199" t="s">
        <v>24</v>
      </c>
      <c r="J1199">
        <v>2</v>
      </c>
      <c r="K1199">
        <v>3</v>
      </c>
    </row>
    <row r="1200" spans="1:11" x14ac:dyDescent="0.35">
      <c r="A1200" t="s">
        <v>1237</v>
      </c>
      <c r="B1200">
        <v>65</v>
      </c>
      <c r="C1200" t="s">
        <v>12</v>
      </c>
      <c r="D1200" t="s">
        <v>41</v>
      </c>
      <c r="E1200">
        <v>14</v>
      </c>
      <c r="F1200" t="s">
        <v>14</v>
      </c>
      <c r="G1200" t="s">
        <v>23</v>
      </c>
      <c r="H1200" s="1">
        <v>0</v>
      </c>
      <c r="I1200" t="s">
        <v>16</v>
      </c>
      <c r="J1200">
        <v>0</v>
      </c>
      <c r="K1200">
        <v>5</v>
      </c>
    </row>
    <row r="1201" spans="1:11" x14ac:dyDescent="0.35">
      <c r="A1201" t="s">
        <v>1238</v>
      </c>
      <c r="B1201">
        <v>78</v>
      </c>
      <c r="C1201" t="s">
        <v>18</v>
      </c>
      <c r="D1201" t="s">
        <v>21</v>
      </c>
      <c r="E1201">
        <v>47</v>
      </c>
      <c r="F1201" t="s">
        <v>31</v>
      </c>
      <c r="G1201" t="s">
        <v>23</v>
      </c>
      <c r="H1201" s="1">
        <v>583.23</v>
      </c>
      <c r="I1201" t="s">
        <v>24</v>
      </c>
      <c r="J1201">
        <v>0</v>
      </c>
      <c r="K1201">
        <v>3</v>
      </c>
    </row>
    <row r="1202" spans="1:11" x14ac:dyDescent="0.35">
      <c r="A1202" t="s">
        <v>1239</v>
      </c>
      <c r="B1202">
        <v>76</v>
      </c>
      <c r="C1202" t="s">
        <v>18</v>
      </c>
      <c r="D1202" t="s">
        <v>30</v>
      </c>
      <c r="E1202">
        <v>2</v>
      </c>
      <c r="F1202" t="s">
        <v>33</v>
      </c>
      <c r="G1202" t="s">
        <v>34</v>
      </c>
      <c r="H1202" s="1">
        <v>156.84</v>
      </c>
      <c r="I1202" t="s">
        <v>24</v>
      </c>
      <c r="J1202">
        <v>0</v>
      </c>
      <c r="K1202">
        <v>10</v>
      </c>
    </row>
    <row r="1203" spans="1:11" x14ac:dyDescent="0.35">
      <c r="A1203" t="s">
        <v>1240</v>
      </c>
      <c r="B1203">
        <v>32</v>
      </c>
      <c r="C1203" t="s">
        <v>18</v>
      </c>
      <c r="D1203" t="s">
        <v>41</v>
      </c>
      <c r="E1203">
        <v>10</v>
      </c>
      <c r="F1203" t="s">
        <v>22</v>
      </c>
      <c r="G1203" t="s">
        <v>34</v>
      </c>
      <c r="H1203" s="1">
        <v>119.35</v>
      </c>
      <c r="I1203" t="s">
        <v>24</v>
      </c>
      <c r="J1203">
        <v>0</v>
      </c>
      <c r="K1203">
        <v>5</v>
      </c>
    </row>
    <row r="1204" spans="1:11" x14ac:dyDescent="0.35">
      <c r="A1204" t="s">
        <v>1241</v>
      </c>
      <c r="B1204">
        <v>85</v>
      </c>
      <c r="C1204" t="s">
        <v>18</v>
      </c>
      <c r="D1204" t="s">
        <v>21</v>
      </c>
      <c r="E1204">
        <v>16</v>
      </c>
      <c r="F1204" t="s">
        <v>14</v>
      </c>
      <c r="G1204" t="s">
        <v>15</v>
      </c>
      <c r="H1204" s="1">
        <v>0</v>
      </c>
      <c r="I1204" t="s">
        <v>16</v>
      </c>
      <c r="J1204">
        <v>2</v>
      </c>
      <c r="K1204">
        <v>5</v>
      </c>
    </row>
    <row r="1205" spans="1:11" x14ac:dyDescent="0.35">
      <c r="A1205" t="s">
        <v>1242</v>
      </c>
      <c r="B1205">
        <v>35</v>
      </c>
      <c r="C1205" t="s">
        <v>12</v>
      </c>
      <c r="D1205" t="s">
        <v>19</v>
      </c>
      <c r="E1205">
        <v>23</v>
      </c>
      <c r="F1205" t="s">
        <v>22</v>
      </c>
      <c r="G1205" t="s">
        <v>23</v>
      </c>
      <c r="H1205" s="1">
        <v>408.92</v>
      </c>
      <c r="I1205" t="s">
        <v>24</v>
      </c>
      <c r="J1205">
        <v>0</v>
      </c>
      <c r="K1205">
        <v>1</v>
      </c>
    </row>
    <row r="1206" spans="1:11" x14ac:dyDescent="0.35">
      <c r="A1206" t="s">
        <v>1243</v>
      </c>
      <c r="B1206">
        <v>37</v>
      </c>
      <c r="C1206" t="s">
        <v>12</v>
      </c>
      <c r="D1206" t="s">
        <v>30</v>
      </c>
      <c r="E1206">
        <v>6</v>
      </c>
      <c r="F1206" t="s">
        <v>33</v>
      </c>
      <c r="G1206" t="s">
        <v>23</v>
      </c>
      <c r="H1206" s="1">
        <v>454.07</v>
      </c>
      <c r="I1206" t="s">
        <v>24</v>
      </c>
      <c r="J1206">
        <v>2</v>
      </c>
      <c r="K1206">
        <v>10</v>
      </c>
    </row>
    <row r="1207" spans="1:11" x14ac:dyDescent="0.35">
      <c r="A1207" t="s">
        <v>1244</v>
      </c>
      <c r="B1207">
        <v>66</v>
      </c>
      <c r="C1207" t="s">
        <v>12</v>
      </c>
      <c r="D1207" t="s">
        <v>21</v>
      </c>
      <c r="E1207">
        <v>33</v>
      </c>
      <c r="F1207" t="s">
        <v>14</v>
      </c>
      <c r="G1207" t="s">
        <v>15</v>
      </c>
      <c r="H1207" s="1">
        <v>0</v>
      </c>
      <c r="I1207" t="s">
        <v>16</v>
      </c>
      <c r="J1207">
        <v>2</v>
      </c>
      <c r="K1207">
        <v>1</v>
      </c>
    </row>
    <row r="1208" spans="1:11" x14ac:dyDescent="0.35">
      <c r="A1208" t="s">
        <v>1245</v>
      </c>
      <c r="B1208">
        <v>59</v>
      </c>
      <c r="C1208" t="s">
        <v>12</v>
      </c>
      <c r="D1208" t="s">
        <v>57</v>
      </c>
      <c r="E1208">
        <v>22</v>
      </c>
      <c r="F1208" t="s">
        <v>26</v>
      </c>
      <c r="G1208" t="s">
        <v>27</v>
      </c>
      <c r="H1208" s="1">
        <v>65.91</v>
      </c>
      <c r="I1208" t="s">
        <v>43</v>
      </c>
      <c r="J1208">
        <v>4</v>
      </c>
      <c r="K1208">
        <v>1</v>
      </c>
    </row>
    <row r="1209" spans="1:11" x14ac:dyDescent="0.35">
      <c r="A1209" t="s">
        <v>1246</v>
      </c>
      <c r="B1209">
        <v>69</v>
      </c>
      <c r="C1209" t="s">
        <v>12</v>
      </c>
      <c r="D1209" t="s">
        <v>21</v>
      </c>
      <c r="E1209">
        <v>31</v>
      </c>
      <c r="F1209" t="s">
        <v>26</v>
      </c>
      <c r="G1209" t="s">
        <v>37</v>
      </c>
      <c r="H1209" s="1">
        <v>194.72</v>
      </c>
      <c r="I1209" t="s">
        <v>24</v>
      </c>
      <c r="J1209">
        <v>0</v>
      </c>
      <c r="K1209">
        <v>1</v>
      </c>
    </row>
    <row r="1210" spans="1:11" x14ac:dyDescent="0.35">
      <c r="A1210" t="s">
        <v>1247</v>
      </c>
      <c r="B1210">
        <v>37</v>
      </c>
      <c r="C1210" t="s">
        <v>18</v>
      </c>
      <c r="D1210" t="s">
        <v>19</v>
      </c>
      <c r="E1210">
        <v>11</v>
      </c>
      <c r="F1210" t="s">
        <v>26</v>
      </c>
      <c r="G1210" t="s">
        <v>15</v>
      </c>
      <c r="H1210" s="1">
        <v>292.01</v>
      </c>
      <c r="I1210" t="s">
        <v>24</v>
      </c>
      <c r="J1210">
        <v>0</v>
      </c>
      <c r="K1210">
        <v>8</v>
      </c>
    </row>
    <row r="1211" spans="1:11" x14ac:dyDescent="0.35">
      <c r="A1211" t="s">
        <v>1248</v>
      </c>
      <c r="B1211">
        <v>60</v>
      </c>
      <c r="C1211" t="s">
        <v>12</v>
      </c>
      <c r="D1211" t="s">
        <v>13</v>
      </c>
      <c r="E1211">
        <v>8</v>
      </c>
      <c r="F1211" t="s">
        <v>22</v>
      </c>
      <c r="G1211" t="s">
        <v>37</v>
      </c>
      <c r="H1211" s="1">
        <v>110.07</v>
      </c>
      <c r="I1211" t="s">
        <v>43</v>
      </c>
      <c r="J1211">
        <v>1</v>
      </c>
      <c r="K1211">
        <v>9</v>
      </c>
    </row>
    <row r="1212" spans="1:11" x14ac:dyDescent="0.35">
      <c r="A1212" t="s">
        <v>1249</v>
      </c>
      <c r="B1212">
        <v>53</v>
      </c>
      <c r="C1212" t="s">
        <v>12</v>
      </c>
      <c r="D1212" t="s">
        <v>41</v>
      </c>
      <c r="E1212">
        <v>2</v>
      </c>
      <c r="F1212" t="s">
        <v>22</v>
      </c>
      <c r="G1212" t="s">
        <v>23</v>
      </c>
      <c r="H1212" s="1">
        <v>518.47</v>
      </c>
      <c r="I1212" t="s">
        <v>24</v>
      </c>
      <c r="J1212">
        <v>0</v>
      </c>
      <c r="K1212">
        <v>7</v>
      </c>
    </row>
    <row r="1213" spans="1:11" x14ac:dyDescent="0.35">
      <c r="A1213" t="s">
        <v>1250</v>
      </c>
      <c r="B1213">
        <v>29</v>
      </c>
      <c r="C1213" t="s">
        <v>12</v>
      </c>
      <c r="D1213" t="s">
        <v>21</v>
      </c>
      <c r="E1213">
        <v>31</v>
      </c>
      <c r="F1213" t="s">
        <v>22</v>
      </c>
      <c r="G1213" t="s">
        <v>27</v>
      </c>
      <c r="H1213" s="1">
        <v>31.2</v>
      </c>
      <c r="I1213" t="s">
        <v>24</v>
      </c>
      <c r="J1213">
        <v>2</v>
      </c>
      <c r="K1213">
        <v>4</v>
      </c>
    </row>
    <row r="1214" spans="1:11" x14ac:dyDescent="0.35">
      <c r="A1214" t="s">
        <v>1251</v>
      </c>
      <c r="B1214">
        <v>81</v>
      </c>
      <c r="C1214" t="s">
        <v>12</v>
      </c>
      <c r="D1214" t="s">
        <v>13</v>
      </c>
      <c r="E1214">
        <v>22</v>
      </c>
      <c r="F1214" t="s">
        <v>22</v>
      </c>
      <c r="G1214" t="s">
        <v>23</v>
      </c>
      <c r="H1214" s="1">
        <v>84.7</v>
      </c>
      <c r="I1214" t="s">
        <v>24</v>
      </c>
      <c r="J1214">
        <v>0</v>
      </c>
      <c r="K1214">
        <v>4</v>
      </c>
    </row>
    <row r="1215" spans="1:11" x14ac:dyDescent="0.35">
      <c r="A1215" t="s">
        <v>1252</v>
      </c>
      <c r="B1215">
        <v>35</v>
      </c>
      <c r="C1215" t="s">
        <v>18</v>
      </c>
      <c r="D1215" t="s">
        <v>41</v>
      </c>
      <c r="E1215">
        <v>9</v>
      </c>
      <c r="F1215" t="s">
        <v>33</v>
      </c>
      <c r="G1215" t="s">
        <v>27</v>
      </c>
      <c r="H1215" s="1">
        <v>15.7</v>
      </c>
      <c r="I1215" t="s">
        <v>24</v>
      </c>
      <c r="J1215">
        <v>1</v>
      </c>
      <c r="K1215">
        <v>7</v>
      </c>
    </row>
    <row r="1216" spans="1:11" x14ac:dyDescent="0.35">
      <c r="A1216" t="s">
        <v>1253</v>
      </c>
      <c r="B1216">
        <v>39</v>
      </c>
      <c r="C1216" t="s">
        <v>12</v>
      </c>
      <c r="D1216" t="s">
        <v>19</v>
      </c>
      <c r="E1216">
        <v>9</v>
      </c>
      <c r="F1216" t="s">
        <v>31</v>
      </c>
      <c r="G1216" t="s">
        <v>34</v>
      </c>
      <c r="H1216" s="1">
        <v>211.4</v>
      </c>
      <c r="I1216" t="s">
        <v>28</v>
      </c>
      <c r="J1216">
        <v>1</v>
      </c>
      <c r="K1216">
        <v>4</v>
      </c>
    </row>
    <row r="1217" spans="1:11" x14ac:dyDescent="0.35">
      <c r="A1217" t="s">
        <v>1254</v>
      </c>
      <c r="B1217">
        <v>30</v>
      </c>
      <c r="C1217" t="s">
        <v>18</v>
      </c>
      <c r="D1217" t="s">
        <v>244</v>
      </c>
      <c r="E1217">
        <v>14</v>
      </c>
      <c r="F1217" t="s">
        <v>14</v>
      </c>
      <c r="G1217" t="s">
        <v>37</v>
      </c>
      <c r="H1217" s="1">
        <v>0</v>
      </c>
      <c r="I1217" t="s">
        <v>16</v>
      </c>
      <c r="J1217">
        <v>1</v>
      </c>
      <c r="K1217">
        <v>4</v>
      </c>
    </row>
    <row r="1218" spans="1:11" x14ac:dyDescent="0.35">
      <c r="A1218" t="s">
        <v>1255</v>
      </c>
      <c r="B1218">
        <v>80</v>
      </c>
      <c r="C1218" t="s">
        <v>12</v>
      </c>
      <c r="D1218" t="s">
        <v>21</v>
      </c>
      <c r="E1218">
        <v>20</v>
      </c>
      <c r="F1218" t="s">
        <v>22</v>
      </c>
      <c r="G1218" t="s">
        <v>23</v>
      </c>
      <c r="H1218" s="1">
        <v>378.9</v>
      </c>
      <c r="I1218" t="s">
        <v>24</v>
      </c>
      <c r="J1218">
        <v>2</v>
      </c>
      <c r="K1218">
        <v>2</v>
      </c>
    </row>
    <row r="1219" spans="1:11" x14ac:dyDescent="0.35">
      <c r="A1219" t="s">
        <v>1256</v>
      </c>
      <c r="B1219">
        <v>26</v>
      </c>
      <c r="C1219" t="s">
        <v>12</v>
      </c>
      <c r="D1219" t="s">
        <v>19</v>
      </c>
      <c r="E1219">
        <v>20</v>
      </c>
      <c r="F1219" t="s">
        <v>31</v>
      </c>
      <c r="G1219" t="s">
        <v>37</v>
      </c>
      <c r="H1219" s="1">
        <v>129.37</v>
      </c>
      <c r="I1219" t="s">
        <v>24</v>
      </c>
      <c r="J1219">
        <v>3</v>
      </c>
      <c r="K1219">
        <v>1</v>
      </c>
    </row>
    <row r="1220" spans="1:11" x14ac:dyDescent="0.35">
      <c r="A1220" t="s">
        <v>1257</v>
      </c>
      <c r="B1220">
        <v>35</v>
      </c>
      <c r="C1220" t="s">
        <v>12</v>
      </c>
      <c r="D1220" t="s">
        <v>30</v>
      </c>
      <c r="E1220">
        <v>11</v>
      </c>
      <c r="F1220" t="s">
        <v>31</v>
      </c>
      <c r="G1220" t="s">
        <v>37</v>
      </c>
      <c r="H1220" s="1">
        <v>157.79</v>
      </c>
      <c r="I1220" t="s">
        <v>24</v>
      </c>
      <c r="J1220">
        <v>2</v>
      </c>
      <c r="K1220">
        <v>4</v>
      </c>
    </row>
    <row r="1221" spans="1:11" x14ac:dyDescent="0.35">
      <c r="A1221" t="s">
        <v>1258</v>
      </c>
      <c r="B1221">
        <v>34</v>
      </c>
      <c r="C1221" t="s">
        <v>12</v>
      </c>
      <c r="D1221" t="s">
        <v>19</v>
      </c>
      <c r="E1221">
        <v>14</v>
      </c>
      <c r="F1221" t="s">
        <v>22</v>
      </c>
      <c r="G1221" t="s">
        <v>34</v>
      </c>
      <c r="H1221" s="1">
        <v>145.97</v>
      </c>
      <c r="I1221" t="s">
        <v>24</v>
      </c>
      <c r="J1221">
        <v>2</v>
      </c>
      <c r="K1221">
        <v>6</v>
      </c>
    </row>
    <row r="1222" spans="1:11" x14ac:dyDescent="0.35">
      <c r="A1222" t="s">
        <v>1259</v>
      </c>
      <c r="B1222">
        <v>58</v>
      </c>
      <c r="C1222" t="s">
        <v>12</v>
      </c>
      <c r="D1222" t="s">
        <v>21</v>
      </c>
      <c r="E1222">
        <v>44</v>
      </c>
      <c r="F1222" t="s">
        <v>33</v>
      </c>
      <c r="G1222" t="s">
        <v>23</v>
      </c>
      <c r="H1222" s="1">
        <v>403.88</v>
      </c>
      <c r="I1222" t="s">
        <v>43</v>
      </c>
      <c r="J1222">
        <v>2</v>
      </c>
      <c r="K1222">
        <v>1</v>
      </c>
    </row>
    <row r="1223" spans="1:11" x14ac:dyDescent="0.35">
      <c r="A1223" t="s">
        <v>1260</v>
      </c>
      <c r="B1223">
        <v>47</v>
      </c>
      <c r="C1223" t="s">
        <v>12</v>
      </c>
      <c r="D1223" t="s">
        <v>19</v>
      </c>
      <c r="E1223">
        <v>22</v>
      </c>
      <c r="F1223" t="s">
        <v>26</v>
      </c>
      <c r="G1223" t="s">
        <v>34</v>
      </c>
      <c r="H1223" s="1">
        <v>91.3</v>
      </c>
      <c r="I1223" t="s">
        <v>28</v>
      </c>
      <c r="J1223">
        <v>4</v>
      </c>
      <c r="K1223">
        <v>3</v>
      </c>
    </row>
    <row r="1224" spans="1:11" x14ac:dyDescent="0.35">
      <c r="A1224" t="s">
        <v>1261</v>
      </c>
      <c r="B1224">
        <v>19</v>
      </c>
      <c r="C1224" t="s">
        <v>12</v>
      </c>
      <c r="D1224" t="s">
        <v>21</v>
      </c>
      <c r="E1224">
        <v>48</v>
      </c>
      <c r="F1224" t="s">
        <v>22</v>
      </c>
      <c r="G1224" t="s">
        <v>15</v>
      </c>
      <c r="H1224" s="1">
        <v>409.12</v>
      </c>
      <c r="I1224" t="s">
        <v>24</v>
      </c>
      <c r="J1224">
        <v>3</v>
      </c>
      <c r="K1224">
        <v>2</v>
      </c>
    </row>
    <row r="1225" spans="1:11" x14ac:dyDescent="0.35">
      <c r="A1225" t="s">
        <v>1262</v>
      </c>
      <c r="B1225">
        <v>75</v>
      </c>
      <c r="C1225" t="s">
        <v>12</v>
      </c>
      <c r="D1225" t="s">
        <v>19</v>
      </c>
      <c r="E1225">
        <v>19</v>
      </c>
      <c r="F1225" t="s">
        <v>33</v>
      </c>
      <c r="G1225" t="s">
        <v>37</v>
      </c>
      <c r="H1225" s="1">
        <v>173.46</v>
      </c>
      <c r="I1225" t="s">
        <v>28</v>
      </c>
      <c r="J1225">
        <v>1</v>
      </c>
      <c r="K1225">
        <v>5</v>
      </c>
    </row>
    <row r="1226" spans="1:11" x14ac:dyDescent="0.35">
      <c r="A1226" t="s">
        <v>1263</v>
      </c>
      <c r="B1226">
        <v>34</v>
      </c>
      <c r="C1226" t="s">
        <v>18</v>
      </c>
      <c r="D1226" t="s">
        <v>21</v>
      </c>
      <c r="E1226">
        <v>25</v>
      </c>
      <c r="F1226" t="s">
        <v>26</v>
      </c>
      <c r="G1226" t="s">
        <v>27</v>
      </c>
      <c r="H1226" s="1">
        <v>61.05</v>
      </c>
      <c r="I1226" t="s">
        <v>24</v>
      </c>
      <c r="J1226">
        <v>1</v>
      </c>
      <c r="K1226">
        <v>1</v>
      </c>
    </row>
    <row r="1227" spans="1:11" x14ac:dyDescent="0.35">
      <c r="A1227" t="s">
        <v>1264</v>
      </c>
      <c r="B1227">
        <v>29</v>
      </c>
      <c r="C1227" t="s">
        <v>12</v>
      </c>
      <c r="D1227" t="s">
        <v>13</v>
      </c>
      <c r="E1227">
        <v>13</v>
      </c>
      <c r="F1227" t="s">
        <v>33</v>
      </c>
      <c r="G1227" t="s">
        <v>34</v>
      </c>
      <c r="H1227" s="1">
        <v>125.03</v>
      </c>
      <c r="I1227" t="s">
        <v>24</v>
      </c>
      <c r="J1227">
        <v>2</v>
      </c>
      <c r="K1227">
        <v>7</v>
      </c>
    </row>
    <row r="1228" spans="1:11" x14ac:dyDescent="0.35">
      <c r="A1228" t="s">
        <v>1265</v>
      </c>
      <c r="B1228">
        <v>51</v>
      </c>
      <c r="C1228" t="s">
        <v>18</v>
      </c>
      <c r="D1228" t="s">
        <v>19</v>
      </c>
      <c r="E1228">
        <v>6</v>
      </c>
      <c r="F1228" t="s">
        <v>33</v>
      </c>
      <c r="G1228" t="s">
        <v>27</v>
      </c>
      <c r="H1228" s="1">
        <v>126.06</v>
      </c>
      <c r="I1228" t="s">
        <v>24</v>
      </c>
      <c r="J1228">
        <v>0</v>
      </c>
      <c r="K1228">
        <v>7</v>
      </c>
    </row>
    <row r="1229" spans="1:11" x14ac:dyDescent="0.35">
      <c r="A1229" t="s">
        <v>1266</v>
      </c>
      <c r="B1229">
        <v>74</v>
      </c>
      <c r="C1229" t="s">
        <v>12</v>
      </c>
      <c r="D1229" t="s">
        <v>21</v>
      </c>
      <c r="E1229">
        <v>40</v>
      </c>
      <c r="F1229" t="s">
        <v>31</v>
      </c>
      <c r="G1229" t="s">
        <v>27</v>
      </c>
      <c r="H1229" s="1">
        <v>27.04</v>
      </c>
      <c r="I1229" t="s">
        <v>24</v>
      </c>
      <c r="J1229">
        <v>2</v>
      </c>
      <c r="K1229">
        <v>5</v>
      </c>
    </row>
    <row r="1230" spans="1:11" x14ac:dyDescent="0.35">
      <c r="A1230" t="s">
        <v>1267</v>
      </c>
      <c r="B1230">
        <v>41</v>
      </c>
      <c r="C1230" t="s">
        <v>18</v>
      </c>
      <c r="D1230" t="s">
        <v>21</v>
      </c>
      <c r="E1230">
        <v>44</v>
      </c>
      <c r="F1230" t="s">
        <v>33</v>
      </c>
      <c r="G1230" t="s">
        <v>34</v>
      </c>
      <c r="H1230" s="1">
        <v>153.29</v>
      </c>
      <c r="I1230" t="s">
        <v>24</v>
      </c>
      <c r="J1230">
        <v>3</v>
      </c>
      <c r="K1230">
        <v>1</v>
      </c>
    </row>
    <row r="1231" spans="1:11" x14ac:dyDescent="0.35">
      <c r="A1231" t="s">
        <v>1268</v>
      </c>
      <c r="B1231">
        <v>55</v>
      </c>
      <c r="C1231" t="s">
        <v>12</v>
      </c>
      <c r="D1231" t="s">
        <v>57</v>
      </c>
      <c r="E1231">
        <v>27</v>
      </c>
      <c r="F1231" t="s">
        <v>26</v>
      </c>
      <c r="G1231" t="s">
        <v>27</v>
      </c>
      <c r="H1231" s="1">
        <v>16.510000000000002</v>
      </c>
      <c r="I1231" t="s">
        <v>24</v>
      </c>
      <c r="J1231">
        <v>2</v>
      </c>
      <c r="K1231">
        <v>2</v>
      </c>
    </row>
    <row r="1232" spans="1:11" x14ac:dyDescent="0.35">
      <c r="A1232" t="s">
        <v>1269</v>
      </c>
      <c r="B1232">
        <v>62</v>
      </c>
      <c r="C1232" t="s">
        <v>12</v>
      </c>
      <c r="D1232" t="s">
        <v>21</v>
      </c>
      <c r="E1232">
        <v>22</v>
      </c>
      <c r="F1232" t="s">
        <v>22</v>
      </c>
      <c r="G1232" t="s">
        <v>23</v>
      </c>
      <c r="H1232" s="1">
        <v>326.32</v>
      </c>
      <c r="I1232" t="s">
        <v>43</v>
      </c>
      <c r="J1232">
        <v>1</v>
      </c>
      <c r="K1232">
        <v>3</v>
      </c>
    </row>
    <row r="1233" spans="1:11" x14ac:dyDescent="0.35">
      <c r="A1233" t="s">
        <v>1270</v>
      </c>
      <c r="B1233">
        <v>66</v>
      </c>
      <c r="C1233" t="s">
        <v>12</v>
      </c>
      <c r="D1233" t="s">
        <v>30</v>
      </c>
      <c r="E1233">
        <v>13</v>
      </c>
      <c r="F1233" t="s">
        <v>26</v>
      </c>
      <c r="G1233" t="s">
        <v>15</v>
      </c>
      <c r="H1233" s="1">
        <v>137.51</v>
      </c>
      <c r="I1233" t="s">
        <v>28</v>
      </c>
      <c r="J1233">
        <v>1</v>
      </c>
      <c r="K1233">
        <v>5</v>
      </c>
    </row>
    <row r="1234" spans="1:11" x14ac:dyDescent="0.35">
      <c r="A1234" t="s">
        <v>1271</v>
      </c>
      <c r="B1234">
        <v>24</v>
      </c>
      <c r="C1234" t="s">
        <v>12</v>
      </c>
      <c r="D1234" t="s">
        <v>41</v>
      </c>
      <c r="E1234">
        <v>11</v>
      </c>
      <c r="F1234" t="s">
        <v>33</v>
      </c>
      <c r="G1234" t="s">
        <v>37</v>
      </c>
      <c r="H1234" s="1">
        <v>158.82</v>
      </c>
      <c r="I1234" t="s">
        <v>43</v>
      </c>
      <c r="J1234">
        <v>0</v>
      </c>
      <c r="K1234">
        <v>5</v>
      </c>
    </row>
    <row r="1235" spans="1:11" x14ac:dyDescent="0.35">
      <c r="A1235" t="s">
        <v>1272</v>
      </c>
      <c r="B1235">
        <v>74</v>
      </c>
      <c r="C1235" t="s">
        <v>12</v>
      </c>
      <c r="D1235" t="s">
        <v>19</v>
      </c>
      <c r="E1235">
        <v>6</v>
      </c>
      <c r="F1235" t="s">
        <v>31</v>
      </c>
      <c r="G1235" t="s">
        <v>37</v>
      </c>
      <c r="H1235" s="1">
        <v>112.05</v>
      </c>
      <c r="I1235" t="s">
        <v>24</v>
      </c>
      <c r="J1235">
        <v>0</v>
      </c>
      <c r="K1235">
        <v>7</v>
      </c>
    </row>
    <row r="1236" spans="1:11" x14ac:dyDescent="0.35">
      <c r="A1236" t="s">
        <v>1273</v>
      </c>
      <c r="B1236">
        <v>31</v>
      </c>
      <c r="C1236" t="s">
        <v>18</v>
      </c>
      <c r="D1236" t="s">
        <v>21</v>
      </c>
      <c r="E1236">
        <v>30</v>
      </c>
      <c r="F1236" t="s">
        <v>33</v>
      </c>
      <c r="G1236" t="s">
        <v>27</v>
      </c>
      <c r="H1236" s="1">
        <v>141.28</v>
      </c>
      <c r="I1236" t="s">
        <v>24</v>
      </c>
      <c r="J1236">
        <v>2</v>
      </c>
      <c r="K1236">
        <v>3</v>
      </c>
    </row>
    <row r="1237" spans="1:11" x14ac:dyDescent="0.35">
      <c r="A1237" t="s">
        <v>1274</v>
      </c>
      <c r="B1237">
        <v>18</v>
      </c>
      <c r="C1237" t="s">
        <v>18</v>
      </c>
      <c r="D1237" t="s">
        <v>19</v>
      </c>
      <c r="E1237">
        <v>8</v>
      </c>
      <c r="F1237" t="s">
        <v>14</v>
      </c>
      <c r="G1237" t="s">
        <v>15</v>
      </c>
      <c r="H1237" s="1">
        <v>0</v>
      </c>
      <c r="I1237" t="s">
        <v>16</v>
      </c>
      <c r="J1237">
        <v>0</v>
      </c>
      <c r="K1237">
        <v>10</v>
      </c>
    </row>
    <row r="1238" spans="1:11" x14ac:dyDescent="0.35">
      <c r="A1238" t="s">
        <v>1275</v>
      </c>
      <c r="B1238">
        <v>83</v>
      </c>
      <c r="C1238" t="s">
        <v>18</v>
      </c>
      <c r="D1238" t="s">
        <v>13</v>
      </c>
      <c r="E1238">
        <v>16</v>
      </c>
      <c r="F1238" t="s">
        <v>33</v>
      </c>
      <c r="G1238" t="s">
        <v>37</v>
      </c>
      <c r="H1238" s="1">
        <v>205.97</v>
      </c>
      <c r="I1238" t="s">
        <v>24</v>
      </c>
      <c r="J1238">
        <v>1</v>
      </c>
      <c r="K1238">
        <v>5</v>
      </c>
    </row>
    <row r="1239" spans="1:11" x14ac:dyDescent="0.35">
      <c r="A1239" t="s">
        <v>1276</v>
      </c>
      <c r="B1239">
        <v>48</v>
      </c>
      <c r="C1239" t="s">
        <v>18</v>
      </c>
      <c r="D1239" t="s">
        <v>13</v>
      </c>
      <c r="E1239">
        <v>13</v>
      </c>
      <c r="F1239" t="s">
        <v>22</v>
      </c>
      <c r="G1239" t="s">
        <v>34</v>
      </c>
      <c r="H1239" s="1">
        <v>144.09</v>
      </c>
      <c r="I1239" t="s">
        <v>24</v>
      </c>
      <c r="J1239">
        <v>1</v>
      </c>
      <c r="K1239">
        <v>5</v>
      </c>
    </row>
    <row r="1240" spans="1:11" x14ac:dyDescent="0.35">
      <c r="A1240" t="s">
        <v>1277</v>
      </c>
      <c r="B1240">
        <v>30</v>
      </c>
      <c r="C1240" t="s">
        <v>18</v>
      </c>
      <c r="D1240" t="s">
        <v>13</v>
      </c>
      <c r="E1240">
        <v>18</v>
      </c>
      <c r="F1240" t="s">
        <v>26</v>
      </c>
      <c r="G1240" t="s">
        <v>34</v>
      </c>
      <c r="H1240" s="1">
        <v>147.58000000000001</v>
      </c>
      <c r="I1240" t="s">
        <v>28</v>
      </c>
      <c r="J1240">
        <v>0</v>
      </c>
      <c r="K1240">
        <v>4</v>
      </c>
    </row>
    <row r="1241" spans="1:11" x14ac:dyDescent="0.35">
      <c r="A1241" t="s">
        <v>1278</v>
      </c>
      <c r="B1241">
        <v>18</v>
      </c>
      <c r="C1241" t="s">
        <v>18</v>
      </c>
      <c r="D1241" t="s">
        <v>19</v>
      </c>
      <c r="E1241">
        <v>11</v>
      </c>
      <c r="F1241" t="s">
        <v>22</v>
      </c>
      <c r="G1241" t="s">
        <v>15</v>
      </c>
      <c r="H1241" s="1">
        <v>327.5</v>
      </c>
      <c r="I1241" t="s">
        <v>43</v>
      </c>
      <c r="J1241">
        <v>1</v>
      </c>
      <c r="K1241">
        <v>4</v>
      </c>
    </row>
    <row r="1242" spans="1:11" x14ac:dyDescent="0.35">
      <c r="A1242" t="s">
        <v>1279</v>
      </c>
      <c r="B1242">
        <v>71</v>
      </c>
      <c r="C1242" t="s">
        <v>18</v>
      </c>
      <c r="D1242" t="s">
        <v>13</v>
      </c>
      <c r="E1242">
        <v>22</v>
      </c>
      <c r="F1242" t="s">
        <v>33</v>
      </c>
      <c r="G1242" t="s">
        <v>15</v>
      </c>
      <c r="H1242" s="1">
        <v>223.35</v>
      </c>
      <c r="I1242" t="s">
        <v>24</v>
      </c>
      <c r="J1242">
        <v>1</v>
      </c>
      <c r="K1242">
        <v>2</v>
      </c>
    </row>
    <row r="1243" spans="1:11" x14ac:dyDescent="0.35">
      <c r="A1243" t="s">
        <v>1280</v>
      </c>
      <c r="B1243">
        <v>46</v>
      </c>
      <c r="C1243" t="s">
        <v>18</v>
      </c>
      <c r="D1243" t="s">
        <v>30</v>
      </c>
      <c r="E1243">
        <v>10</v>
      </c>
      <c r="F1243" t="s">
        <v>22</v>
      </c>
      <c r="G1243" t="s">
        <v>37</v>
      </c>
      <c r="H1243" s="1">
        <v>109.93</v>
      </c>
      <c r="I1243" t="s">
        <v>24</v>
      </c>
      <c r="J1243">
        <v>3</v>
      </c>
      <c r="K1243">
        <v>4</v>
      </c>
    </row>
    <row r="1244" spans="1:11" x14ac:dyDescent="0.35">
      <c r="A1244" t="s">
        <v>1281</v>
      </c>
      <c r="B1244">
        <v>83</v>
      </c>
      <c r="C1244" t="s">
        <v>12</v>
      </c>
      <c r="D1244" t="s">
        <v>21</v>
      </c>
      <c r="E1244">
        <v>35</v>
      </c>
      <c r="F1244" t="s">
        <v>22</v>
      </c>
      <c r="G1244" t="s">
        <v>27</v>
      </c>
      <c r="H1244" s="1">
        <v>64.7</v>
      </c>
      <c r="I1244" t="s">
        <v>24</v>
      </c>
      <c r="J1244">
        <v>1</v>
      </c>
      <c r="K1244">
        <v>4</v>
      </c>
    </row>
    <row r="1245" spans="1:11" x14ac:dyDescent="0.35">
      <c r="A1245" t="s">
        <v>1282</v>
      </c>
      <c r="B1245">
        <v>81</v>
      </c>
      <c r="C1245" t="s">
        <v>18</v>
      </c>
      <c r="D1245" t="s">
        <v>21</v>
      </c>
      <c r="E1245">
        <v>31</v>
      </c>
      <c r="F1245" t="s">
        <v>22</v>
      </c>
      <c r="G1245" t="s">
        <v>37</v>
      </c>
      <c r="H1245" s="1">
        <v>158.76</v>
      </c>
      <c r="I1245" t="s">
        <v>43</v>
      </c>
      <c r="J1245">
        <v>2</v>
      </c>
      <c r="K1245">
        <v>5</v>
      </c>
    </row>
    <row r="1246" spans="1:11" x14ac:dyDescent="0.35">
      <c r="A1246" t="s">
        <v>1283</v>
      </c>
      <c r="B1246">
        <v>48</v>
      </c>
      <c r="C1246" t="s">
        <v>12</v>
      </c>
      <c r="D1246" t="s">
        <v>13</v>
      </c>
      <c r="E1246">
        <v>21</v>
      </c>
      <c r="F1246" t="s">
        <v>22</v>
      </c>
      <c r="G1246" t="s">
        <v>37</v>
      </c>
      <c r="H1246" s="1">
        <v>172.36</v>
      </c>
      <c r="I1246" t="s">
        <v>24</v>
      </c>
      <c r="J1246">
        <v>1</v>
      </c>
      <c r="K1246">
        <v>4</v>
      </c>
    </row>
    <row r="1247" spans="1:11" x14ac:dyDescent="0.35">
      <c r="A1247" t="s">
        <v>1284</v>
      </c>
      <c r="B1247">
        <v>20</v>
      </c>
      <c r="C1247" t="s">
        <v>18</v>
      </c>
      <c r="D1247" t="s">
        <v>21</v>
      </c>
      <c r="E1247">
        <v>29</v>
      </c>
      <c r="F1247" t="s">
        <v>22</v>
      </c>
      <c r="G1247" t="s">
        <v>34</v>
      </c>
      <c r="H1247" s="1">
        <v>187.99</v>
      </c>
      <c r="I1247" t="s">
        <v>24</v>
      </c>
      <c r="J1247">
        <v>2</v>
      </c>
      <c r="K1247">
        <v>2</v>
      </c>
    </row>
    <row r="1248" spans="1:11" x14ac:dyDescent="0.35">
      <c r="A1248" t="s">
        <v>1285</v>
      </c>
      <c r="B1248">
        <v>69</v>
      </c>
      <c r="C1248" t="s">
        <v>18</v>
      </c>
      <c r="D1248" t="s">
        <v>21</v>
      </c>
      <c r="E1248">
        <v>36</v>
      </c>
      <c r="F1248" t="s">
        <v>31</v>
      </c>
      <c r="G1248" t="s">
        <v>37</v>
      </c>
      <c r="H1248" s="1">
        <v>118.43</v>
      </c>
      <c r="I1248" t="s">
        <v>24</v>
      </c>
      <c r="J1248">
        <v>1</v>
      </c>
      <c r="K1248">
        <v>2</v>
      </c>
    </row>
    <row r="1249" spans="1:11" x14ac:dyDescent="0.35">
      <c r="A1249" t="s">
        <v>1286</v>
      </c>
      <c r="B1249">
        <v>24</v>
      </c>
      <c r="C1249" t="s">
        <v>18</v>
      </c>
      <c r="D1249" t="s">
        <v>13</v>
      </c>
      <c r="E1249">
        <v>17</v>
      </c>
      <c r="F1249" t="s">
        <v>31</v>
      </c>
      <c r="G1249" t="s">
        <v>15</v>
      </c>
      <c r="H1249" s="1">
        <v>261.45999999999998</v>
      </c>
      <c r="I1249" t="s">
        <v>24</v>
      </c>
      <c r="J1249">
        <v>0</v>
      </c>
      <c r="K1249">
        <v>6</v>
      </c>
    </row>
    <row r="1250" spans="1:11" x14ac:dyDescent="0.35">
      <c r="A1250" t="s">
        <v>1287</v>
      </c>
      <c r="B1250">
        <v>38</v>
      </c>
      <c r="C1250" t="s">
        <v>12</v>
      </c>
      <c r="D1250" t="s">
        <v>19</v>
      </c>
      <c r="E1250">
        <v>20</v>
      </c>
      <c r="F1250" t="s">
        <v>14</v>
      </c>
      <c r="G1250" t="s">
        <v>34</v>
      </c>
      <c r="H1250" s="1">
        <v>0</v>
      </c>
      <c r="I1250" t="s">
        <v>16</v>
      </c>
      <c r="J1250">
        <v>2</v>
      </c>
      <c r="K1250">
        <v>2</v>
      </c>
    </row>
    <row r="1251" spans="1:11" x14ac:dyDescent="0.35">
      <c r="A1251" t="s">
        <v>1288</v>
      </c>
      <c r="B1251">
        <v>81</v>
      </c>
      <c r="C1251" t="s">
        <v>528</v>
      </c>
      <c r="D1251" t="s">
        <v>21</v>
      </c>
      <c r="E1251">
        <v>36</v>
      </c>
      <c r="F1251" t="s">
        <v>33</v>
      </c>
      <c r="G1251" t="s">
        <v>15</v>
      </c>
      <c r="H1251" s="1">
        <v>428.46</v>
      </c>
      <c r="I1251" t="s">
        <v>24</v>
      </c>
      <c r="J1251">
        <v>2</v>
      </c>
      <c r="K1251">
        <v>1</v>
      </c>
    </row>
    <row r="1252" spans="1:11" x14ac:dyDescent="0.35">
      <c r="A1252" t="s">
        <v>1289</v>
      </c>
      <c r="B1252">
        <v>34</v>
      </c>
      <c r="C1252" t="s">
        <v>18</v>
      </c>
      <c r="D1252" t="s">
        <v>19</v>
      </c>
      <c r="E1252">
        <v>9</v>
      </c>
      <c r="F1252" t="s">
        <v>31</v>
      </c>
      <c r="G1252" t="s">
        <v>23</v>
      </c>
      <c r="H1252" s="1">
        <v>513.22</v>
      </c>
      <c r="I1252" t="s">
        <v>24</v>
      </c>
      <c r="J1252">
        <v>2</v>
      </c>
      <c r="K1252">
        <v>8</v>
      </c>
    </row>
    <row r="1253" spans="1:11" x14ac:dyDescent="0.35">
      <c r="A1253" t="s">
        <v>1290</v>
      </c>
      <c r="B1253">
        <v>40</v>
      </c>
      <c r="C1253" t="s">
        <v>18</v>
      </c>
      <c r="D1253" t="s">
        <v>19</v>
      </c>
      <c r="E1253">
        <v>7</v>
      </c>
      <c r="F1253" t="s">
        <v>22</v>
      </c>
      <c r="G1253" t="s">
        <v>23</v>
      </c>
      <c r="H1253" s="1">
        <v>266.92</v>
      </c>
      <c r="I1253" t="s">
        <v>24</v>
      </c>
      <c r="J1253">
        <v>0</v>
      </c>
      <c r="K1253">
        <v>10</v>
      </c>
    </row>
    <row r="1254" spans="1:11" x14ac:dyDescent="0.35">
      <c r="A1254" t="s">
        <v>1291</v>
      </c>
      <c r="B1254">
        <v>28</v>
      </c>
      <c r="C1254" t="s">
        <v>18</v>
      </c>
      <c r="D1254" t="s">
        <v>30</v>
      </c>
      <c r="E1254">
        <v>2</v>
      </c>
      <c r="F1254" t="s">
        <v>26</v>
      </c>
      <c r="G1254" t="s">
        <v>15</v>
      </c>
      <c r="H1254" s="1">
        <v>181.14</v>
      </c>
      <c r="I1254" t="s">
        <v>24</v>
      </c>
      <c r="J1254">
        <v>0</v>
      </c>
      <c r="K1254">
        <v>7</v>
      </c>
    </row>
    <row r="1255" spans="1:11" x14ac:dyDescent="0.35">
      <c r="A1255" t="s">
        <v>1292</v>
      </c>
      <c r="B1255">
        <v>75</v>
      </c>
      <c r="C1255" t="s">
        <v>18</v>
      </c>
      <c r="D1255" t="s">
        <v>19</v>
      </c>
      <c r="E1255">
        <v>15</v>
      </c>
      <c r="F1255" t="s">
        <v>31</v>
      </c>
      <c r="G1255" t="s">
        <v>37</v>
      </c>
      <c r="H1255" s="1">
        <v>200.29</v>
      </c>
      <c r="I1255" t="s">
        <v>43</v>
      </c>
      <c r="J1255">
        <v>0</v>
      </c>
      <c r="K1255">
        <v>8</v>
      </c>
    </row>
    <row r="1256" spans="1:11" x14ac:dyDescent="0.35">
      <c r="A1256" t="s">
        <v>1293</v>
      </c>
      <c r="B1256">
        <v>64</v>
      </c>
      <c r="C1256" t="s">
        <v>12</v>
      </c>
      <c r="D1256" t="s">
        <v>13</v>
      </c>
      <c r="E1256">
        <v>20</v>
      </c>
      <c r="F1256" t="s">
        <v>33</v>
      </c>
      <c r="G1256" t="s">
        <v>15</v>
      </c>
      <c r="H1256" s="1">
        <v>185.81</v>
      </c>
      <c r="I1256" t="s">
        <v>24</v>
      </c>
      <c r="J1256">
        <v>2</v>
      </c>
      <c r="K1256">
        <v>1</v>
      </c>
    </row>
    <row r="1257" spans="1:11" x14ac:dyDescent="0.35">
      <c r="A1257" t="s">
        <v>1294</v>
      </c>
      <c r="B1257">
        <v>37</v>
      </c>
      <c r="C1257" t="s">
        <v>12</v>
      </c>
      <c r="D1257" t="s">
        <v>19</v>
      </c>
      <c r="E1257">
        <v>15</v>
      </c>
      <c r="F1257" t="s">
        <v>14</v>
      </c>
      <c r="G1257" t="s">
        <v>23</v>
      </c>
      <c r="H1257" s="1">
        <v>0</v>
      </c>
      <c r="I1257" t="s">
        <v>16</v>
      </c>
      <c r="J1257">
        <v>2</v>
      </c>
      <c r="K1257">
        <v>8</v>
      </c>
    </row>
    <row r="1258" spans="1:11" x14ac:dyDescent="0.35">
      <c r="A1258" t="s">
        <v>1295</v>
      </c>
      <c r="B1258">
        <v>29</v>
      </c>
      <c r="C1258" t="s">
        <v>12</v>
      </c>
      <c r="D1258" t="s">
        <v>57</v>
      </c>
      <c r="E1258">
        <v>46</v>
      </c>
      <c r="F1258" t="s">
        <v>33</v>
      </c>
      <c r="G1258" t="s">
        <v>34</v>
      </c>
      <c r="H1258" s="1">
        <v>151.87</v>
      </c>
      <c r="I1258" t="s">
        <v>24</v>
      </c>
      <c r="J1258">
        <v>2</v>
      </c>
      <c r="K1258">
        <v>1</v>
      </c>
    </row>
    <row r="1259" spans="1:11" x14ac:dyDescent="0.35">
      <c r="A1259" t="s">
        <v>1296</v>
      </c>
      <c r="B1259">
        <v>73</v>
      </c>
      <c r="C1259" t="s">
        <v>12</v>
      </c>
      <c r="D1259" t="s">
        <v>19</v>
      </c>
      <c r="E1259">
        <v>6</v>
      </c>
      <c r="F1259" t="s">
        <v>22</v>
      </c>
      <c r="G1259" t="s">
        <v>23</v>
      </c>
      <c r="H1259" s="1">
        <v>556.27</v>
      </c>
      <c r="I1259" t="s">
        <v>28</v>
      </c>
      <c r="J1259">
        <v>0</v>
      </c>
      <c r="K1259">
        <v>9</v>
      </c>
    </row>
    <row r="1260" spans="1:11" x14ac:dyDescent="0.35">
      <c r="A1260" t="s">
        <v>1297</v>
      </c>
      <c r="B1260">
        <v>40</v>
      </c>
      <c r="C1260" t="s">
        <v>12</v>
      </c>
      <c r="D1260" t="s">
        <v>21</v>
      </c>
      <c r="E1260">
        <v>26</v>
      </c>
      <c r="F1260" t="s">
        <v>31</v>
      </c>
      <c r="G1260" t="s">
        <v>23</v>
      </c>
      <c r="H1260" s="1">
        <v>178.39</v>
      </c>
      <c r="I1260" t="s">
        <v>24</v>
      </c>
      <c r="J1260">
        <v>3</v>
      </c>
      <c r="K1260">
        <v>2</v>
      </c>
    </row>
    <row r="1261" spans="1:11" x14ac:dyDescent="0.35">
      <c r="A1261" t="s">
        <v>1298</v>
      </c>
      <c r="B1261">
        <v>34</v>
      </c>
      <c r="C1261" t="s">
        <v>18</v>
      </c>
      <c r="D1261" t="s">
        <v>21</v>
      </c>
      <c r="E1261">
        <v>25</v>
      </c>
      <c r="F1261" t="s">
        <v>33</v>
      </c>
      <c r="G1261" t="s">
        <v>37</v>
      </c>
      <c r="H1261" s="1">
        <v>216.3</v>
      </c>
      <c r="I1261" t="s">
        <v>24</v>
      </c>
      <c r="J1261">
        <v>1</v>
      </c>
      <c r="K1261">
        <v>4</v>
      </c>
    </row>
    <row r="1262" spans="1:11" x14ac:dyDescent="0.35">
      <c r="A1262" t="s">
        <v>1299</v>
      </c>
      <c r="B1262">
        <v>33</v>
      </c>
      <c r="C1262" t="s">
        <v>12</v>
      </c>
      <c r="D1262" t="s">
        <v>13</v>
      </c>
      <c r="E1262">
        <v>13</v>
      </c>
      <c r="F1262" t="s">
        <v>33</v>
      </c>
      <c r="G1262" t="s">
        <v>23</v>
      </c>
      <c r="H1262" s="1">
        <v>98.17</v>
      </c>
      <c r="I1262" t="s">
        <v>24</v>
      </c>
      <c r="J1262">
        <v>1</v>
      </c>
      <c r="K1262">
        <v>5</v>
      </c>
    </row>
    <row r="1263" spans="1:11" x14ac:dyDescent="0.35">
      <c r="A1263" t="s">
        <v>1300</v>
      </c>
      <c r="B1263">
        <v>43</v>
      </c>
      <c r="C1263" t="s">
        <v>18</v>
      </c>
      <c r="D1263" t="s">
        <v>19</v>
      </c>
      <c r="E1263">
        <v>8</v>
      </c>
      <c r="F1263" t="s">
        <v>26</v>
      </c>
      <c r="G1263" t="s">
        <v>23</v>
      </c>
      <c r="H1263" s="1">
        <v>232.63</v>
      </c>
      <c r="I1263" t="s">
        <v>24</v>
      </c>
      <c r="J1263">
        <v>0</v>
      </c>
      <c r="K1263">
        <v>9</v>
      </c>
    </row>
    <row r="1264" spans="1:11" x14ac:dyDescent="0.35">
      <c r="A1264" t="s">
        <v>1301</v>
      </c>
      <c r="B1264">
        <v>25</v>
      </c>
      <c r="C1264" t="s">
        <v>12</v>
      </c>
      <c r="D1264" t="s">
        <v>13</v>
      </c>
      <c r="E1264">
        <v>24</v>
      </c>
      <c r="F1264" t="s">
        <v>31</v>
      </c>
      <c r="G1264" t="s">
        <v>34</v>
      </c>
      <c r="H1264" s="1">
        <v>189.37</v>
      </c>
      <c r="I1264" t="s">
        <v>24</v>
      </c>
      <c r="J1264">
        <v>1</v>
      </c>
      <c r="K1264">
        <v>3</v>
      </c>
    </row>
    <row r="1265" spans="1:11" x14ac:dyDescent="0.35">
      <c r="A1265" t="s">
        <v>1302</v>
      </c>
      <c r="B1265">
        <v>54</v>
      </c>
      <c r="C1265" t="s">
        <v>18</v>
      </c>
      <c r="D1265" t="s">
        <v>30</v>
      </c>
      <c r="E1265">
        <v>14</v>
      </c>
      <c r="F1265" t="s">
        <v>14</v>
      </c>
      <c r="G1265" t="s">
        <v>23</v>
      </c>
      <c r="H1265" s="1">
        <v>0</v>
      </c>
      <c r="I1265" t="s">
        <v>16</v>
      </c>
      <c r="J1265">
        <v>2</v>
      </c>
      <c r="K1265">
        <v>8</v>
      </c>
    </row>
    <row r="1266" spans="1:11" x14ac:dyDescent="0.35">
      <c r="A1266" t="s">
        <v>1303</v>
      </c>
      <c r="B1266">
        <v>31</v>
      </c>
      <c r="C1266" t="s">
        <v>12</v>
      </c>
      <c r="D1266" t="s">
        <v>19</v>
      </c>
      <c r="E1266">
        <v>11</v>
      </c>
      <c r="F1266" t="s">
        <v>33</v>
      </c>
      <c r="G1266" t="s">
        <v>34</v>
      </c>
      <c r="H1266" s="1">
        <v>139.22999999999999</v>
      </c>
      <c r="I1266" t="s">
        <v>24</v>
      </c>
      <c r="J1266">
        <v>0</v>
      </c>
      <c r="K1266">
        <v>5</v>
      </c>
    </row>
    <row r="1267" spans="1:11" x14ac:dyDescent="0.35">
      <c r="A1267" t="s">
        <v>1304</v>
      </c>
      <c r="B1267">
        <v>36</v>
      </c>
      <c r="C1267" t="s">
        <v>12</v>
      </c>
      <c r="D1267" t="s">
        <v>21</v>
      </c>
      <c r="E1267">
        <v>16</v>
      </c>
      <c r="F1267" t="s">
        <v>26</v>
      </c>
      <c r="G1267" t="s">
        <v>15</v>
      </c>
      <c r="H1267" s="1">
        <v>120.14</v>
      </c>
      <c r="I1267" t="s">
        <v>24</v>
      </c>
      <c r="J1267">
        <v>3</v>
      </c>
      <c r="K1267">
        <v>5</v>
      </c>
    </row>
    <row r="1268" spans="1:11" x14ac:dyDescent="0.35">
      <c r="A1268" t="s">
        <v>1305</v>
      </c>
      <c r="B1268">
        <v>80</v>
      </c>
      <c r="C1268" t="s">
        <v>12</v>
      </c>
      <c r="D1268" t="s">
        <v>19</v>
      </c>
      <c r="E1268">
        <v>8</v>
      </c>
      <c r="F1268" t="s">
        <v>33</v>
      </c>
      <c r="G1268" t="s">
        <v>27</v>
      </c>
      <c r="H1268" s="1">
        <v>161.22999999999999</v>
      </c>
      <c r="I1268" t="s">
        <v>24</v>
      </c>
      <c r="J1268">
        <v>1</v>
      </c>
      <c r="K1268">
        <v>7</v>
      </c>
    </row>
    <row r="1269" spans="1:11" x14ac:dyDescent="0.35">
      <c r="A1269" t="s">
        <v>1306</v>
      </c>
      <c r="B1269">
        <v>77</v>
      </c>
      <c r="C1269" t="s">
        <v>18</v>
      </c>
      <c r="D1269" t="s">
        <v>13</v>
      </c>
      <c r="E1269">
        <v>10</v>
      </c>
      <c r="F1269" t="s">
        <v>26</v>
      </c>
      <c r="G1269" t="s">
        <v>15</v>
      </c>
      <c r="H1269" s="1">
        <v>345.51</v>
      </c>
      <c r="I1269" t="s">
        <v>24</v>
      </c>
      <c r="J1269">
        <v>0</v>
      </c>
      <c r="K1269">
        <v>7</v>
      </c>
    </row>
    <row r="1270" spans="1:11" x14ac:dyDescent="0.35">
      <c r="A1270" t="s">
        <v>1307</v>
      </c>
      <c r="B1270">
        <v>61</v>
      </c>
      <c r="C1270" t="s">
        <v>12</v>
      </c>
      <c r="D1270" t="s">
        <v>41</v>
      </c>
      <c r="E1270">
        <v>10</v>
      </c>
      <c r="F1270" t="s">
        <v>31</v>
      </c>
      <c r="G1270" t="s">
        <v>37</v>
      </c>
      <c r="H1270" s="1">
        <v>104.25</v>
      </c>
      <c r="I1270" t="s">
        <v>24</v>
      </c>
      <c r="J1270">
        <v>3</v>
      </c>
      <c r="K1270">
        <v>7</v>
      </c>
    </row>
    <row r="1271" spans="1:11" x14ac:dyDescent="0.35">
      <c r="A1271" t="s">
        <v>1308</v>
      </c>
      <c r="B1271">
        <v>62</v>
      </c>
      <c r="C1271" t="s">
        <v>18</v>
      </c>
      <c r="D1271" t="s">
        <v>13</v>
      </c>
      <c r="E1271">
        <v>6</v>
      </c>
      <c r="F1271" t="s">
        <v>26</v>
      </c>
      <c r="G1271" t="s">
        <v>23</v>
      </c>
      <c r="H1271" s="1">
        <v>557.62</v>
      </c>
      <c r="I1271" t="s">
        <v>24</v>
      </c>
      <c r="J1271">
        <v>0</v>
      </c>
      <c r="K1271">
        <v>8</v>
      </c>
    </row>
    <row r="1272" spans="1:11" x14ac:dyDescent="0.35">
      <c r="A1272" t="s">
        <v>1309</v>
      </c>
      <c r="B1272">
        <v>50</v>
      </c>
      <c r="C1272" t="s">
        <v>18</v>
      </c>
      <c r="D1272" t="s">
        <v>13</v>
      </c>
      <c r="E1272">
        <v>14</v>
      </c>
      <c r="F1272" t="s">
        <v>22</v>
      </c>
      <c r="G1272" t="s">
        <v>27</v>
      </c>
      <c r="H1272" s="1">
        <v>70.319999999999993</v>
      </c>
      <c r="I1272" t="s">
        <v>24</v>
      </c>
      <c r="J1272">
        <v>3</v>
      </c>
      <c r="K1272">
        <v>4</v>
      </c>
    </row>
    <row r="1273" spans="1:11" x14ac:dyDescent="0.35">
      <c r="A1273" t="s">
        <v>1310</v>
      </c>
      <c r="B1273">
        <v>58</v>
      </c>
      <c r="C1273" t="s">
        <v>12</v>
      </c>
      <c r="D1273" t="s">
        <v>30</v>
      </c>
      <c r="E1273">
        <v>12</v>
      </c>
      <c r="F1273" t="s">
        <v>22</v>
      </c>
      <c r="G1273" t="s">
        <v>34</v>
      </c>
      <c r="H1273" s="1">
        <v>176.2</v>
      </c>
      <c r="I1273" t="s">
        <v>28</v>
      </c>
      <c r="J1273">
        <v>0</v>
      </c>
      <c r="K1273">
        <v>6</v>
      </c>
    </row>
    <row r="1274" spans="1:11" x14ac:dyDescent="0.35">
      <c r="A1274" t="s">
        <v>1311</v>
      </c>
      <c r="B1274">
        <v>39</v>
      </c>
      <c r="C1274" t="s">
        <v>12</v>
      </c>
      <c r="D1274" t="s">
        <v>200</v>
      </c>
      <c r="E1274">
        <v>6</v>
      </c>
      <c r="F1274" t="s">
        <v>22</v>
      </c>
      <c r="G1274" t="s">
        <v>34</v>
      </c>
      <c r="H1274" s="1">
        <v>133.31</v>
      </c>
      <c r="I1274" t="s">
        <v>24</v>
      </c>
      <c r="J1274">
        <v>0</v>
      </c>
      <c r="K1274">
        <v>8</v>
      </c>
    </row>
    <row r="1275" spans="1:11" x14ac:dyDescent="0.35">
      <c r="A1275" t="s">
        <v>1312</v>
      </c>
      <c r="B1275">
        <v>79</v>
      </c>
      <c r="C1275" t="s">
        <v>18</v>
      </c>
      <c r="D1275" t="s">
        <v>30</v>
      </c>
      <c r="E1275">
        <v>6</v>
      </c>
      <c r="F1275" t="s">
        <v>14</v>
      </c>
      <c r="G1275" t="s">
        <v>37</v>
      </c>
      <c r="H1275" s="1">
        <v>0</v>
      </c>
      <c r="I1275" t="s">
        <v>16</v>
      </c>
      <c r="J1275">
        <v>0</v>
      </c>
      <c r="K1275">
        <v>9</v>
      </c>
    </row>
    <row r="1276" spans="1:11" x14ac:dyDescent="0.35">
      <c r="A1276" t="s">
        <v>1313</v>
      </c>
      <c r="B1276">
        <v>23</v>
      </c>
      <c r="C1276" t="s">
        <v>18</v>
      </c>
      <c r="D1276" t="s">
        <v>21</v>
      </c>
      <c r="E1276">
        <v>17</v>
      </c>
      <c r="F1276" t="s">
        <v>31</v>
      </c>
      <c r="G1276" t="s">
        <v>15</v>
      </c>
      <c r="H1276" s="1">
        <v>380</v>
      </c>
      <c r="I1276" t="s">
        <v>24</v>
      </c>
      <c r="J1276">
        <v>3</v>
      </c>
      <c r="K1276">
        <v>4</v>
      </c>
    </row>
    <row r="1277" spans="1:11" x14ac:dyDescent="0.35">
      <c r="A1277" t="s">
        <v>1314</v>
      </c>
      <c r="B1277">
        <v>57</v>
      </c>
      <c r="C1277" t="s">
        <v>12</v>
      </c>
      <c r="D1277" t="s">
        <v>30</v>
      </c>
      <c r="E1277">
        <v>4</v>
      </c>
      <c r="F1277" t="s">
        <v>33</v>
      </c>
      <c r="G1277" t="s">
        <v>15</v>
      </c>
      <c r="H1277" s="1">
        <v>187.73</v>
      </c>
      <c r="I1277" t="s">
        <v>24</v>
      </c>
      <c r="J1277">
        <v>1</v>
      </c>
      <c r="K1277">
        <v>8</v>
      </c>
    </row>
    <row r="1278" spans="1:11" x14ac:dyDescent="0.35">
      <c r="A1278" t="s">
        <v>1315</v>
      </c>
      <c r="B1278">
        <v>58</v>
      </c>
      <c r="C1278" t="s">
        <v>12</v>
      </c>
      <c r="D1278" t="s">
        <v>13</v>
      </c>
      <c r="E1278">
        <v>16</v>
      </c>
      <c r="F1278" t="s">
        <v>22</v>
      </c>
      <c r="G1278" t="s">
        <v>15</v>
      </c>
      <c r="H1278" s="1">
        <v>191.67</v>
      </c>
      <c r="I1278" t="s">
        <v>24</v>
      </c>
      <c r="J1278">
        <v>0</v>
      </c>
      <c r="K1278">
        <v>6</v>
      </c>
    </row>
    <row r="1279" spans="1:11" x14ac:dyDescent="0.35">
      <c r="A1279" t="s">
        <v>1316</v>
      </c>
      <c r="B1279">
        <v>39</v>
      </c>
      <c r="C1279" t="s">
        <v>18</v>
      </c>
      <c r="D1279" t="s">
        <v>19</v>
      </c>
      <c r="E1279">
        <v>12</v>
      </c>
      <c r="F1279" t="s">
        <v>26</v>
      </c>
      <c r="G1279" t="s">
        <v>34</v>
      </c>
      <c r="H1279" s="1">
        <v>107.85</v>
      </c>
      <c r="I1279" t="s">
        <v>28</v>
      </c>
      <c r="J1279">
        <v>1</v>
      </c>
      <c r="K1279">
        <v>6</v>
      </c>
    </row>
    <row r="1280" spans="1:11" x14ac:dyDescent="0.35">
      <c r="A1280" t="s">
        <v>1317</v>
      </c>
      <c r="B1280">
        <v>53</v>
      </c>
      <c r="C1280" t="s">
        <v>18</v>
      </c>
      <c r="D1280" t="s">
        <v>21</v>
      </c>
      <c r="E1280">
        <v>29</v>
      </c>
      <c r="F1280" t="s">
        <v>33</v>
      </c>
      <c r="G1280" t="s">
        <v>27</v>
      </c>
      <c r="H1280" s="1">
        <v>154.69999999999999</v>
      </c>
      <c r="I1280" t="s">
        <v>24</v>
      </c>
      <c r="J1280">
        <v>1</v>
      </c>
      <c r="K1280">
        <v>1</v>
      </c>
    </row>
    <row r="1281" spans="1:11" x14ac:dyDescent="0.35">
      <c r="A1281" t="s">
        <v>1318</v>
      </c>
      <c r="B1281">
        <v>57</v>
      </c>
      <c r="C1281" t="s">
        <v>12</v>
      </c>
      <c r="D1281" t="s">
        <v>21</v>
      </c>
      <c r="E1281">
        <v>46</v>
      </c>
      <c r="F1281" t="s">
        <v>31</v>
      </c>
      <c r="G1281" t="s">
        <v>27</v>
      </c>
      <c r="H1281" s="1">
        <v>97.61</v>
      </c>
      <c r="I1281" t="s">
        <v>28</v>
      </c>
      <c r="J1281">
        <v>2</v>
      </c>
      <c r="K1281">
        <v>4</v>
      </c>
    </row>
    <row r="1282" spans="1:11" x14ac:dyDescent="0.35">
      <c r="A1282" t="s">
        <v>1319</v>
      </c>
      <c r="B1282">
        <v>74</v>
      </c>
      <c r="C1282" t="s">
        <v>12</v>
      </c>
      <c r="D1282" t="s">
        <v>19</v>
      </c>
      <c r="E1282">
        <v>9</v>
      </c>
      <c r="F1282" t="s">
        <v>26</v>
      </c>
      <c r="G1282" t="s">
        <v>15</v>
      </c>
      <c r="H1282" s="1">
        <v>343.49</v>
      </c>
      <c r="I1282" t="s">
        <v>24</v>
      </c>
      <c r="J1282">
        <v>0</v>
      </c>
      <c r="K1282">
        <v>6</v>
      </c>
    </row>
    <row r="1283" spans="1:11" x14ac:dyDescent="0.35">
      <c r="A1283" t="s">
        <v>1320</v>
      </c>
      <c r="B1283">
        <v>66</v>
      </c>
      <c r="C1283" t="s">
        <v>12</v>
      </c>
      <c r="D1283" t="s">
        <v>21</v>
      </c>
      <c r="E1283">
        <v>40</v>
      </c>
      <c r="F1283" t="s">
        <v>31</v>
      </c>
      <c r="G1283" t="s">
        <v>37</v>
      </c>
      <c r="H1283" s="1">
        <v>142.94</v>
      </c>
      <c r="I1283" t="s">
        <v>24</v>
      </c>
      <c r="J1283">
        <v>1</v>
      </c>
      <c r="K1283">
        <v>1</v>
      </c>
    </row>
    <row r="1284" spans="1:11" x14ac:dyDescent="0.35">
      <c r="A1284" t="s">
        <v>1321</v>
      </c>
      <c r="B1284">
        <v>42</v>
      </c>
      <c r="C1284" t="s">
        <v>18</v>
      </c>
      <c r="D1284" t="s">
        <v>13</v>
      </c>
      <c r="E1284">
        <v>14</v>
      </c>
      <c r="F1284" t="s">
        <v>26</v>
      </c>
      <c r="G1284" t="s">
        <v>23</v>
      </c>
      <c r="H1284" s="1">
        <v>136.63999999999999</v>
      </c>
      <c r="I1284" t="s">
        <v>28</v>
      </c>
      <c r="J1284">
        <v>3</v>
      </c>
      <c r="K1284">
        <v>7</v>
      </c>
    </row>
    <row r="1285" spans="1:11" x14ac:dyDescent="0.35">
      <c r="A1285" t="s">
        <v>1322</v>
      </c>
      <c r="B1285">
        <v>58</v>
      </c>
      <c r="C1285" t="s">
        <v>12</v>
      </c>
      <c r="D1285" t="s">
        <v>19</v>
      </c>
      <c r="E1285">
        <v>18</v>
      </c>
      <c r="F1285" t="s">
        <v>22</v>
      </c>
      <c r="G1285" t="s">
        <v>37</v>
      </c>
      <c r="H1285" s="1">
        <v>186.12</v>
      </c>
      <c r="I1285" t="s">
        <v>28</v>
      </c>
      <c r="J1285">
        <v>1</v>
      </c>
      <c r="K1285">
        <v>4</v>
      </c>
    </row>
    <row r="1286" spans="1:11" x14ac:dyDescent="0.35">
      <c r="A1286" t="s">
        <v>1323</v>
      </c>
      <c r="B1286">
        <v>42</v>
      </c>
      <c r="C1286" t="s">
        <v>18</v>
      </c>
      <c r="D1286" t="s">
        <v>30</v>
      </c>
      <c r="E1286">
        <v>14</v>
      </c>
      <c r="F1286" t="s">
        <v>22</v>
      </c>
      <c r="G1286" t="s">
        <v>37</v>
      </c>
      <c r="H1286" s="1">
        <v>199.73</v>
      </c>
      <c r="I1286" t="s">
        <v>28</v>
      </c>
      <c r="J1286">
        <v>0</v>
      </c>
      <c r="K1286">
        <v>5</v>
      </c>
    </row>
    <row r="1287" spans="1:11" x14ac:dyDescent="0.35">
      <c r="A1287" t="s">
        <v>1324</v>
      </c>
      <c r="B1287">
        <v>51</v>
      </c>
      <c r="C1287" t="s">
        <v>12</v>
      </c>
      <c r="D1287" t="s">
        <v>21</v>
      </c>
      <c r="E1287">
        <v>28</v>
      </c>
      <c r="F1287" t="s">
        <v>31</v>
      </c>
      <c r="G1287" t="s">
        <v>15</v>
      </c>
      <c r="H1287" s="1">
        <v>226.27</v>
      </c>
      <c r="I1287" t="s">
        <v>24</v>
      </c>
      <c r="J1287">
        <v>4</v>
      </c>
      <c r="K1287">
        <v>5</v>
      </c>
    </row>
    <row r="1288" spans="1:11" x14ac:dyDescent="0.35">
      <c r="A1288" t="s">
        <v>1325</v>
      </c>
      <c r="B1288">
        <v>56</v>
      </c>
      <c r="C1288" t="s">
        <v>12</v>
      </c>
      <c r="D1288" t="s">
        <v>13</v>
      </c>
      <c r="E1288">
        <v>14</v>
      </c>
      <c r="F1288" t="s">
        <v>31</v>
      </c>
      <c r="G1288" t="s">
        <v>37</v>
      </c>
      <c r="H1288" s="1">
        <v>128.62</v>
      </c>
      <c r="I1288" t="s">
        <v>24</v>
      </c>
      <c r="J1288">
        <v>1</v>
      </c>
      <c r="K1288">
        <v>5</v>
      </c>
    </row>
    <row r="1289" spans="1:11" x14ac:dyDescent="0.35">
      <c r="A1289" t="s">
        <v>1326</v>
      </c>
      <c r="B1289">
        <v>57</v>
      </c>
      <c r="C1289" t="s">
        <v>18</v>
      </c>
      <c r="D1289" t="s">
        <v>13</v>
      </c>
      <c r="E1289">
        <v>12</v>
      </c>
      <c r="F1289" t="s">
        <v>31</v>
      </c>
      <c r="G1289" t="s">
        <v>27</v>
      </c>
      <c r="H1289" s="1">
        <v>39.31</v>
      </c>
      <c r="I1289" t="s">
        <v>24</v>
      </c>
      <c r="J1289">
        <v>0</v>
      </c>
      <c r="K1289">
        <v>8</v>
      </c>
    </row>
    <row r="1290" spans="1:11" x14ac:dyDescent="0.35">
      <c r="A1290" t="s">
        <v>1327</v>
      </c>
      <c r="B1290">
        <v>31</v>
      </c>
      <c r="C1290" t="s">
        <v>12</v>
      </c>
      <c r="D1290" t="s">
        <v>30</v>
      </c>
      <c r="E1290">
        <v>9</v>
      </c>
      <c r="F1290" t="s">
        <v>14</v>
      </c>
      <c r="G1290" t="s">
        <v>27</v>
      </c>
      <c r="H1290" s="1">
        <v>0</v>
      </c>
      <c r="I1290" t="s">
        <v>16</v>
      </c>
      <c r="J1290">
        <v>0</v>
      </c>
      <c r="K1290">
        <v>8</v>
      </c>
    </row>
    <row r="1291" spans="1:11" x14ac:dyDescent="0.35">
      <c r="A1291" t="s">
        <v>1328</v>
      </c>
      <c r="B1291">
        <v>83</v>
      </c>
      <c r="C1291" t="s">
        <v>12</v>
      </c>
      <c r="D1291" t="s">
        <v>19</v>
      </c>
      <c r="E1291">
        <v>15</v>
      </c>
      <c r="F1291" t="s">
        <v>22</v>
      </c>
      <c r="G1291" t="s">
        <v>27</v>
      </c>
      <c r="H1291" s="1">
        <v>151.84</v>
      </c>
      <c r="I1291" t="s">
        <v>24</v>
      </c>
      <c r="J1291">
        <v>3</v>
      </c>
      <c r="K1291">
        <v>8</v>
      </c>
    </row>
    <row r="1292" spans="1:11" x14ac:dyDescent="0.35">
      <c r="A1292" t="s">
        <v>1329</v>
      </c>
      <c r="B1292">
        <v>20</v>
      </c>
      <c r="C1292" t="s">
        <v>12</v>
      </c>
      <c r="D1292" t="s">
        <v>30</v>
      </c>
      <c r="E1292">
        <v>8</v>
      </c>
      <c r="F1292" t="s">
        <v>14</v>
      </c>
      <c r="G1292" t="s">
        <v>27</v>
      </c>
      <c r="H1292" s="1">
        <v>0</v>
      </c>
      <c r="I1292" t="s">
        <v>16</v>
      </c>
      <c r="J1292">
        <v>0</v>
      </c>
      <c r="K1292">
        <v>8</v>
      </c>
    </row>
    <row r="1293" spans="1:11" x14ac:dyDescent="0.35">
      <c r="A1293" t="s">
        <v>1330</v>
      </c>
      <c r="B1293">
        <v>48</v>
      </c>
      <c r="C1293" t="s">
        <v>18</v>
      </c>
      <c r="D1293" t="s">
        <v>30</v>
      </c>
      <c r="E1293">
        <v>7</v>
      </c>
      <c r="F1293" t="s">
        <v>22</v>
      </c>
      <c r="G1293" t="s">
        <v>34</v>
      </c>
      <c r="H1293" s="1">
        <v>157.51</v>
      </c>
      <c r="I1293" t="s">
        <v>43</v>
      </c>
      <c r="J1293">
        <v>1</v>
      </c>
      <c r="K1293">
        <v>7</v>
      </c>
    </row>
    <row r="1294" spans="1:11" x14ac:dyDescent="0.35">
      <c r="A1294" t="s">
        <v>1331</v>
      </c>
      <c r="B1294">
        <v>61</v>
      </c>
      <c r="C1294" t="s">
        <v>18</v>
      </c>
      <c r="D1294" t="s">
        <v>13</v>
      </c>
      <c r="E1294">
        <v>13</v>
      </c>
      <c r="F1294" t="s">
        <v>22</v>
      </c>
      <c r="G1294" t="s">
        <v>27</v>
      </c>
      <c r="H1294" s="1">
        <v>128.37</v>
      </c>
      <c r="I1294" t="s">
        <v>24</v>
      </c>
      <c r="J1294">
        <v>2</v>
      </c>
      <c r="K1294">
        <v>7</v>
      </c>
    </row>
    <row r="1295" spans="1:11" x14ac:dyDescent="0.35">
      <c r="A1295" t="s">
        <v>1332</v>
      </c>
      <c r="B1295">
        <v>52</v>
      </c>
      <c r="C1295" t="s">
        <v>12</v>
      </c>
      <c r="D1295" t="s">
        <v>21</v>
      </c>
      <c r="E1295">
        <v>24</v>
      </c>
      <c r="F1295" t="s">
        <v>22</v>
      </c>
      <c r="G1295" t="s">
        <v>34</v>
      </c>
      <c r="H1295" s="1">
        <v>217.86</v>
      </c>
      <c r="I1295" t="s">
        <v>24</v>
      </c>
      <c r="J1295">
        <v>2</v>
      </c>
      <c r="K1295">
        <v>2</v>
      </c>
    </row>
    <row r="1296" spans="1:11" x14ac:dyDescent="0.35">
      <c r="A1296" t="s">
        <v>1333</v>
      </c>
      <c r="B1296">
        <v>38</v>
      </c>
      <c r="C1296" t="s">
        <v>12</v>
      </c>
      <c r="D1296" t="s">
        <v>30</v>
      </c>
      <c r="E1296">
        <v>3</v>
      </c>
      <c r="F1296" t="s">
        <v>22</v>
      </c>
      <c r="G1296" t="s">
        <v>34</v>
      </c>
      <c r="H1296" s="1">
        <v>132.88</v>
      </c>
      <c r="I1296" t="s">
        <v>24</v>
      </c>
      <c r="J1296">
        <v>0</v>
      </c>
      <c r="K1296">
        <v>7</v>
      </c>
    </row>
    <row r="1297" spans="1:11" x14ac:dyDescent="0.35">
      <c r="A1297" t="s">
        <v>1334</v>
      </c>
      <c r="B1297">
        <v>42</v>
      </c>
      <c r="C1297" t="s">
        <v>18</v>
      </c>
      <c r="D1297" t="s">
        <v>13</v>
      </c>
      <c r="E1297">
        <v>16</v>
      </c>
      <c r="F1297" t="s">
        <v>33</v>
      </c>
      <c r="G1297" t="s">
        <v>37</v>
      </c>
      <c r="H1297" s="1">
        <v>107.67</v>
      </c>
      <c r="I1297" t="s">
        <v>24</v>
      </c>
      <c r="J1297">
        <v>3</v>
      </c>
      <c r="K1297">
        <v>8</v>
      </c>
    </row>
    <row r="1298" spans="1:11" x14ac:dyDescent="0.35">
      <c r="A1298" t="s">
        <v>1335</v>
      </c>
      <c r="B1298">
        <v>75</v>
      </c>
      <c r="C1298" t="s">
        <v>18</v>
      </c>
      <c r="D1298" t="s">
        <v>19</v>
      </c>
      <c r="E1298">
        <v>12</v>
      </c>
      <c r="F1298" t="s">
        <v>22</v>
      </c>
      <c r="G1298" t="s">
        <v>15</v>
      </c>
      <c r="H1298" s="1">
        <v>414.23</v>
      </c>
      <c r="I1298" t="s">
        <v>24</v>
      </c>
      <c r="J1298">
        <v>0</v>
      </c>
      <c r="K1298">
        <v>6</v>
      </c>
    </row>
    <row r="1299" spans="1:11" x14ac:dyDescent="0.35">
      <c r="A1299" t="s">
        <v>1336</v>
      </c>
      <c r="B1299">
        <v>23</v>
      </c>
      <c r="C1299" t="s">
        <v>12</v>
      </c>
      <c r="D1299" t="s">
        <v>19</v>
      </c>
      <c r="E1299">
        <v>13</v>
      </c>
      <c r="F1299" t="s">
        <v>31</v>
      </c>
      <c r="G1299" t="s">
        <v>34</v>
      </c>
      <c r="H1299" s="1">
        <v>201.12</v>
      </c>
      <c r="I1299" t="s">
        <v>24</v>
      </c>
      <c r="J1299">
        <v>2</v>
      </c>
      <c r="K1299">
        <v>6</v>
      </c>
    </row>
    <row r="1300" spans="1:11" x14ac:dyDescent="0.35">
      <c r="A1300" t="s">
        <v>1337</v>
      </c>
      <c r="B1300">
        <v>84</v>
      </c>
      <c r="C1300" t="s">
        <v>12</v>
      </c>
      <c r="D1300" t="s">
        <v>19</v>
      </c>
      <c r="E1300">
        <v>18</v>
      </c>
      <c r="F1300" t="s">
        <v>33</v>
      </c>
      <c r="G1300" t="s">
        <v>37</v>
      </c>
      <c r="H1300" s="1">
        <v>182.27</v>
      </c>
      <c r="I1300" t="s">
        <v>24</v>
      </c>
      <c r="J1300">
        <v>3</v>
      </c>
      <c r="K1300">
        <v>8</v>
      </c>
    </row>
    <row r="1301" spans="1:11" x14ac:dyDescent="0.35">
      <c r="A1301" t="s">
        <v>1338</v>
      </c>
      <c r="B1301">
        <v>38</v>
      </c>
      <c r="C1301" t="s">
        <v>12</v>
      </c>
      <c r="D1301" t="s">
        <v>30</v>
      </c>
      <c r="E1301">
        <v>8</v>
      </c>
      <c r="F1301" t="s">
        <v>31</v>
      </c>
      <c r="G1301" t="s">
        <v>34</v>
      </c>
      <c r="H1301" s="1">
        <v>153.66</v>
      </c>
      <c r="I1301" t="s">
        <v>24</v>
      </c>
      <c r="J1301">
        <v>0</v>
      </c>
      <c r="K1301">
        <v>10</v>
      </c>
    </row>
    <row r="1302" spans="1:11" x14ac:dyDescent="0.35">
      <c r="A1302" t="s">
        <v>1339</v>
      </c>
      <c r="B1302">
        <v>46</v>
      </c>
      <c r="C1302" t="s">
        <v>18</v>
      </c>
      <c r="D1302" t="s">
        <v>19</v>
      </c>
      <c r="E1302">
        <v>7</v>
      </c>
      <c r="F1302" t="s">
        <v>22</v>
      </c>
      <c r="G1302" t="s">
        <v>27</v>
      </c>
      <c r="H1302" s="1">
        <v>22.76</v>
      </c>
      <c r="I1302" t="s">
        <v>24</v>
      </c>
      <c r="J1302">
        <v>0</v>
      </c>
      <c r="K1302">
        <v>10</v>
      </c>
    </row>
    <row r="1303" spans="1:11" x14ac:dyDescent="0.35">
      <c r="A1303" t="s">
        <v>1340</v>
      </c>
      <c r="B1303">
        <v>46</v>
      </c>
      <c r="C1303" t="s">
        <v>18</v>
      </c>
      <c r="D1303" t="s">
        <v>13</v>
      </c>
      <c r="E1303">
        <v>19</v>
      </c>
      <c r="F1303" t="s">
        <v>33</v>
      </c>
      <c r="G1303" t="s">
        <v>27</v>
      </c>
      <c r="H1303" s="1">
        <v>178.8</v>
      </c>
      <c r="I1303" t="s">
        <v>24</v>
      </c>
      <c r="J1303">
        <v>0</v>
      </c>
      <c r="K1303">
        <v>4</v>
      </c>
    </row>
    <row r="1304" spans="1:11" x14ac:dyDescent="0.35">
      <c r="A1304" t="s">
        <v>1341</v>
      </c>
      <c r="B1304">
        <v>54</v>
      </c>
      <c r="C1304" t="s">
        <v>12</v>
      </c>
      <c r="D1304" t="s">
        <v>21</v>
      </c>
      <c r="E1304">
        <v>16</v>
      </c>
      <c r="F1304" t="s">
        <v>33</v>
      </c>
      <c r="G1304" t="s">
        <v>27</v>
      </c>
      <c r="H1304" s="1">
        <v>95.65</v>
      </c>
      <c r="I1304" t="s">
        <v>43</v>
      </c>
      <c r="J1304">
        <v>2</v>
      </c>
      <c r="K1304">
        <v>8</v>
      </c>
    </row>
    <row r="1305" spans="1:11" x14ac:dyDescent="0.35">
      <c r="A1305" t="s">
        <v>1342</v>
      </c>
      <c r="B1305">
        <v>35</v>
      </c>
      <c r="C1305" t="s">
        <v>12</v>
      </c>
      <c r="D1305" t="s">
        <v>47</v>
      </c>
      <c r="E1305">
        <v>10</v>
      </c>
      <c r="F1305" t="s">
        <v>26</v>
      </c>
      <c r="G1305" t="s">
        <v>15</v>
      </c>
      <c r="H1305" s="1">
        <v>198.07</v>
      </c>
      <c r="I1305" t="s">
        <v>24</v>
      </c>
      <c r="J1305">
        <v>1</v>
      </c>
      <c r="K1305">
        <v>6</v>
      </c>
    </row>
    <row r="1306" spans="1:11" x14ac:dyDescent="0.35">
      <c r="A1306" t="s">
        <v>1343</v>
      </c>
      <c r="B1306">
        <v>31</v>
      </c>
      <c r="C1306" t="s">
        <v>18</v>
      </c>
      <c r="D1306" t="s">
        <v>19</v>
      </c>
      <c r="E1306">
        <v>22</v>
      </c>
      <c r="F1306" t="s">
        <v>22</v>
      </c>
      <c r="G1306" t="s">
        <v>27</v>
      </c>
      <c r="H1306" s="1">
        <v>74.5</v>
      </c>
      <c r="I1306" t="s">
        <v>24</v>
      </c>
      <c r="J1306">
        <v>4</v>
      </c>
      <c r="K1306">
        <v>2</v>
      </c>
    </row>
    <row r="1307" spans="1:11" x14ac:dyDescent="0.35">
      <c r="A1307" t="s">
        <v>1344</v>
      </c>
      <c r="B1307">
        <v>24</v>
      </c>
      <c r="C1307" t="s">
        <v>12</v>
      </c>
      <c r="D1307" t="s">
        <v>19</v>
      </c>
      <c r="E1307">
        <v>19</v>
      </c>
      <c r="F1307" t="s">
        <v>26</v>
      </c>
      <c r="G1307" t="s">
        <v>15</v>
      </c>
      <c r="H1307" s="1">
        <v>82.39</v>
      </c>
      <c r="I1307" t="s">
        <v>24</v>
      </c>
      <c r="J1307">
        <v>2</v>
      </c>
      <c r="K1307">
        <v>4</v>
      </c>
    </row>
    <row r="1308" spans="1:11" x14ac:dyDescent="0.35">
      <c r="A1308" t="s">
        <v>1345</v>
      </c>
      <c r="B1308">
        <v>64</v>
      </c>
      <c r="C1308" t="s">
        <v>12</v>
      </c>
      <c r="D1308" t="s">
        <v>47</v>
      </c>
      <c r="E1308">
        <v>7</v>
      </c>
      <c r="F1308" t="s">
        <v>26</v>
      </c>
      <c r="G1308" t="s">
        <v>34</v>
      </c>
      <c r="H1308" s="1">
        <v>149.88999999999999</v>
      </c>
      <c r="I1308" t="s">
        <v>24</v>
      </c>
      <c r="J1308">
        <v>1</v>
      </c>
      <c r="K1308">
        <v>9</v>
      </c>
    </row>
    <row r="1309" spans="1:11" x14ac:dyDescent="0.35">
      <c r="A1309" t="s">
        <v>1346</v>
      </c>
      <c r="B1309">
        <v>45</v>
      </c>
      <c r="C1309" t="s">
        <v>12</v>
      </c>
      <c r="D1309" t="s">
        <v>41</v>
      </c>
      <c r="E1309">
        <v>13</v>
      </c>
      <c r="F1309" t="s">
        <v>22</v>
      </c>
      <c r="G1309" t="s">
        <v>23</v>
      </c>
      <c r="H1309" s="1">
        <v>562.87</v>
      </c>
      <c r="I1309" t="s">
        <v>28</v>
      </c>
      <c r="J1309">
        <v>1</v>
      </c>
      <c r="K1309">
        <v>6</v>
      </c>
    </row>
    <row r="1310" spans="1:11" x14ac:dyDescent="0.35">
      <c r="A1310" t="s">
        <v>1347</v>
      </c>
      <c r="B1310">
        <v>84</v>
      </c>
      <c r="C1310" t="s">
        <v>12</v>
      </c>
      <c r="D1310" t="s">
        <v>19</v>
      </c>
      <c r="E1310">
        <v>11</v>
      </c>
      <c r="F1310" t="s">
        <v>33</v>
      </c>
      <c r="G1310" t="s">
        <v>23</v>
      </c>
      <c r="H1310" s="1">
        <v>471.64</v>
      </c>
      <c r="I1310" t="s">
        <v>24</v>
      </c>
      <c r="J1310">
        <v>2</v>
      </c>
      <c r="K1310">
        <v>4</v>
      </c>
    </row>
    <row r="1311" spans="1:11" x14ac:dyDescent="0.35">
      <c r="A1311" t="s">
        <v>1348</v>
      </c>
      <c r="B1311">
        <v>41</v>
      </c>
      <c r="C1311" t="s">
        <v>12</v>
      </c>
      <c r="D1311" t="s">
        <v>21</v>
      </c>
      <c r="E1311">
        <v>27</v>
      </c>
      <c r="F1311" t="s">
        <v>31</v>
      </c>
      <c r="G1311" t="s">
        <v>34</v>
      </c>
      <c r="H1311" s="1">
        <v>120.11</v>
      </c>
      <c r="I1311" t="s">
        <v>24</v>
      </c>
      <c r="J1311">
        <v>2</v>
      </c>
      <c r="K1311">
        <v>2</v>
      </c>
    </row>
    <row r="1312" spans="1:11" x14ac:dyDescent="0.35">
      <c r="A1312" t="s">
        <v>1349</v>
      </c>
      <c r="B1312">
        <v>75</v>
      </c>
      <c r="C1312" t="s">
        <v>18</v>
      </c>
      <c r="D1312" t="s">
        <v>19</v>
      </c>
      <c r="E1312">
        <v>13</v>
      </c>
      <c r="F1312" t="s">
        <v>22</v>
      </c>
      <c r="G1312" t="s">
        <v>37</v>
      </c>
      <c r="H1312" s="1">
        <v>104.15</v>
      </c>
      <c r="I1312" t="s">
        <v>28</v>
      </c>
      <c r="J1312">
        <v>1</v>
      </c>
      <c r="K1312">
        <v>6</v>
      </c>
    </row>
    <row r="1313" spans="1:11" x14ac:dyDescent="0.35">
      <c r="A1313" t="s">
        <v>1350</v>
      </c>
      <c r="B1313">
        <v>42</v>
      </c>
      <c r="C1313" t="s">
        <v>12</v>
      </c>
      <c r="D1313" t="s">
        <v>13</v>
      </c>
      <c r="E1313">
        <v>12</v>
      </c>
      <c r="F1313" t="s">
        <v>22</v>
      </c>
      <c r="G1313" t="s">
        <v>27</v>
      </c>
      <c r="H1313" s="1">
        <v>112.35</v>
      </c>
      <c r="I1313" t="s">
        <v>24</v>
      </c>
      <c r="J1313">
        <v>2</v>
      </c>
      <c r="K1313">
        <v>7</v>
      </c>
    </row>
    <row r="1314" spans="1:11" x14ac:dyDescent="0.35">
      <c r="A1314" t="s">
        <v>1351</v>
      </c>
      <c r="B1314">
        <v>38</v>
      </c>
      <c r="C1314" t="s">
        <v>12</v>
      </c>
      <c r="D1314" t="s">
        <v>30</v>
      </c>
      <c r="E1314">
        <v>9</v>
      </c>
      <c r="F1314" t="s">
        <v>14</v>
      </c>
      <c r="G1314" t="s">
        <v>37</v>
      </c>
      <c r="H1314" s="1">
        <v>0</v>
      </c>
      <c r="I1314" t="s">
        <v>16</v>
      </c>
      <c r="J1314">
        <v>1</v>
      </c>
      <c r="K1314">
        <v>4</v>
      </c>
    </row>
    <row r="1315" spans="1:11" x14ac:dyDescent="0.35">
      <c r="A1315" t="s">
        <v>1352</v>
      </c>
      <c r="B1315">
        <v>24</v>
      </c>
      <c r="C1315" t="s">
        <v>12</v>
      </c>
      <c r="D1315" t="s">
        <v>19</v>
      </c>
      <c r="E1315">
        <v>7</v>
      </c>
      <c r="F1315" t="s">
        <v>26</v>
      </c>
      <c r="G1315" t="s">
        <v>23</v>
      </c>
      <c r="H1315" s="1">
        <v>389.05</v>
      </c>
      <c r="I1315" t="s">
        <v>24</v>
      </c>
      <c r="J1315">
        <v>0</v>
      </c>
      <c r="K1315">
        <v>10</v>
      </c>
    </row>
    <row r="1316" spans="1:11" x14ac:dyDescent="0.35">
      <c r="A1316" t="s">
        <v>1353</v>
      </c>
      <c r="B1316">
        <v>22</v>
      </c>
      <c r="C1316" t="s">
        <v>12</v>
      </c>
      <c r="D1316" t="s">
        <v>13</v>
      </c>
      <c r="E1316">
        <v>14</v>
      </c>
      <c r="F1316" t="s">
        <v>26</v>
      </c>
      <c r="G1316" t="s">
        <v>37</v>
      </c>
      <c r="H1316" s="1">
        <v>96.24</v>
      </c>
      <c r="I1316" t="s">
        <v>43</v>
      </c>
      <c r="J1316">
        <v>0</v>
      </c>
      <c r="K1316">
        <v>5</v>
      </c>
    </row>
    <row r="1317" spans="1:11" x14ac:dyDescent="0.35">
      <c r="A1317" t="s">
        <v>1354</v>
      </c>
      <c r="B1317">
        <v>66</v>
      </c>
      <c r="C1317" t="s">
        <v>12</v>
      </c>
      <c r="D1317" t="s">
        <v>21</v>
      </c>
      <c r="E1317">
        <v>24</v>
      </c>
      <c r="F1317" t="s">
        <v>31</v>
      </c>
      <c r="G1317" t="s">
        <v>15</v>
      </c>
      <c r="H1317" s="1">
        <v>350.54</v>
      </c>
      <c r="I1317" t="s">
        <v>24</v>
      </c>
      <c r="J1317">
        <v>1</v>
      </c>
      <c r="K1317">
        <v>3</v>
      </c>
    </row>
    <row r="1318" spans="1:11" x14ac:dyDescent="0.35">
      <c r="A1318" t="s">
        <v>1355</v>
      </c>
      <c r="B1318">
        <v>33</v>
      </c>
      <c r="C1318" t="s">
        <v>18</v>
      </c>
      <c r="D1318" t="s">
        <v>19</v>
      </c>
      <c r="E1318">
        <v>20</v>
      </c>
      <c r="F1318" t="s">
        <v>31</v>
      </c>
      <c r="G1318" t="s">
        <v>23</v>
      </c>
      <c r="H1318" s="1">
        <v>448.25</v>
      </c>
      <c r="I1318" t="s">
        <v>24</v>
      </c>
      <c r="J1318">
        <v>2</v>
      </c>
      <c r="K1318">
        <v>2</v>
      </c>
    </row>
    <row r="1319" spans="1:11" x14ac:dyDescent="0.35">
      <c r="A1319" t="s">
        <v>1356</v>
      </c>
      <c r="B1319">
        <v>39</v>
      </c>
      <c r="C1319" t="s">
        <v>12</v>
      </c>
      <c r="D1319" t="s">
        <v>30</v>
      </c>
      <c r="E1319">
        <v>9</v>
      </c>
      <c r="F1319" t="s">
        <v>22</v>
      </c>
      <c r="G1319" t="s">
        <v>34</v>
      </c>
      <c r="H1319" s="1">
        <v>182.28</v>
      </c>
      <c r="I1319" t="s">
        <v>24</v>
      </c>
      <c r="J1319">
        <v>0</v>
      </c>
      <c r="K1319">
        <v>5</v>
      </c>
    </row>
    <row r="1320" spans="1:11" x14ac:dyDescent="0.35">
      <c r="A1320" t="s">
        <v>1357</v>
      </c>
      <c r="B1320">
        <v>60</v>
      </c>
      <c r="C1320" t="s">
        <v>18</v>
      </c>
      <c r="D1320" t="s">
        <v>13</v>
      </c>
      <c r="E1320">
        <v>15</v>
      </c>
      <c r="F1320" t="s">
        <v>33</v>
      </c>
      <c r="G1320" t="s">
        <v>34</v>
      </c>
      <c r="H1320" s="1">
        <v>108.82</v>
      </c>
      <c r="I1320" t="s">
        <v>24</v>
      </c>
      <c r="J1320">
        <v>0</v>
      </c>
      <c r="K1320">
        <v>5</v>
      </c>
    </row>
    <row r="1321" spans="1:11" x14ac:dyDescent="0.35">
      <c r="A1321" t="s">
        <v>1358</v>
      </c>
      <c r="B1321">
        <v>28</v>
      </c>
      <c r="C1321" t="s">
        <v>18</v>
      </c>
      <c r="D1321" t="s">
        <v>19</v>
      </c>
      <c r="E1321">
        <v>21</v>
      </c>
      <c r="F1321" t="s">
        <v>22</v>
      </c>
      <c r="G1321" t="s">
        <v>27</v>
      </c>
      <c r="H1321" s="1">
        <v>44.8</v>
      </c>
      <c r="I1321" t="s">
        <v>28</v>
      </c>
      <c r="J1321">
        <v>2</v>
      </c>
      <c r="K1321">
        <v>3</v>
      </c>
    </row>
    <row r="1322" spans="1:11" x14ac:dyDescent="0.35">
      <c r="A1322" t="s">
        <v>1359</v>
      </c>
      <c r="B1322">
        <v>56</v>
      </c>
      <c r="C1322" t="s">
        <v>12</v>
      </c>
      <c r="D1322" t="s">
        <v>21</v>
      </c>
      <c r="E1322">
        <v>46</v>
      </c>
      <c r="F1322" t="s">
        <v>31</v>
      </c>
      <c r="G1322" t="s">
        <v>23</v>
      </c>
      <c r="H1322" s="1">
        <v>536.76</v>
      </c>
      <c r="I1322" t="s">
        <v>24</v>
      </c>
      <c r="J1322">
        <v>1</v>
      </c>
      <c r="K1322">
        <v>2</v>
      </c>
    </row>
    <row r="1323" spans="1:11" x14ac:dyDescent="0.35">
      <c r="A1323" t="s">
        <v>1360</v>
      </c>
      <c r="B1323">
        <v>77</v>
      </c>
      <c r="C1323" t="s">
        <v>18</v>
      </c>
      <c r="D1323" t="s">
        <v>13</v>
      </c>
      <c r="E1323">
        <v>15</v>
      </c>
      <c r="F1323" t="s">
        <v>14</v>
      </c>
      <c r="G1323" t="s">
        <v>34</v>
      </c>
      <c r="H1323" s="1">
        <v>0</v>
      </c>
      <c r="I1323" t="s">
        <v>16</v>
      </c>
      <c r="J1323">
        <v>1</v>
      </c>
      <c r="K1323">
        <v>6</v>
      </c>
    </row>
    <row r="1324" spans="1:11" x14ac:dyDescent="0.35">
      <c r="A1324" t="s">
        <v>1361</v>
      </c>
      <c r="B1324">
        <v>82</v>
      </c>
      <c r="C1324" t="s">
        <v>12</v>
      </c>
      <c r="D1324" t="s">
        <v>13</v>
      </c>
      <c r="E1324">
        <v>12</v>
      </c>
      <c r="F1324" t="s">
        <v>33</v>
      </c>
      <c r="G1324" t="s">
        <v>27</v>
      </c>
      <c r="H1324" s="1">
        <v>93.67</v>
      </c>
      <c r="I1324" t="s">
        <v>24</v>
      </c>
      <c r="J1324">
        <v>0</v>
      </c>
      <c r="K1324">
        <v>8</v>
      </c>
    </row>
    <row r="1325" spans="1:11" x14ac:dyDescent="0.35">
      <c r="A1325" t="s">
        <v>1362</v>
      </c>
      <c r="B1325">
        <v>40</v>
      </c>
      <c r="C1325" t="s">
        <v>12</v>
      </c>
      <c r="D1325" t="s">
        <v>19</v>
      </c>
      <c r="E1325">
        <v>7</v>
      </c>
      <c r="F1325" t="s">
        <v>33</v>
      </c>
      <c r="G1325" t="s">
        <v>23</v>
      </c>
      <c r="H1325" s="1">
        <v>409.05</v>
      </c>
      <c r="I1325" t="s">
        <v>24</v>
      </c>
      <c r="J1325">
        <v>1</v>
      </c>
      <c r="K1325">
        <v>9</v>
      </c>
    </row>
    <row r="1326" spans="1:11" x14ac:dyDescent="0.35">
      <c r="A1326" t="s">
        <v>1363</v>
      </c>
      <c r="B1326">
        <v>46</v>
      </c>
      <c r="C1326" t="s">
        <v>12</v>
      </c>
      <c r="D1326" t="s">
        <v>30</v>
      </c>
      <c r="E1326">
        <v>6</v>
      </c>
      <c r="F1326" t="s">
        <v>22</v>
      </c>
      <c r="G1326" t="s">
        <v>27</v>
      </c>
      <c r="H1326" s="1">
        <v>104.07</v>
      </c>
      <c r="I1326" t="s">
        <v>24</v>
      </c>
      <c r="J1326">
        <v>0</v>
      </c>
      <c r="K1326">
        <v>7</v>
      </c>
    </row>
    <row r="1327" spans="1:11" x14ac:dyDescent="0.35">
      <c r="A1327" t="s">
        <v>1364</v>
      </c>
      <c r="B1327">
        <v>83</v>
      </c>
      <c r="C1327" t="s">
        <v>18</v>
      </c>
      <c r="D1327" t="s">
        <v>30</v>
      </c>
      <c r="E1327">
        <v>5</v>
      </c>
      <c r="F1327" t="s">
        <v>14</v>
      </c>
      <c r="G1327" t="s">
        <v>37</v>
      </c>
      <c r="H1327" s="1">
        <v>0</v>
      </c>
      <c r="I1327" t="s">
        <v>16</v>
      </c>
      <c r="J1327">
        <v>2</v>
      </c>
      <c r="K1327">
        <v>8</v>
      </c>
    </row>
    <row r="1328" spans="1:11" x14ac:dyDescent="0.35">
      <c r="A1328" t="s">
        <v>1365</v>
      </c>
      <c r="B1328">
        <v>34</v>
      </c>
      <c r="C1328" t="s">
        <v>18</v>
      </c>
      <c r="D1328" t="s">
        <v>19</v>
      </c>
      <c r="E1328">
        <v>21</v>
      </c>
      <c r="F1328" t="s">
        <v>22</v>
      </c>
      <c r="G1328" t="s">
        <v>34</v>
      </c>
      <c r="H1328" s="1">
        <v>135.41999999999999</v>
      </c>
      <c r="I1328" t="s">
        <v>24</v>
      </c>
      <c r="J1328">
        <v>4</v>
      </c>
      <c r="K1328">
        <v>3</v>
      </c>
    </row>
    <row r="1329" spans="1:11" x14ac:dyDescent="0.35">
      <c r="A1329" t="s">
        <v>1366</v>
      </c>
      <c r="B1329">
        <v>38</v>
      </c>
      <c r="C1329" t="s">
        <v>12</v>
      </c>
      <c r="D1329" t="s">
        <v>19</v>
      </c>
      <c r="E1329">
        <v>21</v>
      </c>
      <c r="F1329" t="s">
        <v>14</v>
      </c>
      <c r="G1329" t="s">
        <v>34</v>
      </c>
      <c r="H1329" s="1">
        <v>0</v>
      </c>
      <c r="I1329" t="s">
        <v>16</v>
      </c>
      <c r="J1329">
        <v>2</v>
      </c>
      <c r="K1329">
        <v>2</v>
      </c>
    </row>
    <row r="1330" spans="1:11" x14ac:dyDescent="0.35">
      <c r="A1330" t="s">
        <v>1367</v>
      </c>
      <c r="B1330">
        <v>72</v>
      </c>
      <c r="C1330" t="s">
        <v>18</v>
      </c>
      <c r="D1330" t="s">
        <v>13</v>
      </c>
      <c r="E1330">
        <v>22</v>
      </c>
      <c r="F1330" t="s">
        <v>14</v>
      </c>
      <c r="G1330" t="s">
        <v>27</v>
      </c>
      <c r="H1330" s="1">
        <v>0</v>
      </c>
      <c r="I1330" t="s">
        <v>16</v>
      </c>
      <c r="J1330">
        <v>4</v>
      </c>
      <c r="K1330">
        <v>5</v>
      </c>
    </row>
    <row r="1331" spans="1:11" x14ac:dyDescent="0.35">
      <c r="A1331" t="s">
        <v>1368</v>
      </c>
      <c r="B1331">
        <v>71</v>
      </c>
      <c r="C1331" t="s">
        <v>12</v>
      </c>
      <c r="D1331" t="s">
        <v>30</v>
      </c>
      <c r="E1331">
        <v>12</v>
      </c>
      <c r="F1331" t="s">
        <v>26</v>
      </c>
      <c r="G1331" t="s">
        <v>37</v>
      </c>
      <c r="H1331" s="1">
        <v>218.44</v>
      </c>
      <c r="I1331" t="s">
        <v>24</v>
      </c>
      <c r="J1331">
        <v>1</v>
      </c>
      <c r="K1331">
        <v>6</v>
      </c>
    </row>
    <row r="1332" spans="1:11" x14ac:dyDescent="0.35">
      <c r="A1332" t="s">
        <v>1369</v>
      </c>
      <c r="B1332">
        <v>59</v>
      </c>
      <c r="C1332" t="s">
        <v>18</v>
      </c>
      <c r="D1332" t="s">
        <v>13</v>
      </c>
      <c r="E1332">
        <v>11</v>
      </c>
      <c r="F1332" t="s">
        <v>31</v>
      </c>
      <c r="G1332" t="s">
        <v>27</v>
      </c>
      <c r="H1332" s="1">
        <v>119.98</v>
      </c>
      <c r="I1332" t="s">
        <v>24</v>
      </c>
      <c r="J1332">
        <v>0</v>
      </c>
      <c r="K1332">
        <v>4</v>
      </c>
    </row>
    <row r="1333" spans="1:11" x14ac:dyDescent="0.35">
      <c r="A1333" t="s">
        <v>1370</v>
      </c>
      <c r="B1333">
        <v>24</v>
      </c>
      <c r="C1333" t="s">
        <v>12</v>
      </c>
      <c r="D1333" t="s">
        <v>19</v>
      </c>
      <c r="E1333">
        <v>7</v>
      </c>
      <c r="F1333" t="s">
        <v>31</v>
      </c>
      <c r="G1333" t="s">
        <v>37</v>
      </c>
      <c r="H1333" s="1">
        <v>139.19999999999999</v>
      </c>
      <c r="I1333" t="s">
        <v>28</v>
      </c>
      <c r="J1333">
        <v>0</v>
      </c>
      <c r="K1333">
        <v>7</v>
      </c>
    </row>
    <row r="1334" spans="1:11" x14ac:dyDescent="0.35">
      <c r="A1334" t="s">
        <v>1371</v>
      </c>
      <c r="B1334">
        <v>21</v>
      </c>
      <c r="C1334" t="s">
        <v>12</v>
      </c>
      <c r="D1334" t="s">
        <v>13</v>
      </c>
      <c r="E1334">
        <v>19</v>
      </c>
      <c r="F1334" t="s">
        <v>33</v>
      </c>
      <c r="G1334" t="s">
        <v>27</v>
      </c>
      <c r="H1334" s="1">
        <v>100.46</v>
      </c>
      <c r="I1334" t="s">
        <v>24</v>
      </c>
      <c r="J1334">
        <v>3</v>
      </c>
      <c r="K1334">
        <v>1</v>
      </c>
    </row>
    <row r="1335" spans="1:11" x14ac:dyDescent="0.35">
      <c r="A1335" t="s">
        <v>1372</v>
      </c>
      <c r="B1335">
        <v>59</v>
      </c>
      <c r="C1335" t="s">
        <v>12</v>
      </c>
      <c r="D1335" t="s">
        <v>19</v>
      </c>
      <c r="E1335">
        <v>20</v>
      </c>
      <c r="F1335" t="s">
        <v>22</v>
      </c>
      <c r="G1335" t="s">
        <v>34</v>
      </c>
      <c r="H1335" s="1">
        <v>192.22</v>
      </c>
      <c r="I1335" t="s">
        <v>24</v>
      </c>
      <c r="J1335">
        <v>4</v>
      </c>
      <c r="K1335">
        <v>2</v>
      </c>
    </row>
    <row r="1336" spans="1:11" x14ac:dyDescent="0.35">
      <c r="A1336" t="s">
        <v>1373</v>
      </c>
      <c r="B1336">
        <v>29</v>
      </c>
      <c r="C1336" t="s">
        <v>12</v>
      </c>
      <c r="D1336" t="s">
        <v>30</v>
      </c>
      <c r="E1336">
        <v>9</v>
      </c>
      <c r="F1336" t="s">
        <v>22</v>
      </c>
      <c r="G1336" t="s">
        <v>23</v>
      </c>
      <c r="H1336" s="1">
        <v>235.82</v>
      </c>
      <c r="I1336" t="s">
        <v>28</v>
      </c>
      <c r="J1336">
        <v>0</v>
      </c>
      <c r="K1336">
        <v>7</v>
      </c>
    </row>
    <row r="1337" spans="1:11" x14ac:dyDescent="0.35">
      <c r="A1337" t="s">
        <v>1374</v>
      </c>
      <c r="B1337">
        <v>26</v>
      </c>
      <c r="C1337" t="s">
        <v>18</v>
      </c>
      <c r="D1337" t="s">
        <v>21</v>
      </c>
      <c r="E1337">
        <v>47</v>
      </c>
      <c r="F1337" t="s">
        <v>33</v>
      </c>
      <c r="G1337" t="s">
        <v>37</v>
      </c>
      <c r="H1337" s="1">
        <v>167.97</v>
      </c>
      <c r="I1337" t="s">
        <v>24</v>
      </c>
      <c r="J1337">
        <v>1</v>
      </c>
      <c r="K1337">
        <v>2</v>
      </c>
    </row>
    <row r="1338" spans="1:11" x14ac:dyDescent="0.35">
      <c r="A1338" t="s">
        <v>1375</v>
      </c>
      <c r="B1338">
        <v>49</v>
      </c>
      <c r="C1338" t="s">
        <v>18</v>
      </c>
      <c r="D1338" t="s">
        <v>19</v>
      </c>
      <c r="E1338">
        <v>22</v>
      </c>
      <c r="F1338" t="s">
        <v>26</v>
      </c>
      <c r="G1338" t="s">
        <v>23</v>
      </c>
      <c r="H1338" s="1">
        <v>558.46</v>
      </c>
      <c r="I1338" t="s">
        <v>43</v>
      </c>
      <c r="J1338">
        <v>0</v>
      </c>
      <c r="K1338">
        <v>3</v>
      </c>
    </row>
    <row r="1339" spans="1:11" x14ac:dyDescent="0.35">
      <c r="A1339" t="s">
        <v>1376</v>
      </c>
      <c r="B1339">
        <v>68</v>
      </c>
      <c r="C1339" t="s">
        <v>18</v>
      </c>
      <c r="D1339" t="s">
        <v>21</v>
      </c>
      <c r="E1339">
        <v>47</v>
      </c>
      <c r="F1339" t="s">
        <v>31</v>
      </c>
      <c r="G1339" t="s">
        <v>15</v>
      </c>
      <c r="H1339" s="1">
        <v>401.53</v>
      </c>
      <c r="I1339" t="s">
        <v>24</v>
      </c>
      <c r="J1339">
        <v>2</v>
      </c>
      <c r="K1339">
        <v>2</v>
      </c>
    </row>
    <row r="1340" spans="1:11" x14ac:dyDescent="0.35">
      <c r="A1340" t="s">
        <v>1377</v>
      </c>
      <c r="B1340">
        <v>80</v>
      </c>
      <c r="C1340" t="s">
        <v>12</v>
      </c>
      <c r="D1340" t="s">
        <v>19</v>
      </c>
      <c r="E1340">
        <v>19</v>
      </c>
      <c r="F1340" t="s">
        <v>31</v>
      </c>
      <c r="G1340" t="s">
        <v>23</v>
      </c>
      <c r="H1340" s="1">
        <v>328.84</v>
      </c>
      <c r="I1340" t="s">
        <v>28</v>
      </c>
      <c r="J1340">
        <v>4</v>
      </c>
      <c r="K1340">
        <v>2</v>
      </c>
    </row>
    <row r="1341" spans="1:11" x14ac:dyDescent="0.35">
      <c r="A1341" t="s">
        <v>1378</v>
      </c>
      <c r="B1341">
        <v>33</v>
      </c>
      <c r="C1341" t="s">
        <v>18</v>
      </c>
      <c r="D1341" t="s">
        <v>19</v>
      </c>
      <c r="E1341">
        <v>6</v>
      </c>
      <c r="F1341" t="s">
        <v>22</v>
      </c>
      <c r="G1341" t="s">
        <v>37</v>
      </c>
      <c r="H1341" s="1">
        <v>218.5</v>
      </c>
      <c r="I1341" t="s">
        <v>24</v>
      </c>
      <c r="J1341">
        <v>0</v>
      </c>
      <c r="K1341">
        <v>10</v>
      </c>
    </row>
    <row r="1342" spans="1:11" x14ac:dyDescent="0.35">
      <c r="A1342" t="s">
        <v>1379</v>
      </c>
      <c r="B1342">
        <v>18</v>
      </c>
      <c r="C1342" t="s">
        <v>12</v>
      </c>
      <c r="D1342" t="s">
        <v>19</v>
      </c>
      <c r="E1342">
        <v>12</v>
      </c>
      <c r="F1342" t="s">
        <v>22</v>
      </c>
      <c r="G1342" t="s">
        <v>23</v>
      </c>
      <c r="H1342" s="1">
        <v>265.14</v>
      </c>
      <c r="I1342" t="s">
        <v>28</v>
      </c>
      <c r="J1342">
        <v>0</v>
      </c>
      <c r="K1342">
        <v>4</v>
      </c>
    </row>
    <row r="1343" spans="1:11" x14ac:dyDescent="0.35">
      <c r="A1343" t="s">
        <v>1380</v>
      </c>
      <c r="B1343">
        <v>59</v>
      </c>
      <c r="C1343" t="s">
        <v>18</v>
      </c>
      <c r="D1343" t="s">
        <v>13</v>
      </c>
      <c r="E1343">
        <v>19</v>
      </c>
      <c r="F1343" t="s">
        <v>22</v>
      </c>
      <c r="G1343" t="s">
        <v>23</v>
      </c>
      <c r="H1343" s="1">
        <v>561.38</v>
      </c>
      <c r="I1343" t="s">
        <v>24</v>
      </c>
      <c r="J1343">
        <v>0</v>
      </c>
      <c r="K1343">
        <v>2</v>
      </c>
    </row>
    <row r="1344" spans="1:11" x14ac:dyDescent="0.35">
      <c r="A1344" t="s">
        <v>1381</v>
      </c>
      <c r="B1344">
        <v>25</v>
      </c>
      <c r="C1344" t="s">
        <v>18</v>
      </c>
      <c r="D1344" t="s">
        <v>30</v>
      </c>
      <c r="E1344">
        <v>11</v>
      </c>
      <c r="F1344" t="s">
        <v>22</v>
      </c>
      <c r="G1344" t="s">
        <v>34</v>
      </c>
      <c r="H1344" s="1">
        <v>93.96</v>
      </c>
      <c r="I1344" t="s">
        <v>24</v>
      </c>
      <c r="J1344">
        <v>1</v>
      </c>
      <c r="K1344">
        <v>7</v>
      </c>
    </row>
    <row r="1345" spans="1:11" x14ac:dyDescent="0.35">
      <c r="A1345" t="s">
        <v>1382</v>
      </c>
      <c r="B1345">
        <v>22</v>
      </c>
      <c r="C1345" t="s">
        <v>12</v>
      </c>
      <c r="D1345" t="s">
        <v>21</v>
      </c>
      <c r="E1345">
        <v>34</v>
      </c>
      <c r="F1345" t="s">
        <v>14</v>
      </c>
      <c r="G1345" t="s">
        <v>34</v>
      </c>
      <c r="H1345" s="1">
        <v>0</v>
      </c>
      <c r="I1345" t="s">
        <v>16</v>
      </c>
      <c r="J1345">
        <v>4</v>
      </c>
      <c r="K1345">
        <v>2</v>
      </c>
    </row>
    <row r="1346" spans="1:11" x14ac:dyDescent="0.35">
      <c r="A1346" t="s">
        <v>1383</v>
      </c>
      <c r="B1346">
        <v>23</v>
      </c>
      <c r="C1346" t="s">
        <v>18</v>
      </c>
      <c r="D1346" t="s">
        <v>19</v>
      </c>
      <c r="E1346">
        <v>6</v>
      </c>
      <c r="F1346" t="s">
        <v>26</v>
      </c>
      <c r="G1346" t="s">
        <v>34</v>
      </c>
      <c r="H1346" s="1">
        <v>192.56</v>
      </c>
      <c r="I1346" t="s">
        <v>28</v>
      </c>
      <c r="J1346">
        <v>2</v>
      </c>
      <c r="K1346">
        <v>9</v>
      </c>
    </row>
    <row r="1347" spans="1:11" x14ac:dyDescent="0.35">
      <c r="A1347" t="s">
        <v>1384</v>
      </c>
      <c r="B1347">
        <v>82</v>
      </c>
      <c r="C1347" t="s">
        <v>12</v>
      </c>
      <c r="D1347" t="s">
        <v>19</v>
      </c>
      <c r="E1347">
        <v>19</v>
      </c>
      <c r="F1347" t="s">
        <v>33</v>
      </c>
      <c r="G1347" t="s">
        <v>37</v>
      </c>
      <c r="H1347" s="1">
        <v>176.73</v>
      </c>
      <c r="I1347" t="s">
        <v>24</v>
      </c>
      <c r="J1347">
        <v>0</v>
      </c>
      <c r="K1347">
        <v>1</v>
      </c>
    </row>
    <row r="1348" spans="1:11" x14ac:dyDescent="0.35">
      <c r="A1348" t="s">
        <v>1385</v>
      </c>
      <c r="B1348">
        <v>71</v>
      </c>
      <c r="C1348" t="s">
        <v>12</v>
      </c>
      <c r="D1348" t="s">
        <v>19</v>
      </c>
      <c r="E1348">
        <v>8</v>
      </c>
      <c r="F1348" t="s">
        <v>31</v>
      </c>
      <c r="G1348" t="s">
        <v>37</v>
      </c>
      <c r="H1348" s="1">
        <v>218.02</v>
      </c>
      <c r="I1348" t="s">
        <v>24</v>
      </c>
      <c r="J1348">
        <v>2</v>
      </c>
      <c r="K1348">
        <v>9</v>
      </c>
    </row>
    <row r="1349" spans="1:11" x14ac:dyDescent="0.35">
      <c r="A1349" t="s">
        <v>1386</v>
      </c>
      <c r="B1349">
        <v>48</v>
      </c>
      <c r="C1349" t="s">
        <v>18</v>
      </c>
      <c r="D1349" t="s">
        <v>13</v>
      </c>
      <c r="E1349">
        <v>7</v>
      </c>
      <c r="F1349" t="s">
        <v>14</v>
      </c>
      <c r="G1349" t="s">
        <v>27</v>
      </c>
      <c r="H1349" s="1">
        <v>0</v>
      </c>
      <c r="I1349" t="s">
        <v>16</v>
      </c>
      <c r="J1349">
        <v>0</v>
      </c>
      <c r="K1349">
        <v>10</v>
      </c>
    </row>
    <row r="1350" spans="1:11" x14ac:dyDescent="0.35">
      <c r="A1350" t="s">
        <v>1387</v>
      </c>
      <c r="B1350">
        <v>46</v>
      </c>
      <c r="C1350" t="s">
        <v>18</v>
      </c>
      <c r="D1350" t="s">
        <v>21</v>
      </c>
      <c r="E1350">
        <v>39</v>
      </c>
      <c r="F1350" t="s">
        <v>33</v>
      </c>
      <c r="G1350" t="s">
        <v>27</v>
      </c>
      <c r="H1350" s="1">
        <v>142.59</v>
      </c>
      <c r="I1350" t="s">
        <v>24</v>
      </c>
      <c r="J1350">
        <v>3</v>
      </c>
      <c r="K1350">
        <v>5</v>
      </c>
    </row>
    <row r="1351" spans="1:11" x14ac:dyDescent="0.35">
      <c r="A1351" t="s">
        <v>1388</v>
      </c>
      <c r="B1351">
        <v>85</v>
      </c>
      <c r="C1351" t="s">
        <v>18</v>
      </c>
      <c r="D1351" t="s">
        <v>30</v>
      </c>
      <c r="E1351">
        <v>13</v>
      </c>
      <c r="F1351" t="s">
        <v>22</v>
      </c>
      <c r="G1351" t="s">
        <v>37</v>
      </c>
      <c r="H1351" s="1">
        <v>218.51</v>
      </c>
      <c r="I1351" t="s">
        <v>43</v>
      </c>
      <c r="J1351">
        <v>1</v>
      </c>
      <c r="K1351">
        <v>8</v>
      </c>
    </row>
    <row r="1352" spans="1:11" x14ac:dyDescent="0.35">
      <c r="A1352" t="s">
        <v>1389</v>
      </c>
      <c r="B1352">
        <v>21</v>
      </c>
      <c r="C1352" t="s">
        <v>12</v>
      </c>
      <c r="D1352" t="s">
        <v>30</v>
      </c>
      <c r="E1352">
        <v>7</v>
      </c>
      <c r="F1352" t="s">
        <v>22</v>
      </c>
      <c r="G1352" t="s">
        <v>15</v>
      </c>
      <c r="H1352" s="1">
        <v>337.88</v>
      </c>
      <c r="I1352" t="s">
        <v>28</v>
      </c>
      <c r="J1352">
        <v>1</v>
      </c>
      <c r="K1352">
        <v>10</v>
      </c>
    </row>
    <row r="1353" spans="1:11" x14ac:dyDescent="0.35">
      <c r="A1353" t="s">
        <v>1390</v>
      </c>
      <c r="B1353">
        <v>85</v>
      </c>
      <c r="C1353" t="s">
        <v>18</v>
      </c>
      <c r="D1353" t="s">
        <v>19</v>
      </c>
      <c r="E1353">
        <v>20</v>
      </c>
      <c r="F1353" t="s">
        <v>22</v>
      </c>
      <c r="G1353" t="s">
        <v>37</v>
      </c>
      <c r="H1353" s="1">
        <v>202.13</v>
      </c>
      <c r="I1353" t="s">
        <v>43</v>
      </c>
      <c r="J1353">
        <v>1</v>
      </c>
      <c r="K1353">
        <v>2</v>
      </c>
    </row>
    <row r="1354" spans="1:11" x14ac:dyDescent="0.35">
      <c r="A1354" t="s">
        <v>1391</v>
      </c>
      <c r="B1354">
        <v>35</v>
      </c>
      <c r="C1354" t="s">
        <v>18</v>
      </c>
      <c r="D1354" t="s">
        <v>19</v>
      </c>
      <c r="E1354">
        <v>18</v>
      </c>
      <c r="F1354" t="s">
        <v>33</v>
      </c>
      <c r="G1354" t="s">
        <v>23</v>
      </c>
      <c r="H1354" s="1">
        <v>429.46</v>
      </c>
      <c r="I1354" t="s">
        <v>24</v>
      </c>
      <c r="J1354">
        <v>1</v>
      </c>
      <c r="K1354">
        <v>5</v>
      </c>
    </row>
    <row r="1355" spans="1:11" x14ac:dyDescent="0.35">
      <c r="A1355" t="s">
        <v>1392</v>
      </c>
      <c r="B1355">
        <v>45</v>
      </c>
      <c r="C1355" t="s">
        <v>18</v>
      </c>
      <c r="D1355" t="s">
        <v>13</v>
      </c>
      <c r="E1355">
        <v>13</v>
      </c>
      <c r="F1355" t="s">
        <v>33</v>
      </c>
      <c r="G1355" t="s">
        <v>37</v>
      </c>
      <c r="H1355" s="1">
        <v>119.47</v>
      </c>
      <c r="I1355" t="s">
        <v>24</v>
      </c>
      <c r="J1355">
        <v>1</v>
      </c>
      <c r="K1355">
        <v>8</v>
      </c>
    </row>
    <row r="1356" spans="1:11" x14ac:dyDescent="0.35">
      <c r="A1356" t="s">
        <v>1393</v>
      </c>
      <c r="B1356">
        <v>54</v>
      </c>
      <c r="C1356" t="s">
        <v>18</v>
      </c>
      <c r="D1356" t="s">
        <v>30</v>
      </c>
      <c r="E1356">
        <v>6</v>
      </c>
      <c r="F1356" t="s">
        <v>31</v>
      </c>
      <c r="G1356" t="s">
        <v>34</v>
      </c>
      <c r="H1356" s="1">
        <v>171.13</v>
      </c>
      <c r="I1356" t="s">
        <v>28</v>
      </c>
      <c r="J1356">
        <v>2</v>
      </c>
      <c r="K1356">
        <v>10</v>
      </c>
    </row>
    <row r="1357" spans="1:11" x14ac:dyDescent="0.35">
      <c r="A1357" t="s">
        <v>1394</v>
      </c>
      <c r="B1357">
        <v>42</v>
      </c>
      <c r="C1357" t="s">
        <v>18</v>
      </c>
      <c r="D1357" t="s">
        <v>19</v>
      </c>
      <c r="E1357">
        <v>10</v>
      </c>
      <c r="F1357" t="s">
        <v>22</v>
      </c>
      <c r="G1357" t="s">
        <v>34</v>
      </c>
      <c r="H1357" s="1">
        <v>90.41</v>
      </c>
      <c r="I1357" t="s">
        <v>24</v>
      </c>
      <c r="J1357">
        <v>1</v>
      </c>
      <c r="K1357">
        <v>7</v>
      </c>
    </row>
    <row r="1358" spans="1:11" x14ac:dyDescent="0.35">
      <c r="A1358" t="s">
        <v>1395</v>
      </c>
      <c r="B1358">
        <v>58</v>
      </c>
      <c r="C1358" t="s">
        <v>12</v>
      </c>
      <c r="D1358" t="s">
        <v>21</v>
      </c>
      <c r="E1358">
        <v>26</v>
      </c>
      <c r="F1358" t="s">
        <v>22</v>
      </c>
      <c r="G1358" t="s">
        <v>34</v>
      </c>
      <c r="H1358" s="1">
        <v>120.8</v>
      </c>
      <c r="I1358" t="s">
        <v>24</v>
      </c>
      <c r="J1358">
        <v>1</v>
      </c>
      <c r="K1358">
        <v>5</v>
      </c>
    </row>
    <row r="1359" spans="1:11" x14ac:dyDescent="0.35">
      <c r="A1359" t="s">
        <v>1396</v>
      </c>
      <c r="B1359">
        <v>19</v>
      </c>
      <c r="C1359" t="s">
        <v>12</v>
      </c>
      <c r="D1359" t="s">
        <v>19</v>
      </c>
      <c r="E1359">
        <v>14</v>
      </c>
      <c r="F1359" t="s">
        <v>14</v>
      </c>
      <c r="G1359" t="s">
        <v>37</v>
      </c>
      <c r="H1359" s="1">
        <v>0</v>
      </c>
      <c r="I1359" t="s">
        <v>16</v>
      </c>
      <c r="J1359">
        <v>3</v>
      </c>
      <c r="K1359">
        <v>5</v>
      </c>
    </row>
    <row r="1360" spans="1:11" x14ac:dyDescent="0.35">
      <c r="A1360" t="s">
        <v>1397</v>
      </c>
      <c r="B1360">
        <v>24</v>
      </c>
      <c r="C1360" t="s">
        <v>12</v>
      </c>
      <c r="D1360" t="s">
        <v>21</v>
      </c>
      <c r="E1360">
        <v>44</v>
      </c>
      <c r="F1360" t="s">
        <v>33</v>
      </c>
      <c r="G1360" t="s">
        <v>15</v>
      </c>
      <c r="H1360" s="1">
        <v>126.81</v>
      </c>
      <c r="I1360" t="s">
        <v>24</v>
      </c>
      <c r="J1360">
        <v>2</v>
      </c>
      <c r="K1360">
        <v>4</v>
      </c>
    </row>
    <row r="1361" spans="1:11" x14ac:dyDescent="0.35">
      <c r="A1361" t="s">
        <v>1398</v>
      </c>
      <c r="B1361">
        <v>74</v>
      </c>
      <c r="C1361" t="s">
        <v>18</v>
      </c>
      <c r="D1361" t="s">
        <v>13</v>
      </c>
      <c r="E1361">
        <v>16</v>
      </c>
      <c r="F1361" t="s">
        <v>31</v>
      </c>
      <c r="G1361" t="s">
        <v>15</v>
      </c>
      <c r="H1361" s="1">
        <v>120.4</v>
      </c>
      <c r="I1361" t="s">
        <v>24</v>
      </c>
      <c r="J1361">
        <v>3</v>
      </c>
      <c r="K1361">
        <v>8</v>
      </c>
    </row>
    <row r="1362" spans="1:11" x14ac:dyDescent="0.35">
      <c r="A1362" t="s">
        <v>1399</v>
      </c>
      <c r="B1362">
        <v>72</v>
      </c>
      <c r="C1362" t="s">
        <v>18</v>
      </c>
      <c r="D1362" t="s">
        <v>13</v>
      </c>
      <c r="E1362">
        <v>15</v>
      </c>
      <c r="F1362" t="s">
        <v>26</v>
      </c>
      <c r="G1362" t="s">
        <v>23</v>
      </c>
      <c r="H1362" s="1">
        <v>318.58999999999997</v>
      </c>
      <c r="I1362" t="s">
        <v>24</v>
      </c>
      <c r="J1362">
        <v>2</v>
      </c>
      <c r="K1362">
        <v>8</v>
      </c>
    </row>
    <row r="1363" spans="1:11" x14ac:dyDescent="0.35">
      <c r="A1363" t="s">
        <v>1400</v>
      </c>
      <c r="B1363">
        <v>56</v>
      </c>
      <c r="C1363" t="s">
        <v>18</v>
      </c>
      <c r="D1363" t="s">
        <v>30</v>
      </c>
      <c r="E1363">
        <v>5</v>
      </c>
      <c r="F1363" t="s">
        <v>31</v>
      </c>
      <c r="G1363" t="s">
        <v>15</v>
      </c>
      <c r="H1363" s="1">
        <v>290.83999999999997</v>
      </c>
      <c r="I1363" t="s">
        <v>24</v>
      </c>
      <c r="J1363">
        <v>1</v>
      </c>
      <c r="K1363">
        <v>10</v>
      </c>
    </row>
    <row r="1364" spans="1:11" x14ac:dyDescent="0.35">
      <c r="A1364" t="s">
        <v>1401</v>
      </c>
      <c r="B1364">
        <v>34</v>
      </c>
      <c r="C1364" t="s">
        <v>12</v>
      </c>
      <c r="D1364" t="s">
        <v>19</v>
      </c>
      <c r="E1364">
        <v>17</v>
      </c>
      <c r="F1364" t="s">
        <v>33</v>
      </c>
      <c r="G1364" t="s">
        <v>34</v>
      </c>
      <c r="H1364" s="1">
        <v>149.46</v>
      </c>
      <c r="I1364" t="s">
        <v>43</v>
      </c>
      <c r="J1364">
        <v>1</v>
      </c>
      <c r="K1364">
        <v>8</v>
      </c>
    </row>
    <row r="1365" spans="1:11" x14ac:dyDescent="0.35">
      <c r="A1365" t="s">
        <v>1402</v>
      </c>
      <c r="B1365">
        <v>85</v>
      </c>
      <c r="C1365" t="s">
        <v>18</v>
      </c>
      <c r="D1365" t="s">
        <v>19</v>
      </c>
      <c r="E1365">
        <v>15</v>
      </c>
      <c r="F1365" t="s">
        <v>14</v>
      </c>
      <c r="G1365" t="s">
        <v>27</v>
      </c>
      <c r="H1365" s="1">
        <v>0</v>
      </c>
      <c r="I1365" t="s">
        <v>16</v>
      </c>
      <c r="J1365">
        <v>1</v>
      </c>
      <c r="K1365">
        <v>5</v>
      </c>
    </row>
    <row r="1366" spans="1:11" x14ac:dyDescent="0.35">
      <c r="A1366" t="s">
        <v>1403</v>
      </c>
      <c r="B1366">
        <v>72</v>
      </c>
      <c r="C1366" t="s">
        <v>12</v>
      </c>
      <c r="D1366" t="s">
        <v>19</v>
      </c>
      <c r="E1366">
        <v>6</v>
      </c>
      <c r="F1366" t="s">
        <v>22</v>
      </c>
      <c r="G1366" t="s">
        <v>37</v>
      </c>
      <c r="H1366" s="1">
        <v>209.89</v>
      </c>
      <c r="I1366" t="s">
        <v>24</v>
      </c>
      <c r="J1366">
        <v>0</v>
      </c>
      <c r="K1366">
        <v>9</v>
      </c>
    </row>
    <row r="1367" spans="1:11" x14ac:dyDescent="0.35">
      <c r="A1367" t="s">
        <v>1404</v>
      </c>
      <c r="B1367">
        <v>18</v>
      </c>
      <c r="C1367" t="s">
        <v>18</v>
      </c>
      <c r="D1367" t="s">
        <v>47</v>
      </c>
      <c r="E1367">
        <v>12</v>
      </c>
      <c r="F1367" t="s">
        <v>31</v>
      </c>
      <c r="G1367" t="s">
        <v>27</v>
      </c>
      <c r="H1367" s="1">
        <v>77.17</v>
      </c>
      <c r="I1367" t="s">
        <v>24</v>
      </c>
      <c r="J1367">
        <v>2</v>
      </c>
      <c r="K1367">
        <v>4</v>
      </c>
    </row>
    <row r="1368" spans="1:11" x14ac:dyDescent="0.35">
      <c r="A1368" t="s">
        <v>1405</v>
      </c>
      <c r="B1368">
        <v>42</v>
      </c>
      <c r="C1368" t="s">
        <v>12</v>
      </c>
      <c r="D1368" t="s">
        <v>19</v>
      </c>
      <c r="E1368">
        <v>20</v>
      </c>
      <c r="F1368" t="s">
        <v>22</v>
      </c>
      <c r="G1368" t="s">
        <v>15</v>
      </c>
      <c r="H1368" s="1">
        <v>387.96</v>
      </c>
      <c r="I1368" t="s">
        <v>24</v>
      </c>
      <c r="J1368">
        <v>3</v>
      </c>
      <c r="K1368">
        <v>5</v>
      </c>
    </row>
    <row r="1369" spans="1:11" x14ac:dyDescent="0.35">
      <c r="A1369" t="s">
        <v>1406</v>
      </c>
      <c r="B1369">
        <v>30</v>
      </c>
      <c r="C1369" t="s">
        <v>12</v>
      </c>
      <c r="D1369" t="s">
        <v>21</v>
      </c>
      <c r="E1369">
        <v>25</v>
      </c>
      <c r="F1369" t="s">
        <v>31</v>
      </c>
      <c r="G1369" t="s">
        <v>15</v>
      </c>
      <c r="H1369" s="1">
        <v>93.79</v>
      </c>
      <c r="I1369" t="s">
        <v>28</v>
      </c>
      <c r="J1369">
        <v>3</v>
      </c>
      <c r="K1369">
        <v>2</v>
      </c>
    </row>
    <row r="1370" spans="1:11" x14ac:dyDescent="0.35">
      <c r="A1370" t="s">
        <v>1407</v>
      </c>
      <c r="B1370">
        <v>56</v>
      </c>
      <c r="C1370" t="s">
        <v>18</v>
      </c>
      <c r="D1370" t="s">
        <v>19</v>
      </c>
      <c r="E1370">
        <v>22</v>
      </c>
      <c r="F1370" t="s">
        <v>22</v>
      </c>
      <c r="G1370" t="s">
        <v>15</v>
      </c>
      <c r="H1370" s="1">
        <v>322.98</v>
      </c>
      <c r="I1370" t="s">
        <v>24</v>
      </c>
      <c r="J1370">
        <v>2</v>
      </c>
      <c r="K1370">
        <v>1</v>
      </c>
    </row>
    <row r="1371" spans="1:11" x14ac:dyDescent="0.35">
      <c r="A1371" t="s">
        <v>1408</v>
      </c>
      <c r="B1371">
        <v>34</v>
      </c>
      <c r="C1371" t="s">
        <v>12</v>
      </c>
      <c r="D1371" t="s">
        <v>30</v>
      </c>
      <c r="E1371">
        <v>12</v>
      </c>
      <c r="F1371" t="s">
        <v>22</v>
      </c>
      <c r="G1371" t="s">
        <v>23</v>
      </c>
      <c r="H1371" s="1">
        <v>339.24</v>
      </c>
      <c r="I1371" t="s">
        <v>24</v>
      </c>
      <c r="J1371">
        <v>0</v>
      </c>
      <c r="K1371">
        <v>4</v>
      </c>
    </row>
    <row r="1372" spans="1:11" x14ac:dyDescent="0.35">
      <c r="A1372" t="s">
        <v>1409</v>
      </c>
      <c r="B1372">
        <v>45</v>
      </c>
      <c r="C1372" t="s">
        <v>12</v>
      </c>
      <c r="D1372" t="s">
        <v>19</v>
      </c>
      <c r="E1372">
        <v>23</v>
      </c>
      <c r="F1372" t="s">
        <v>14</v>
      </c>
      <c r="G1372" t="s">
        <v>23</v>
      </c>
      <c r="H1372" s="1">
        <v>0</v>
      </c>
      <c r="I1372" t="s">
        <v>16</v>
      </c>
      <c r="J1372">
        <v>3</v>
      </c>
      <c r="K1372">
        <v>5</v>
      </c>
    </row>
    <row r="1373" spans="1:11" x14ac:dyDescent="0.35">
      <c r="A1373" t="s">
        <v>1410</v>
      </c>
      <c r="B1373">
        <v>62</v>
      </c>
      <c r="C1373" t="s">
        <v>12</v>
      </c>
      <c r="D1373" t="s">
        <v>19</v>
      </c>
      <c r="E1373">
        <v>22</v>
      </c>
      <c r="F1373" t="s">
        <v>26</v>
      </c>
      <c r="G1373" t="s">
        <v>15</v>
      </c>
      <c r="H1373" s="1">
        <v>329.46</v>
      </c>
      <c r="I1373" t="s">
        <v>28</v>
      </c>
      <c r="J1373">
        <v>4</v>
      </c>
      <c r="K1373">
        <v>3</v>
      </c>
    </row>
    <row r="1374" spans="1:11" x14ac:dyDescent="0.35">
      <c r="A1374" t="s">
        <v>1411</v>
      </c>
      <c r="B1374">
        <v>64</v>
      </c>
      <c r="C1374" t="s">
        <v>12</v>
      </c>
      <c r="D1374" t="s">
        <v>19</v>
      </c>
      <c r="E1374">
        <v>18</v>
      </c>
      <c r="F1374" t="s">
        <v>14</v>
      </c>
      <c r="G1374" t="s">
        <v>27</v>
      </c>
      <c r="H1374" s="1">
        <v>0</v>
      </c>
      <c r="I1374" t="s">
        <v>16</v>
      </c>
      <c r="J1374">
        <v>1</v>
      </c>
      <c r="K1374">
        <v>6</v>
      </c>
    </row>
    <row r="1375" spans="1:11" x14ac:dyDescent="0.35">
      <c r="A1375" t="s">
        <v>1412</v>
      </c>
      <c r="B1375">
        <v>71</v>
      </c>
      <c r="C1375" t="s">
        <v>12</v>
      </c>
      <c r="D1375" t="s">
        <v>19</v>
      </c>
      <c r="E1375">
        <v>21</v>
      </c>
      <c r="F1375" t="s">
        <v>31</v>
      </c>
      <c r="G1375" t="s">
        <v>27</v>
      </c>
      <c r="H1375" s="1">
        <v>123.64</v>
      </c>
      <c r="I1375" t="s">
        <v>24</v>
      </c>
      <c r="J1375">
        <v>3</v>
      </c>
      <c r="K1375">
        <v>1</v>
      </c>
    </row>
    <row r="1376" spans="1:11" x14ac:dyDescent="0.35">
      <c r="A1376" t="s">
        <v>1413</v>
      </c>
      <c r="B1376">
        <v>75</v>
      </c>
      <c r="C1376" t="s">
        <v>189</v>
      </c>
      <c r="D1376" t="s">
        <v>13</v>
      </c>
      <c r="E1376">
        <v>16</v>
      </c>
      <c r="F1376" t="s">
        <v>31</v>
      </c>
      <c r="G1376" t="s">
        <v>34</v>
      </c>
      <c r="H1376" s="1">
        <v>130.19</v>
      </c>
      <c r="I1376" t="s">
        <v>24</v>
      </c>
      <c r="J1376">
        <v>0</v>
      </c>
      <c r="K1376">
        <v>5</v>
      </c>
    </row>
    <row r="1377" spans="1:11" x14ac:dyDescent="0.35">
      <c r="A1377" t="s">
        <v>1414</v>
      </c>
      <c r="B1377">
        <v>50</v>
      </c>
      <c r="C1377" t="s">
        <v>18</v>
      </c>
      <c r="D1377" t="s">
        <v>21</v>
      </c>
      <c r="E1377">
        <v>14</v>
      </c>
      <c r="F1377" t="s">
        <v>33</v>
      </c>
      <c r="G1377" t="s">
        <v>34</v>
      </c>
      <c r="H1377" s="1">
        <v>126.5</v>
      </c>
      <c r="I1377" t="s">
        <v>43</v>
      </c>
      <c r="J1377">
        <v>3</v>
      </c>
      <c r="K1377">
        <v>4</v>
      </c>
    </row>
    <row r="1378" spans="1:11" x14ac:dyDescent="0.35">
      <c r="A1378" t="s">
        <v>1415</v>
      </c>
      <c r="B1378">
        <v>57</v>
      </c>
      <c r="C1378" t="s">
        <v>18</v>
      </c>
      <c r="D1378" t="s">
        <v>47</v>
      </c>
      <c r="E1378">
        <v>2</v>
      </c>
      <c r="F1378" t="s">
        <v>31</v>
      </c>
      <c r="G1378" t="s">
        <v>37</v>
      </c>
      <c r="H1378" s="1">
        <v>157.69</v>
      </c>
      <c r="I1378" t="s">
        <v>24</v>
      </c>
      <c r="J1378">
        <v>0</v>
      </c>
      <c r="K1378">
        <v>9</v>
      </c>
    </row>
    <row r="1379" spans="1:11" x14ac:dyDescent="0.35">
      <c r="A1379" t="s">
        <v>1416</v>
      </c>
      <c r="B1379">
        <v>44</v>
      </c>
      <c r="C1379" t="s">
        <v>18</v>
      </c>
      <c r="D1379" t="s">
        <v>21</v>
      </c>
      <c r="E1379">
        <v>33</v>
      </c>
      <c r="F1379" t="s">
        <v>26</v>
      </c>
      <c r="G1379" t="s">
        <v>15</v>
      </c>
      <c r="H1379" s="1">
        <v>204.04</v>
      </c>
      <c r="I1379" t="s">
        <v>24</v>
      </c>
      <c r="J1379">
        <v>1</v>
      </c>
      <c r="K1379">
        <v>5</v>
      </c>
    </row>
    <row r="1380" spans="1:11" x14ac:dyDescent="0.35">
      <c r="A1380" t="s">
        <v>1417</v>
      </c>
      <c r="B1380">
        <v>37</v>
      </c>
      <c r="C1380" t="s">
        <v>18</v>
      </c>
      <c r="D1380" t="s">
        <v>47</v>
      </c>
      <c r="E1380">
        <v>7</v>
      </c>
      <c r="F1380" t="s">
        <v>26</v>
      </c>
      <c r="G1380" t="s">
        <v>37</v>
      </c>
      <c r="H1380" s="1">
        <v>196.51</v>
      </c>
      <c r="I1380" t="s">
        <v>24</v>
      </c>
      <c r="J1380">
        <v>0</v>
      </c>
      <c r="K1380">
        <v>8</v>
      </c>
    </row>
    <row r="1381" spans="1:11" x14ac:dyDescent="0.35">
      <c r="A1381" t="s">
        <v>1418</v>
      </c>
      <c r="B1381">
        <v>43</v>
      </c>
      <c r="C1381" t="s">
        <v>18</v>
      </c>
      <c r="D1381" t="s">
        <v>21</v>
      </c>
      <c r="E1381">
        <v>14</v>
      </c>
      <c r="F1381" t="s">
        <v>33</v>
      </c>
      <c r="G1381" t="s">
        <v>37</v>
      </c>
      <c r="H1381" s="1">
        <v>130.4</v>
      </c>
      <c r="I1381" t="s">
        <v>24</v>
      </c>
      <c r="J1381">
        <v>3</v>
      </c>
      <c r="K1381">
        <v>6</v>
      </c>
    </row>
    <row r="1382" spans="1:11" x14ac:dyDescent="0.35">
      <c r="A1382" t="s">
        <v>1419</v>
      </c>
      <c r="B1382">
        <v>40</v>
      </c>
      <c r="C1382" t="s">
        <v>12</v>
      </c>
      <c r="D1382" t="s">
        <v>21</v>
      </c>
      <c r="E1382">
        <v>30</v>
      </c>
      <c r="F1382" t="s">
        <v>33</v>
      </c>
      <c r="G1382" t="s">
        <v>23</v>
      </c>
      <c r="H1382" s="1">
        <v>445.3</v>
      </c>
      <c r="I1382" t="s">
        <v>43</v>
      </c>
      <c r="J1382">
        <v>2</v>
      </c>
      <c r="K1382">
        <v>1</v>
      </c>
    </row>
    <row r="1383" spans="1:11" x14ac:dyDescent="0.35">
      <c r="A1383" t="s">
        <v>1420</v>
      </c>
      <c r="B1383">
        <v>46</v>
      </c>
      <c r="C1383" t="s">
        <v>18</v>
      </c>
      <c r="D1383" t="s">
        <v>21</v>
      </c>
      <c r="E1383">
        <v>12</v>
      </c>
      <c r="F1383" t="s">
        <v>14</v>
      </c>
      <c r="G1383" t="s">
        <v>34</v>
      </c>
      <c r="H1383" s="1">
        <v>0</v>
      </c>
      <c r="I1383" t="s">
        <v>16</v>
      </c>
      <c r="J1383">
        <v>1</v>
      </c>
      <c r="K1383">
        <v>4</v>
      </c>
    </row>
    <row r="1384" spans="1:11" x14ac:dyDescent="0.35">
      <c r="A1384" t="s">
        <v>1421</v>
      </c>
      <c r="B1384">
        <v>31</v>
      </c>
      <c r="C1384" t="s">
        <v>18</v>
      </c>
      <c r="D1384" t="s">
        <v>19</v>
      </c>
      <c r="E1384">
        <v>20</v>
      </c>
      <c r="F1384" t="s">
        <v>22</v>
      </c>
      <c r="G1384" t="s">
        <v>34</v>
      </c>
      <c r="H1384" s="1">
        <v>183.45</v>
      </c>
      <c r="I1384" t="s">
        <v>24</v>
      </c>
      <c r="J1384">
        <v>0</v>
      </c>
      <c r="K1384">
        <v>4</v>
      </c>
    </row>
    <row r="1385" spans="1:11" x14ac:dyDescent="0.35">
      <c r="A1385" t="s">
        <v>1422</v>
      </c>
      <c r="B1385">
        <v>72</v>
      </c>
      <c r="C1385" t="s">
        <v>18</v>
      </c>
      <c r="D1385" t="s">
        <v>57</v>
      </c>
      <c r="E1385">
        <v>47</v>
      </c>
      <c r="F1385" t="s">
        <v>22</v>
      </c>
      <c r="G1385" t="s">
        <v>23</v>
      </c>
      <c r="H1385" s="1">
        <v>456.37</v>
      </c>
      <c r="I1385" t="s">
        <v>24</v>
      </c>
      <c r="J1385">
        <v>4</v>
      </c>
      <c r="K1385">
        <v>1</v>
      </c>
    </row>
    <row r="1386" spans="1:11" x14ac:dyDescent="0.35">
      <c r="A1386" t="s">
        <v>1423</v>
      </c>
      <c r="B1386">
        <v>49</v>
      </c>
      <c r="C1386" t="s">
        <v>12</v>
      </c>
      <c r="D1386" t="s">
        <v>13</v>
      </c>
      <c r="E1386">
        <v>19</v>
      </c>
      <c r="F1386" t="s">
        <v>22</v>
      </c>
      <c r="G1386" t="s">
        <v>27</v>
      </c>
      <c r="H1386" s="1">
        <v>24.54</v>
      </c>
      <c r="I1386" t="s">
        <v>24</v>
      </c>
      <c r="J1386">
        <v>2</v>
      </c>
      <c r="K1386">
        <v>4</v>
      </c>
    </row>
    <row r="1387" spans="1:11" x14ac:dyDescent="0.35">
      <c r="A1387" t="s">
        <v>1424</v>
      </c>
      <c r="B1387">
        <v>19</v>
      </c>
      <c r="C1387" t="s">
        <v>12</v>
      </c>
      <c r="D1387" t="s">
        <v>19</v>
      </c>
      <c r="E1387">
        <v>19</v>
      </c>
      <c r="F1387" t="s">
        <v>14</v>
      </c>
      <c r="G1387" t="s">
        <v>23</v>
      </c>
      <c r="H1387" s="1">
        <v>0</v>
      </c>
      <c r="I1387" t="s">
        <v>16</v>
      </c>
      <c r="J1387">
        <v>4</v>
      </c>
      <c r="K1387">
        <v>5</v>
      </c>
    </row>
    <row r="1388" spans="1:11" x14ac:dyDescent="0.35">
      <c r="A1388" t="s">
        <v>1425</v>
      </c>
      <c r="B1388">
        <v>24</v>
      </c>
      <c r="C1388" t="s">
        <v>12</v>
      </c>
      <c r="D1388" t="s">
        <v>21</v>
      </c>
      <c r="E1388">
        <v>43</v>
      </c>
      <c r="F1388" t="s">
        <v>33</v>
      </c>
      <c r="G1388" t="s">
        <v>15</v>
      </c>
      <c r="H1388" s="1">
        <v>172.32</v>
      </c>
      <c r="I1388" t="s">
        <v>24</v>
      </c>
      <c r="J1388">
        <v>3</v>
      </c>
      <c r="K1388">
        <v>2</v>
      </c>
    </row>
    <row r="1389" spans="1:11" x14ac:dyDescent="0.35">
      <c r="A1389" t="s">
        <v>1426</v>
      </c>
      <c r="B1389">
        <v>30</v>
      </c>
      <c r="C1389" t="s">
        <v>18</v>
      </c>
      <c r="D1389" t="s">
        <v>19</v>
      </c>
      <c r="E1389">
        <v>12</v>
      </c>
      <c r="F1389" t="s">
        <v>22</v>
      </c>
      <c r="G1389" t="s">
        <v>27</v>
      </c>
      <c r="H1389" s="1">
        <v>136.16999999999999</v>
      </c>
      <c r="I1389" t="s">
        <v>24</v>
      </c>
      <c r="J1389">
        <v>1</v>
      </c>
      <c r="K1389">
        <v>8</v>
      </c>
    </row>
    <row r="1390" spans="1:11" x14ac:dyDescent="0.35">
      <c r="A1390" t="s">
        <v>1427</v>
      </c>
      <c r="B1390">
        <v>36</v>
      </c>
      <c r="C1390" t="s">
        <v>18</v>
      </c>
      <c r="D1390" t="s">
        <v>41</v>
      </c>
      <c r="E1390">
        <v>6</v>
      </c>
      <c r="F1390" t="s">
        <v>26</v>
      </c>
      <c r="G1390" t="s">
        <v>27</v>
      </c>
      <c r="H1390" s="1">
        <v>81.86</v>
      </c>
      <c r="I1390" t="s">
        <v>24</v>
      </c>
      <c r="J1390">
        <v>1</v>
      </c>
      <c r="K1390">
        <v>7</v>
      </c>
    </row>
    <row r="1391" spans="1:11" x14ac:dyDescent="0.35">
      <c r="A1391" t="s">
        <v>1428</v>
      </c>
      <c r="B1391">
        <v>84</v>
      </c>
      <c r="C1391" t="s">
        <v>12</v>
      </c>
      <c r="D1391" t="s">
        <v>19</v>
      </c>
      <c r="E1391">
        <v>23</v>
      </c>
      <c r="F1391" t="s">
        <v>22</v>
      </c>
      <c r="G1391" t="s">
        <v>27</v>
      </c>
      <c r="H1391" s="1">
        <v>52.32</v>
      </c>
      <c r="I1391" t="s">
        <v>24</v>
      </c>
      <c r="J1391">
        <v>0</v>
      </c>
      <c r="K1391">
        <v>4</v>
      </c>
    </row>
    <row r="1392" spans="1:11" x14ac:dyDescent="0.35">
      <c r="A1392" t="s">
        <v>1429</v>
      </c>
      <c r="B1392">
        <v>46</v>
      </c>
      <c r="C1392" t="s">
        <v>12</v>
      </c>
      <c r="D1392" t="s">
        <v>41</v>
      </c>
      <c r="E1392">
        <v>6</v>
      </c>
      <c r="F1392" t="s">
        <v>33</v>
      </c>
      <c r="G1392" t="s">
        <v>37</v>
      </c>
      <c r="H1392" s="1">
        <v>97.41</v>
      </c>
      <c r="I1392" t="s">
        <v>24</v>
      </c>
      <c r="J1392">
        <v>2</v>
      </c>
      <c r="K1392">
        <v>7</v>
      </c>
    </row>
    <row r="1393" spans="1:11" x14ac:dyDescent="0.35">
      <c r="A1393" t="s">
        <v>1430</v>
      </c>
      <c r="B1393">
        <v>46</v>
      </c>
      <c r="C1393" t="s">
        <v>12</v>
      </c>
      <c r="D1393" t="s">
        <v>30</v>
      </c>
      <c r="E1393">
        <v>9</v>
      </c>
      <c r="F1393" t="s">
        <v>31</v>
      </c>
      <c r="G1393" t="s">
        <v>27</v>
      </c>
      <c r="H1393" s="1">
        <v>51.41</v>
      </c>
      <c r="I1393" t="s">
        <v>24</v>
      </c>
      <c r="J1393">
        <v>0</v>
      </c>
      <c r="K1393">
        <v>4</v>
      </c>
    </row>
    <row r="1394" spans="1:11" x14ac:dyDescent="0.35">
      <c r="A1394" t="s">
        <v>1431</v>
      </c>
      <c r="B1394">
        <v>83</v>
      </c>
      <c r="C1394" t="s">
        <v>18</v>
      </c>
      <c r="D1394" t="s">
        <v>21</v>
      </c>
      <c r="E1394">
        <v>43</v>
      </c>
      <c r="F1394" t="s">
        <v>31</v>
      </c>
      <c r="G1394" t="s">
        <v>15</v>
      </c>
      <c r="H1394" s="1">
        <v>374.75</v>
      </c>
      <c r="I1394" t="s">
        <v>43</v>
      </c>
      <c r="J1394">
        <v>1</v>
      </c>
      <c r="K1394">
        <v>5</v>
      </c>
    </row>
    <row r="1395" spans="1:11" x14ac:dyDescent="0.35">
      <c r="A1395" t="s">
        <v>1432</v>
      </c>
      <c r="B1395">
        <v>50</v>
      </c>
      <c r="C1395" t="s">
        <v>18</v>
      </c>
      <c r="D1395" t="s">
        <v>19</v>
      </c>
      <c r="E1395">
        <v>24</v>
      </c>
      <c r="F1395" t="s">
        <v>31</v>
      </c>
      <c r="G1395" t="s">
        <v>23</v>
      </c>
      <c r="H1395" s="1">
        <v>193.9</v>
      </c>
      <c r="I1395" t="s">
        <v>28</v>
      </c>
      <c r="J1395">
        <v>1</v>
      </c>
      <c r="K1395">
        <v>3</v>
      </c>
    </row>
    <row r="1396" spans="1:11" x14ac:dyDescent="0.35">
      <c r="A1396" t="s">
        <v>1433</v>
      </c>
      <c r="B1396">
        <v>30</v>
      </c>
      <c r="C1396" t="s">
        <v>18</v>
      </c>
      <c r="D1396" t="s">
        <v>57</v>
      </c>
      <c r="E1396">
        <v>37</v>
      </c>
      <c r="F1396" t="s">
        <v>31</v>
      </c>
      <c r="G1396" t="s">
        <v>27</v>
      </c>
      <c r="H1396" s="1">
        <v>167.87</v>
      </c>
      <c r="I1396" t="s">
        <v>24</v>
      </c>
      <c r="J1396">
        <v>1</v>
      </c>
      <c r="K1396">
        <v>3</v>
      </c>
    </row>
    <row r="1397" spans="1:11" x14ac:dyDescent="0.35">
      <c r="A1397" t="s">
        <v>1434</v>
      </c>
      <c r="B1397">
        <v>69</v>
      </c>
      <c r="C1397" t="s">
        <v>12</v>
      </c>
      <c r="D1397" t="s">
        <v>19</v>
      </c>
      <c r="E1397">
        <v>19</v>
      </c>
      <c r="F1397" t="s">
        <v>33</v>
      </c>
      <c r="G1397" t="s">
        <v>34</v>
      </c>
      <c r="H1397" s="1">
        <v>166.81</v>
      </c>
      <c r="I1397" t="s">
        <v>28</v>
      </c>
      <c r="J1397">
        <v>1</v>
      </c>
      <c r="K1397">
        <v>4</v>
      </c>
    </row>
    <row r="1398" spans="1:11" x14ac:dyDescent="0.35">
      <c r="A1398" t="s">
        <v>1435</v>
      </c>
      <c r="B1398">
        <v>71</v>
      </c>
      <c r="C1398" t="s">
        <v>12</v>
      </c>
      <c r="D1398" t="s">
        <v>13</v>
      </c>
      <c r="E1398">
        <v>15</v>
      </c>
      <c r="F1398" t="s">
        <v>14</v>
      </c>
      <c r="G1398" t="s">
        <v>37</v>
      </c>
      <c r="H1398" s="1">
        <v>0</v>
      </c>
      <c r="I1398" t="s">
        <v>16</v>
      </c>
      <c r="J1398">
        <v>2</v>
      </c>
      <c r="K1398">
        <v>8</v>
      </c>
    </row>
    <row r="1399" spans="1:11" x14ac:dyDescent="0.35">
      <c r="A1399" t="s">
        <v>1436</v>
      </c>
      <c r="B1399">
        <v>20</v>
      </c>
      <c r="C1399" t="s">
        <v>18</v>
      </c>
      <c r="D1399" t="s">
        <v>41</v>
      </c>
      <c r="E1399">
        <v>12</v>
      </c>
      <c r="F1399" t="s">
        <v>22</v>
      </c>
      <c r="G1399" t="s">
        <v>27</v>
      </c>
      <c r="H1399" s="1">
        <v>112.54</v>
      </c>
      <c r="I1399" t="s">
        <v>24</v>
      </c>
      <c r="J1399">
        <v>0</v>
      </c>
      <c r="K1399">
        <v>7</v>
      </c>
    </row>
    <row r="1400" spans="1:11" x14ac:dyDescent="0.35">
      <c r="A1400" t="s">
        <v>1437</v>
      </c>
      <c r="B1400">
        <v>49</v>
      </c>
      <c r="C1400" t="s">
        <v>18</v>
      </c>
      <c r="D1400" t="s">
        <v>21</v>
      </c>
      <c r="E1400">
        <v>24</v>
      </c>
      <c r="F1400" t="s">
        <v>33</v>
      </c>
      <c r="G1400" t="s">
        <v>23</v>
      </c>
      <c r="H1400" s="1">
        <v>332.27</v>
      </c>
      <c r="I1400" t="s">
        <v>24</v>
      </c>
      <c r="J1400">
        <v>3</v>
      </c>
      <c r="K1400">
        <v>4</v>
      </c>
    </row>
    <row r="1401" spans="1:11" x14ac:dyDescent="0.35">
      <c r="A1401" t="s">
        <v>1438</v>
      </c>
      <c r="B1401">
        <v>64</v>
      </c>
      <c r="C1401" t="s">
        <v>18</v>
      </c>
      <c r="D1401" t="s">
        <v>21</v>
      </c>
      <c r="E1401">
        <v>35</v>
      </c>
      <c r="F1401" t="s">
        <v>26</v>
      </c>
      <c r="G1401" t="s">
        <v>34</v>
      </c>
      <c r="H1401" s="1">
        <v>93.75</v>
      </c>
      <c r="I1401" t="s">
        <v>28</v>
      </c>
      <c r="J1401">
        <v>1</v>
      </c>
      <c r="K1401">
        <v>2</v>
      </c>
    </row>
    <row r="1402" spans="1:11" x14ac:dyDescent="0.35">
      <c r="A1402" t="s">
        <v>1439</v>
      </c>
      <c r="B1402">
        <v>49</v>
      </c>
      <c r="C1402" t="s">
        <v>12</v>
      </c>
      <c r="D1402" t="s">
        <v>19</v>
      </c>
      <c r="E1402">
        <v>24</v>
      </c>
      <c r="F1402" t="s">
        <v>22</v>
      </c>
      <c r="G1402" t="s">
        <v>15</v>
      </c>
      <c r="H1402" s="1">
        <v>163.22999999999999</v>
      </c>
      <c r="I1402" t="s">
        <v>24</v>
      </c>
      <c r="J1402">
        <v>2</v>
      </c>
      <c r="K1402">
        <v>5</v>
      </c>
    </row>
    <row r="1403" spans="1:11" x14ac:dyDescent="0.35">
      <c r="A1403" t="s">
        <v>1440</v>
      </c>
      <c r="B1403">
        <v>71</v>
      </c>
      <c r="C1403" t="s">
        <v>12</v>
      </c>
      <c r="D1403" t="s">
        <v>19</v>
      </c>
      <c r="E1403">
        <v>16</v>
      </c>
      <c r="F1403" t="s">
        <v>22</v>
      </c>
      <c r="G1403" t="s">
        <v>23</v>
      </c>
      <c r="H1403" s="1">
        <v>532.29999999999995</v>
      </c>
      <c r="I1403" t="s">
        <v>24</v>
      </c>
      <c r="J1403">
        <v>2</v>
      </c>
      <c r="K1403">
        <v>5</v>
      </c>
    </row>
    <row r="1404" spans="1:11" x14ac:dyDescent="0.35">
      <c r="A1404" t="s">
        <v>1441</v>
      </c>
      <c r="B1404">
        <v>82</v>
      </c>
      <c r="C1404" t="s">
        <v>12</v>
      </c>
      <c r="D1404" t="s">
        <v>41</v>
      </c>
      <c r="E1404">
        <v>14</v>
      </c>
      <c r="F1404" t="s">
        <v>31</v>
      </c>
      <c r="G1404" t="s">
        <v>27</v>
      </c>
      <c r="H1404" s="1">
        <v>102.87</v>
      </c>
      <c r="I1404" t="s">
        <v>43</v>
      </c>
      <c r="J1404">
        <v>2</v>
      </c>
      <c r="K1404">
        <v>5</v>
      </c>
    </row>
    <row r="1405" spans="1:11" x14ac:dyDescent="0.35">
      <c r="A1405" t="s">
        <v>1442</v>
      </c>
      <c r="B1405">
        <v>38</v>
      </c>
      <c r="C1405" t="s">
        <v>12</v>
      </c>
      <c r="D1405" t="s">
        <v>19</v>
      </c>
      <c r="E1405">
        <v>10</v>
      </c>
      <c r="F1405" t="s">
        <v>22</v>
      </c>
      <c r="G1405" t="s">
        <v>27</v>
      </c>
      <c r="H1405" s="1">
        <v>121.27</v>
      </c>
      <c r="I1405" t="s">
        <v>24</v>
      </c>
      <c r="J1405">
        <v>1</v>
      </c>
      <c r="K1405">
        <v>4</v>
      </c>
    </row>
    <row r="1406" spans="1:11" x14ac:dyDescent="0.35">
      <c r="A1406" t="s">
        <v>1443</v>
      </c>
      <c r="B1406">
        <v>41</v>
      </c>
      <c r="C1406" t="s">
        <v>12</v>
      </c>
      <c r="D1406" t="s">
        <v>19</v>
      </c>
      <c r="E1406">
        <v>6</v>
      </c>
      <c r="F1406" t="s">
        <v>33</v>
      </c>
      <c r="G1406" t="s">
        <v>15</v>
      </c>
      <c r="H1406" s="1">
        <v>300.27</v>
      </c>
      <c r="I1406" t="s">
        <v>24</v>
      </c>
      <c r="J1406">
        <v>0</v>
      </c>
      <c r="K1406">
        <v>10</v>
      </c>
    </row>
    <row r="1407" spans="1:11" x14ac:dyDescent="0.35">
      <c r="A1407" t="s">
        <v>1444</v>
      </c>
      <c r="B1407">
        <v>70</v>
      </c>
      <c r="C1407" t="s">
        <v>12</v>
      </c>
      <c r="D1407" t="s">
        <v>47</v>
      </c>
      <c r="E1407">
        <v>5</v>
      </c>
      <c r="F1407" t="s">
        <v>22</v>
      </c>
      <c r="G1407" t="s">
        <v>27</v>
      </c>
      <c r="H1407" s="1">
        <v>20.89</v>
      </c>
      <c r="I1407" t="s">
        <v>24</v>
      </c>
      <c r="J1407">
        <v>0</v>
      </c>
      <c r="K1407">
        <v>7</v>
      </c>
    </row>
    <row r="1408" spans="1:11" x14ac:dyDescent="0.35">
      <c r="A1408" t="s">
        <v>1445</v>
      </c>
      <c r="B1408">
        <v>59</v>
      </c>
      <c r="C1408" t="s">
        <v>18</v>
      </c>
      <c r="D1408" t="s">
        <v>21</v>
      </c>
      <c r="E1408">
        <v>45</v>
      </c>
      <c r="F1408" t="s">
        <v>31</v>
      </c>
      <c r="G1408" t="s">
        <v>37</v>
      </c>
      <c r="H1408" s="1">
        <v>193.88</v>
      </c>
      <c r="I1408" t="s">
        <v>24</v>
      </c>
      <c r="J1408">
        <v>1</v>
      </c>
      <c r="K1408">
        <v>3</v>
      </c>
    </row>
    <row r="1409" spans="1:11" x14ac:dyDescent="0.35">
      <c r="A1409" t="s">
        <v>1446</v>
      </c>
      <c r="B1409">
        <v>28</v>
      </c>
      <c r="C1409" t="s">
        <v>18</v>
      </c>
      <c r="D1409" t="s">
        <v>41</v>
      </c>
      <c r="E1409">
        <v>8</v>
      </c>
      <c r="F1409" t="s">
        <v>26</v>
      </c>
      <c r="G1409" t="s">
        <v>23</v>
      </c>
      <c r="H1409" s="1">
        <v>256.57</v>
      </c>
      <c r="I1409" t="s">
        <v>24</v>
      </c>
      <c r="J1409">
        <v>2</v>
      </c>
      <c r="K1409">
        <v>9</v>
      </c>
    </row>
    <row r="1410" spans="1:11" x14ac:dyDescent="0.35">
      <c r="A1410" t="s">
        <v>1447</v>
      </c>
      <c r="B1410">
        <v>54</v>
      </c>
      <c r="C1410" t="s">
        <v>18</v>
      </c>
      <c r="D1410" t="s">
        <v>41</v>
      </c>
      <c r="E1410">
        <v>5</v>
      </c>
      <c r="F1410" t="s">
        <v>22</v>
      </c>
      <c r="G1410" t="s">
        <v>27</v>
      </c>
      <c r="H1410" s="1">
        <v>36.81</v>
      </c>
      <c r="I1410" t="s">
        <v>24</v>
      </c>
      <c r="J1410">
        <v>1</v>
      </c>
      <c r="K1410">
        <v>7</v>
      </c>
    </row>
    <row r="1411" spans="1:11" x14ac:dyDescent="0.35">
      <c r="A1411" t="s">
        <v>1448</v>
      </c>
      <c r="B1411">
        <v>63</v>
      </c>
      <c r="C1411" t="s">
        <v>12</v>
      </c>
      <c r="D1411" t="s">
        <v>19</v>
      </c>
      <c r="E1411">
        <v>17</v>
      </c>
      <c r="F1411" t="s">
        <v>26</v>
      </c>
      <c r="G1411" t="s">
        <v>37</v>
      </c>
      <c r="H1411" s="1">
        <v>102.98</v>
      </c>
      <c r="I1411" t="s">
        <v>28</v>
      </c>
      <c r="J1411">
        <v>3</v>
      </c>
      <c r="K1411">
        <v>4</v>
      </c>
    </row>
    <row r="1412" spans="1:11" x14ac:dyDescent="0.35">
      <c r="A1412" t="s">
        <v>1449</v>
      </c>
      <c r="B1412">
        <v>66</v>
      </c>
      <c r="C1412" t="s">
        <v>18</v>
      </c>
      <c r="D1412" t="s">
        <v>19</v>
      </c>
      <c r="E1412">
        <v>16</v>
      </c>
      <c r="F1412" t="s">
        <v>31</v>
      </c>
      <c r="G1412" t="s">
        <v>34</v>
      </c>
      <c r="H1412" s="1">
        <v>146.91999999999999</v>
      </c>
      <c r="I1412" t="s">
        <v>24</v>
      </c>
      <c r="J1412">
        <v>3</v>
      </c>
      <c r="K1412">
        <v>5</v>
      </c>
    </row>
    <row r="1413" spans="1:11" x14ac:dyDescent="0.35">
      <c r="A1413" t="s">
        <v>1450</v>
      </c>
      <c r="B1413">
        <v>48</v>
      </c>
      <c r="C1413" t="s">
        <v>12</v>
      </c>
      <c r="D1413" t="s">
        <v>21</v>
      </c>
      <c r="E1413">
        <v>14</v>
      </c>
      <c r="F1413" t="s">
        <v>22</v>
      </c>
      <c r="G1413" t="s">
        <v>34</v>
      </c>
      <c r="H1413" s="1">
        <v>102.94</v>
      </c>
      <c r="I1413" t="s">
        <v>24</v>
      </c>
      <c r="J1413">
        <v>0</v>
      </c>
      <c r="K1413">
        <v>4</v>
      </c>
    </row>
    <row r="1414" spans="1:11" x14ac:dyDescent="0.35">
      <c r="A1414" t="s">
        <v>1451</v>
      </c>
      <c r="B1414">
        <v>36</v>
      </c>
      <c r="C1414" t="s">
        <v>12</v>
      </c>
      <c r="D1414" t="s">
        <v>21</v>
      </c>
      <c r="E1414">
        <v>30</v>
      </c>
      <c r="F1414" t="s">
        <v>22</v>
      </c>
      <c r="G1414" t="s">
        <v>23</v>
      </c>
      <c r="H1414" s="1">
        <v>265.5</v>
      </c>
      <c r="I1414" t="s">
        <v>24</v>
      </c>
      <c r="J1414">
        <v>4</v>
      </c>
      <c r="K1414">
        <v>1</v>
      </c>
    </row>
    <row r="1415" spans="1:11" x14ac:dyDescent="0.35">
      <c r="A1415" t="s">
        <v>1452</v>
      </c>
      <c r="B1415">
        <v>77</v>
      </c>
      <c r="C1415" t="s">
        <v>12</v>
      </c>
      <c r="D1415" t="s">
        <v>19</v>
      </c>
      <c r="E1415">
        <v>24</v>
      </c>
      <c r="F1415" t="s">
        <v>26</v>
      </c>
      <c r="G1415" t="s">
        <v>34</v>
      </c>
      <c r="H1415" s="1">
        <v>113.64</v>
      </c>
      <c r="I1415" t="s">
        <v>24</v>
      </c>
      <c r="J1415">
        <v>0</v>
      </c>
      <c r="K1415">
        <v>4</v>
      </c>
    </row>
    <row r="1416" spans="1:11" x14ac:dyDescent="0.35">
      <c r="A1416" t="s">
        <v>1453</v>
      </c>
      <c r="B1416">
        <v>34</v>
      </c>
      <c r="C1416" t="s">
        <v>12</v>
      </c>
      <c r="D1416" t="s">
        <v>19</v>
      </c>
      <c r="E1416">
        <v>11</v>
      </c>
      <c r="F1416" t="s">
        <v>31</v>
      </c>
      <c r="G1416" t="s">
        <v>37</v>
      </c>
      <c r="H1416" s="1">
        <v>165.26</v>
      </c>
      <c r="I1416" t="s">
        <v>28</v>
      </c>
      <c r="J1416">
        <v>1</v>
      </c>
      <c r="K1416">
        <v>8</v>
      </c>
    </row>
    <row r="1417" spans="1:11" x14ac:dyDescent="0.35">
      <c r="A1417" t="s">
        <v>1454</v>
      </c>
      <c r="B1417">
        <v>84</v>
      </c>
      <c r="C1417" t="s">
        <v>18</v>
      </c>
      <c r="D1417" t="s">
        <v>21</v>
      </c>
      <c r="E1417">
        <v>34</v>
      </c>
      <c r="F1417" t="s">
        <v>22</v>
      </c>
      <c r="G1417" t="s">
        <v>15</v>
      </c>
      <c r="H1417" s="1">
        <v>193.68</v>
      </c>
      <c r="I1417" t="s">
        <v>28</v>
      </c>
      <c r="J1417">
        <v>1</v>
      </c>
      <c r="K1417">
        <v>4</v>
      </c>
    </row>
    <row r="1418" spans="1:11" x14ac:dyDescent="0.35">
      <c r="A1418" t="s">
        <v>1455</v>
      </c>
      <c r="B1418">
        <v>37</v>
      </c>
      <c r="C1418" t="s">
        <v>18</v>
      </c>
      <c r="D1418" t="s">
        <v>30</v>
      </c>
      <c r="E1418">
        <v>11</v>
      </c>
      <c r="F1418" t="s">
        <v>33</v>
      </c>
      <c r="G1418" t="s">
        <v>15</v>
      </c>
      <c r="H1418" s="1">
        <v>400.02</v>
      </c>
      <c r="I1418" t="s">
        <v>28</v>
      </c>
      <c r="J1418">
        <v>1</v>
      </c>
      <c r="K1418">
        <v>7</v>
      </c>
    </row>
    <row r="1419" spans="1:11" x14ac:dyDescent="0.35">
      <c r="A1419" t="s">
        <v>1456</v>
      </c>
      <c r="B1419">
        <v>42</v>
      </c>
      <c r="C1419" t="s">
        <v>12</v>
      </c>
      <c r="D1419" t="s">
        <v>30</v>
      </c>
      <c r="E1419">
        <v>5</v>
      </c>
      <c r="F1419" t="s">
        <v>33</v>
      </c>
      <c r="G1419" t="s">
        <v>37</v>
      </c>
      <c r="H1419" s="1">
        <v>118.84</v>
      </c>
      <c r="I1419" t="s">
        <v>24</v>
      </c>
      <c r="J1419">
        <v>0</v>
      </c>
      <c r="K1419">
        <v>8</v>
      </c>
    </row>
    <row r="1420" spans="1:11" x14ac:dyDescent="0.35">
      <c r="A1420" t="s">
        <v>1457</v>
      </c>
      <c r="B1420">
        <v>45</v>
      </c>
      <c r="C1420" t="s">
        <v>18</v>
      </c>
      <c r="D1420" t="s">
        <v>13</v>
      </c>
      <c r="E1420">
        <v>15</v>
      </c>
      <c r="F1420" t="s">
        <v>33</v>
      </c>
      <c r="G1420" t="s">
        <v>15</v>
      </c>
      <c r="H1420" s="1">
        <v>126.53</v>
      </c>
      <c r="I1420" t="s">
        <v>43</v>
      </c>
      <c r="J1420">
        <v>2</v>
      </c>
      <c r="K1420">
        <v>5</v>
      </c>
    </row>
    <row r="1421" spans="1:11" x14ac:dyDescent="0.35">
      <c r="A1421" t="s">
        <v>1458</v>
      </c>
      <c r="B1421">
        <v>73</v>
      </c>
      <c r="C1421" t="s">
        <v>18</v>
      </c>
      <c r="D1421" t="s">
        <v>19</v>
      </c>
      <c r="E1421">
        <v>23</v>
      </c>
      <c r="F1421" t="s">
        <v>22</v>
      </c>
      <c r="G1421" t="s">
        <v>37</v>
      </c>
      <c r="H1421" s="1">
        <v>187.36</v>
      </c>
      <c r="I1421" t="s">
        <v>24</v>
      </c>
      <c r="J1421">
        <v>0</v>
      </c>
      <c r="K1421">
        <v>4</v>
      </c>
    </row>
    <row r="1422" spans="1:11" x14ac:dyDescent="0.35">
      <c r="A1422" t="s">
        <v>1459</v>
      </c>
      <c r="B1422">
        <v>38</v>
      </c>
      <c r="C1422" t="s">
        <v>12</v>
      </c>
      <c r="D1422" t="s">
        <v>30</v>
      </c>
      <c r="E1422">
        <v>11</v>
      </c>
      <c r="F1422" t="s">
        <v>22</v>
      </c>
      <c r="G1422" t="s">
        <v>34</v>
      </c>
      <c r="H1422" s="1">
        <v>209.74</v>
      </c>
      <c r="I1422" t="s">
        <v>24</v>
      </c>
      <c r="J1422">
        <v>3</v>
      </c>
      <c r="K1422">
        <v>6</v>
      </c>
    </row>
    <row r="1423" spans="1:11" x14ac:dyDescent="0.35">
      <c r="A1423" t="s">
        <v>1460</v>
      </c>
      <c r="B1423">
        <v>61</v>
      </c>
      <c r="C1423" t="s">
        <v>18</v>
      </c>
      <c r="D1423" t="s">
        <v>21</v>
      </c>
      <c r="E1423">
        <v>21</v>
      </c>
      <c r="F1423" t="s">
        <v>31</v>
      </c>
      <c r="G1423" t="s">
        <v>34</v>
      </c>
      <c r="H1423" s="1">
        <v>180.15</v>
      </c>
      <c r="I1423" t="s">
        <v>24</v>
      </c>
      <c r="J1423">
        <v>3</v>
      </c>
      <c r="K1423">
        <v>5</v>
      </c>
    </row>
    <row r="1424" spans="1:11" x14ac:dyDescent="0.35">
      <c r="A1424" t="s">
        <v>1461</v>
      </c>
      <c r="B1424">
        <v>35</v>
      </c>
      <c r="C1424" t="s">
        <v>12</v>
      </c>
      <c r="D1424" t="s">
        <v>21</v>
      </c>
      <c r="E1424">
        <v>39</v>
      </c>
      <c r="F1424" t="s">
        <v>31</v>
      </c>
      <c r="G1424" t="s">
        <v>15</v>
      </c>
      <c r="H1424" s="1">
        <v>156.88999999999999</v>
      </c>
      <c r="I1424" t="s">
        <v>24</v>
      </c>
      <c r="J1424">
        <v>3</v>
      </c>
      <c r="K1424">
        <v>2</v>
      </c>
    </row>
    <row r="1425" spans="1:11" x14ac:dyDescent="0.35">
      <c r="A1425" t="s">
        <v>1462</v>
      </c>
      <c r="B1425">
        <v>29</v>
      </c>
      <c r="C1425" t="s">
        <v>18</v>
      </c>
      <c r="D1425" t="s">
        <v>19</v>
      </c>
      <c r="E1425">
        <v>12</v>
      </c>
      <c r="F1425" t="s">
        <v>31</v>
      </c>
      <c r="G1425" t="s">
        <v>23</v>
      </c>
      <c r="H1425" s="1">
        <v>526.4</v>
      </c>
      <c r="I1425" t="s">
        <v>24</v>
      </c>
      <c r="J1425">
        <v>1</v>
      </c>
      <c r="K1425">
        <v>7</v>
      </c>
    </row>
    <row r="1426" spans="1:11" x14ac:dyDescent="0.35">
      <c r="A1426" t="s">
        <v>1463</v>
      </c>
      <c r="B1426">
        <v>57</v>
      </c>
      <c r="C1426" t="s">
        <v>12</v>
      </c>
      <c r="D1426" t="s">
        <v>19</v>
      </c>
      <c r="E1426">
        <v>19</v>
      </c>
      <c r="F1426" t="s">
        <v>31</v>
      </c>
      <c r="G1426" t="s">
        <v>34</v>
      </c>
      <c r="H1426" s="1">
        <v>200.66</v>
      </c>
      <c r="I1426" t="s">
        <v>24</v>
      </c>
      <c r="J1426">
        <v>3</v>
      </c>
      <c r="K1426">
        <v>1</v>
      </c>
    </row>
    <row r="1427" spans="1:11" x14ac:dyDescent="0.35">
      <c r="A1427" t="s">
        <v>1464</v>
      </c>
      <c r="B1427">
        <v>66</v>
      </c>
      <c r="C1427" t="s">
        <v>18</v>
      </c>
      <c r="D1427" t="s">
        <v>21</v>
      </c>
      <c r="E1427">
        <v>27</v>
      </c>
      <c r="F1427" t="s">
        <v>31</v>
      </c>
      <c r="G1427" t="s">
        <v>27</v>
      </c>
      <c r="H1427" s="1">
        <v>131.18</v>
      </c>
      <c r="I1427" t="s">
        <v>24</v>
      </c>
      <c r="J1427">
        <v>2</v>
      </c>
      <c r="K1427">
        <v>4</v>
      </c>
    </row>
    <row r="1428" spans="1:11" x14ac:dyDescent="0.35">
      <c r="A1428" t="s">
        <v>1465</v>
      </c>
      <c r="B1428">
        <v>46</v>
      </c>
      <c r="C1428" t="s">
        <v>18</v>
      </c>
      <c r="D1428" t="s">
        <v>30</v>
      </c>
      <c r="E1428">
        <v>9</v>
      </c>
      <c r="F1428" t="s">
        <v>31</v>
      </c>
      <c r="G1428" t="s">
        <v>27</v>
      </c>
      <c r="H1428" s="1">
        <v>40.549999999999997</v>
      </c>
      <c r="I1428" t="s">
        <v>24</v>
      </c>
      <c r="J1428">
        <v>0</v>
      </c>
      <c r="K1428">
        <v>6</v>
      </c>
    </row>
    <row r="1429" spans="1:11" x14ac:dyDescent="0.35">
      <c r="A1429" t="s">
        <v>1466</v>
      </c>
      <c r="B1429">
        <v>80</v>
      </c>
      <c r="C1429" t="s">
        <v>12</v>
      </c>
      <c r="D1429" t="s">
        <v>21</v>
      </c>
      <c r="E1429">
        <v>33</v>
      </c>
      <c r="F1429" t="s">
        <v>33</v>
      </c>
      <c r="G1429" t="s">
        <v>37</v>
      </c>
      <c r="H1429" s="1">
        <v>201.52</v>
      </c>
      <c r="I1429" t="s">
        <v>24</v>
      </c>
      <c r="J1429">
        <v>1</v>
      </c>
      <c r="K1429">
        <v>3</v>
      </c>
    </row>
    <row r="1430" spans="1:11" x14ac:dyDescent="0.35">
      <c r="A1430" t="s">
        <v>1467</v>
      </c>
      <c r="B1430">
        <v>72</v>
      </c>
      <c r="C1430" t="s">
        <v>12</v>
      </c>
      <c r="D1430" t="s">
        <v>13</v>
      </c>
      <c r="E1430">
        <v>16</v>
      </c>
      <c r="F1430" t="s">
        <v>31</v>
      </c>
      <c r="G1430" t="s">
        <v>34</v>
      </c>
      <c r="H1430" s="1">
        <v>109.75</v>
      </c>
      <c r="I1430" t="s">
        <v>24</v>
      </c>
      <c r="J1430">
        <v>3</v>
      </c>
      <c r="K1430">
        <v>7</v>
      </c>
    </row>
    <row r="1431" spans="1:11" x14ac:dyDescent="0.35">
      <c r="A1431" t="s">
        <v>1468</v>
      </c>
      <c r="B1431">
        <v>66</v>
      </c>
      <c r="C1431" t="s">
        <v>18</v>
      </c>
      <c r="D1431" t="s">
        <v>120</v>
      </c>
      <c r="E1431">
        <v>41</v>
      </c>
      <c r="F1431" t="s">
        <v>31</v>
      </c>
      <c r="G1431" t="s">
        <v>23</v>
      </c>
      <c r="H1431" s="1">
        <v>383.22</v>
      </c>
      <c r="I1431" t="s">
        <v>28</v>
      </c>
      <c r="J1431">
        <v>2</v>
      </c>
      <c r="K1431">
        <v>1</v>
      </c>
    </row>
    <row r="1432" spans="1:11" x14ac:dyDescent="0.35">
      <c r="A1432" t="s">
        <v>1469</v>
      </c>
      <c r="B1432">
        <v>31</v>
      </c>
      <c r="C1432" t="s">
        <v>18</v>
      </c>
      <c r="D1432" t="s">
        <v>120</v>
      </c>
      <c r="E1432">
        <v>46</v>
      </c>
      <c r="F1432" t="s">
        <v>22</v>
      </c>
      <c r="G1432" t="s">
        <v>34</v>
      </c>
      <c r="H1432" s="1">
        <v>94.23</v>
      </c>
      <c r="I1432" t="s">
        <v>24</v>
      </c>
      <c r="J1432">
        <v>4</v>
      </c>
      <c r="K1432">
        <v>4</v>
      </c>
    </row>
    <row r="1433" spans="1:11" x14ac:dyDescent="0.35">
      <c r="A1433" t="s">
        <v>1470</v>
      </c>
      <c r="B1433">
        <v>84</v>
      </c>
      <c r="C1433" t="s">
        <v>18</v>
      </c>
      <c r="D1433" t="s">
        <v>13</v>
      </c>
      <c r="E1433">
        <v>14</v>
      </c>
      <c r="F1433" t="s">
        <v>33</v>
      </c>
      <c r="G1433" t="s">
        <v>23</v>
      </c>
      <c r="H1433" s="1">
        <v>561.80999999999995</v>
      </c>
      <c r="I1433" t="s">
        <v>24</v>
      </c>
      <c r="J1433">
        <v>3</v>
      </c>
      <c r="K1433">
        <v>7</v>
      </c>
    </row>
    <row r="1434" spans="1:11" x14ac:dyDescent="0.35">
      <c r="A1434" t="s">
        <v>1471</v>
      </c>
      <c r="B1434">
        <v>30</v>
      </c>
      <c r="C1434" t="s">
        <v>18</v>
      </c>
      <c r="D1434" t="s">
        <v>30</v>
      </c>
      <c r="E1434">
        <v>11</v>
      </c>
      <c r="F1434" t="s">
        <v>33</v>
      </c>
      <c r="G1434" t="s">
        <v>15</v>
      </c>
      <c r="H1434" s="1">
        <v>307.68</v>
      </c>
      <c r="I1434" t="s">
        <v>24</v>
      </c>
      <c r="J1434">
        <v>0</v>
      </c>
      <c r="K1434">
        <v>8</v>
      </c>
    </row>
    <row r="1435" spans="1:11" x14ac:dyDescent="0.35">
      <c r="A1435" t="s">
        <v>1472</v>
      </c>
      <c r="B1435">
        <v>80</v>
      </c>
      <c r="C1435" t="s">
        <v>18</v>
      </c>
      <c r="D1435" t="s">
        <v>21</v>
      </c>
      <c r="E1435">
        <v>22</v>
      </c>
      <c r="F1435" t="s">
        <v>31</v>
      </c>
      <c r="G1435" t="s">
        <v>15</v>
      </c>
      <c r="H1435" s="1">
        <v>174.23</v>
      </c>
      <c r="I1435" t="s">
        <v>24</v>
      </c>
      <c r="J1435">
        <v>3</v>
      </c>
      <c r="K1435">
        <v>1</v>
      </c>
    </row>
    <row r="1436" spans="1:11" x14ac:dyDescent="0.35">
      <c r="A1436" t="s">
        <v>1473</v>
      </c>
      <c r="B1436">
        <v>22</v>
      </c>
      <c r="C1436" t="s">
        <v>18</v>
      </c>
      <c r="D1436" t="s">
        <v>120</v>
      </c>
      <c r="E1436">
        <v>24</v>
      </c>
      <c r="F1436" t="s">
        <v>33</v>
      </c>
      <c r="G1436" t="s">
        <v>37</v>
      </c>
      <c r="H1436" s="1">
        <v>130.69</v>
      </c>
      <c r="I1436" t="s">
        <v>24</v>
      </c>
      <c r="J1436">
        <v>4</v>
      </c>
      <c r="K1436">
        <v>1</v>
      </c>
    </row>
    <row r="1437" spans="1:11" x14ac:dyDescent="0.35">
      <c r="A1437" t="s">
        <v>1474</v>
      </c>
      <c r="B1437">
        <v>29</v>
      </c>
      <c r="C1437" t="s">
        <v>528</v>
      </c>
      <c r="D1437" t="s">
        <v>19</v>
      </c>
      <c r="E1437">
        <v>11</v>
      </c>
      <c r="F1437" t="s">
        <v>22</v>
      </c>
      <c r="G1437" t="s">
        <v>23</v>
      </c>
      <c r="H1437" s="1">
        <v>203.11</v>
      </c>
      <c r="I1437" t="s">
        <v>24</v>
      </c>
      <c r="J1437">
        <v>1</v>
      </c>
      <c r="K1437">
        <v>4</v>
      </c>
    </row>
    <row r="1438" spans="1:11" x14ac:dyDescent="0.35">
      <c r="A1438" t="s">
        <v>1475</v>
      </c>
      <c r="B1438">
        <v>78</v>
      </c>
      <c r="C1438" t="s">
        <v>18</v>
      </c>
      <c r="D1438" t="s">
        <v>21</v>
      </c>
      <c r="E1438">
        <v>36</v>
      </c>
      <c r="F1438" t="s">
        <v>33</v>
      </c>
      <c r="G1438" t="s">
        <v>34</v>
      </c>
      <c r="H1438" s="1">
        <v>112.23</v>
      </c>
      <c r="I1438" t="s">
        <v>24</v>
      </c>
      <c r="J1438">
        <v>0</v>
      </c>
      <c r="K1438">
        <v>4</v>
      </c>
    </row>
    <row r="1439" spans="1:11" x14ac:dyDescent="0.35">
      <c r="A1439" t="s">
        <v>1476</v>
      </c>
      <c r="B1439">
        <v>33</v>
      </c>
      <c r="C1439" t="s">
        <v>12</v>
      </c>
      <c r="D1439" t="s">
        <v>47</v>
      </c>
      <c r="E1439">
        <v>8</v>
      </c>
      <c r="F1439" t="s">
        <v>26</v>
      </c>
      <c r="G1439" t="s">
        <v>23</v>
      </c>
      <c r="H1439" s="1">
        <v>289.99</v>
      </c>
      <c r="I1439" t="s">
        <v>24</v>
      </c>
      <c r="J1439">
        <v>0</v>
      </c>
      <c r="K1439">
        <v>9</v>
      </c>
    </row>
    <row r="1440" spans="1:11" x14ac:dyDescent="0.35">
      <c r="A1440" t="s">
        <v>1477</v>
      </c>
      <c r="B1440">
        <v>38</v>
      </c>
      <c r="C1440" t="s">
        <v>528</v>
      </c>
      <c r="D1440" t="s">
        <v>21</v>
      </c>
      <c r="E1440">
        <v>37</v>
      </c>
      <c r="F1440" t="s">
        <v>26</v>
      </c>
      <c r="G1440" t="s">
        <v>15</v>
      </c>
      <c r="H1440" s="1">
        <v>167.43</v>
      </c>
      <c r="I1440" t="s">
        <v>24</v>
      </c>
      <c r="J1440">
        <v>4</v>
      </c>
      <c r="K1440">
        <v>5</v>
      </c>
    </row>
    <row r="1441" spans="1:11" x14ac:dyDescent="0.35">
      <c r="A1441" t="s">
        <v>1478</v>
      </c>
      <c r="B1441">
        <v>52</v>
      </c>
      <c r="C1441" t="s">
        <v>12</v>
      </c>
      <c r="D1441" t="s">
        <v>244</v>
      </c>
      <c r="E1441">
        <v>22</v>
      </c>
      <c r="F1441" t="s">
        <v>26</v>
      </c>
      <c r="G1441" t="s">
        <v>34</v>
      </c>
      <c r="H1441" s="1">
        <v>214.91</v>
      </c>
      <c r="I1441" t="s">
        <v>24</v>
      </c>
      <c r="J1441">
        <v>0</v>
      </c>
      <c r="K1441">
        <v>1</v>
      </c>
    </row>
    <row r="1442" spans="1:11" x14ac:dyDescent="0.35">
      <c r="A1442" t="s">
        <v>1479</v>
      </c>
      <c r="B1442">
        <v>35</v>
      </c>
      <c r="C1442" t="s">
        <v>18</v>
      </c>
      <c r="D1442" t="s">
        <v>21</v>
      </c>
      <c r="E1442">
        <v>18</v>
      </c>
      <c r="F1442" t="s">
        <v>14</v>
      </c>
      <c r="G1442" t="s">
        <v>37</v>
      </c>
      <c r="H1442" s="1">
        <v>0</v>
      </c>
      <c r="I1442" t="s">
        <v>16</v>
      </c>
      <c r="J1442">
        <v>0</v>
      </c>
      <c r="K1442">
        <v>7</v>
      </c>
    </row>
    <row r="1443" spans="1:11" x14ac:dyDescent="0.35">
      <c r="A1443" t="s">
        <v>1480</v>
      </c>
      <c r="B1443">
        <v>59</v>
      </c>
      <c r="C1443" t="s">
        <v>18</v>
      </c>
      <c r="D1443" t="s">
        <v>19</v>
      </c>
      <c r="E1443">
        <v>19</v>
      </c>
      <c r="F1443" t="s">
        <v>33</v>
      </c>
      <c r="G1443" t="s">
        <v>27</v>
      </c>
      <c r="H1443" s="1">
        <v>116.08</v>
      </c>
      <c r="I1443" t="s">
        <v>43</v>
      </c>
      <c r="J1443">
        <v>1</v>
      </c>
      <c r="K1443">
        <v>4</v>
      </c>
    </row>
    <row r="1444" spans="1:11" x14ac:dyDescent="0.35">
      <c r="A1444" t="s">
        <v>1481</v>
      </c>
      <c r="B1444">
        <v>28</v>
      </c>
      <c r="C1444" t="s">
        <v>12</v>
      </c>
      <c r="D1444" t="s">
        <v>21</v>
      </c>
      <c r="E1444">
        <v>36</v>
      </c>
      <c r="F1444" t="s">
        <v>22</v>
      </c>
      <c r="G1444" t="s">
        <v>37</v>
      </c>
      <c r="H1444" s="1">
        <v>157.38</v>
      </c>
      <c r="I1444" t="s">
        <v>24</v>
      </c>
      <c r="J1444">
        <v>4</v>
      </c>
      <c r="K1444">
        <v>2</v>
      </c>
    </row>
    <row r="1445" spans="1:11" x14ac:dyDescent="0.35">
      <c r="A1445" t="s">
        <v>1482</v>
      </c>
      <c r="B1445">
        <v>49</v>
      </c>
      <c r="C1445" t="s">
        <v>18</v>
      </c>
      <c r="D1445" t="s">
        <v>19</v>
      </c>
      <c r="E1445">
        <v>8</v>
      </c>
      <c r="F1445" t="s">
        <v>31</v>
      </c>
      <c r="G1445" t="s">
        <v>34</v>
      </c>
      <c r="H1445" s="1">
        <v>110.4</v>
      </c>
      <c r="I1445" t="s">
        <v>24</v>
      </c>
      <c r="J1445">
        <v>1</v>
      </c>
      <c r="K1445">
        <v>9</v>
      </c>
    </row>
    <row r="1446" spans="1:11" x14ac:dyDescent="0.35">
      <c r="A1446" t="s">
        <v>1483</v>
      </c>
      <c r="B1446">
        <v>82</v>
      </c>
      <c r="C1446" t="s">
        <v>12</v>
      </c>
      <c r="D1446" t="s">
        <v>30</v>
      </c>
      <c r="E1446">
        <v>8</v>
      </c>
      <c r="F1446" t="s">
        <v>33</v>
      </c>
      <c r="G1446" t="s">
        <v>15</v>
      </c>
      <c r="H1446" s="1">
        <v>94.13</v>
      </c>
      <c r="I1446" t="s">
        <v>24</v>
      </c>
      <c r="J1446">
        <v>1</v>
      </c>
      <c r="K1446">
        <v>8</v>
      </c>
    </row>
    <row r="1447" spans="1:11" x14ac:dyDescent="0.35">
      <c r="A1447" t="s">
        <v>1484</v>
      </c>
      <c r="B1447">
        <v>61</v>
      </c>
      <c r="C1447" t="s">
        <v>18</v>
      </c>
      <c r="D1447" t="s">
        <v>21</v>
      </c>
      <c r="E1447">
        <v>13</v>
      </c>
      <c r="F1447" t="s">
        <v>26</v>
      </c>
      <c r="G1447" t="s">
        <v>37</v>
      </c>
      <c r="H1447" s="1">
        <v>110.58</v>
      </c>
      <c r="I1447" t="s">
        <v>24</v>
      </c>
      <c r="J1447">
        <v>2</v>
      </c>
      <c r="K1447">
        <v>8</v>
      </c>
    </row>
    <row r="1448" spans="1:11" x14ac:dyDescent="0.35">
      <c r="A1448" t="s">
        <v>1485</v>
      </c>
      <c r="B1448">
        <v>21</v>
      </c>
      <c r="C1448" t="s">
        <v>12</v>
      </c>
      <c r="D1448" t="s">
        <v>13</v>
      </c>
      <c r="E1448">
        <v>23</v>
      </c>
      <c r="F1448" t="s">
        <v>33</v>
      </c>
      <c r="G1448" t="s">
        <v>23</v>
      </c>
      <c r="H1448" s="1">
        <v>259.52</v>
      </c>
      <c r="I1448" t="s">
        <v>43</v>
      </c>
      <c r="J1448">
        <v>3</v>
      </c>
      <c r="K1448">
        <v>5</v>
      </c>
    </row>
    <row r="1449" spans="1:11" x14ac:dyDescent="0.35">
      <c r="A1449" t="s">
        <v>1486</v>
      </c>
      <c r="B1449">
        <v>33</v>
      </c>
      <c r="C1449" t="s">
        <v>18</v>
      </c>
      <c r="D1449" t="s">
        <v>21</v>
      </c>
      <c r="E1449">
        <v>15</v>
      </c>
      <c r="F1449" t="s">
        <v>26</v>
      </c>
      <c r="G1449" t="s">
        <v>37</v>
      </c>
      <c r="H1449" s="1">
        <v>185.89</v>
      </c>
      <c r="I1449" t="s">
        <v>24</v>
      </c>
      <c r="J1449">
        <v>0</v>
      </c>
      <c r="K1449">
        <v>8</v>
      </c>
    </row>
    <row r="1450" spans="1:11" x14ac:dyDescent="0.35">
      <c r="A1450" t="s">
        <v>1487</v>
      </c>
      <c r="B1450">
        <v>83</v>
      </c>
      <c r="C1450" t="s">
        <v>18</v>
      </c>
      <c r="D1450" t="s">
        <v>19</v>
      </c>
      <c r="E1450">
        <v>16</v>
      </c>
      <c r="F1450" t="s">
        <v>31</v>
      </c>
      <c r="G1450" t="s">
        <v>34</v>
      </c>
      <c r="H1450" s="1">
        <v>210.49</v>
      </c>
      <c r="I1450" t="s">
        <v>24</v>
      </c>
      <c r="J1450">
        <v>1</v>
      </c>
      <c r="K1450">
        <v>5</v>
      </c>
    </row>
    <row r="1451" spans="1:11" x14ac:dyDescent="0.35">
      <c r="A1451" t="s">
        <v>1488</v>
      </c>
      <c r="B1451">
        <v>83</v>
      </c>
      <c r="C1451" t="s">
        <v>12</v>
      </c>
      <c r="D1451" t="s">
        <v>30</v>
      </c>
      <c r="E1451">
        <v>8</v>
      </c>
      <c r="F1451" t="s">
        <v>22</v>
      </c>
      <c r="G1451" t="s">
        <v>27</v>
      </c>
      <c r="H1451" s="1">
        <v>104.3</v>
      </c>
      <c r="I1451" t="s">
        <v>24</v>
      </c>
      <c r="J1451">
        <v>1</v>
      </c>
      <c r="K1451">
        <v>8</v>
      </c>
    </row>
    <row r="1452" spans="1:11" x14ac:dyDescent="0.35">
      <c r="A1452" t="s">
        <v>1489</v>
      </c>
      <c r="B1452">
        <v>40</v>
      </c>
      <c r="C1452" t="s">
        <v>18</v>
      </c>
      <c r="D1452" t="s">
        <v>57</v>
      </c>
      <c r="E1452">
        <v>27</v>
      </c>
      <c r="F1452" t="s">
        <v>31</v>
      </c>
      <c r="G1452" t="s">
        <v>27</v>
      </c>
      <c r="H1452" s="1">
        <v>110.59</v>
      </c>
      <c r="I1452" t="s">
        <v>28</v>
      </c>
      <c r="J1452">
        <v>2</v>
      </c>
      <c r="K1452">
        <v>4</v>
      </c>
    </row>
    <row r="1453" spans="1:11" x14ac:dyDescent="0.35">
      <c r="A1453" t="s">
        <v>1490</v>
      </c>
      <c r="B1453">
        <v>22</v>
      </c>
      <c r="C1453" t="s">
        <v>12</v>
      </c>
      <c r="D1453" t="s">
        <v>19</v>
      </c>
      <c r="E1453">
        <v>16</v>
      </c>
      <c r="F1453" t="s">
        <v>33</v>
      </c>
      <c r="G1453" t="s">
        <v>37</v>
      </c>
      <c r="H1453" s="1">
        <v>216.69</v>
      </c>
      <c r="I1453" t="s">
        <v>28</v>
      </c>
      <c r="J1453">
        <v>2</v>
      </c>
      <c r="K1453">
        <v>4</v>
      </c>
    </row>
    <row r="1454" spans="1:11" x14ac:dyDescent="0.35">
      <c r="A1454" t="s">
        <v>1491</v>
      </c>
      <c r="B1454">
        <v>29</v>
      </c>
      <c r="C1454" t="s">
        <v>12</v>
      </c>
      <c r="D1454" t="s">
        <v>21</v>
      </c>
      <c r="E1454">
        <v>34</v>
      </c>
      <c r="F1454" t="s">
        <v>22</v>
      </c>
      <c r="G1454" t="s">
        <v>15</v>
      </c>
      <c r="H1454" s="1">
        <v>388.88</v>
      </c>
      <c r="I1454" t="s">
        <v>43</v>
      </c>
      <c r="J1454">
        <v>0</v>
      </c>
      <c r="K1454">
        <v>2</v>
      </c>
    </row>
    <row r="1455" spans="1:11" x14ac:dyDescent="0.35">
      <c r="A1455" t="s">
        <v>1492</v>
      </c>
      <c r="B1455">
        <v>40</v>
      </c>
      <c r="C1455" t="s">
        <v>18</v>
      </c>
      <c r="D1455" t="s">
        <v>19</v>
      </c>
      <c r="E1455">
        <v>9</v>
      </c>
      <c r="F1455" t="s">
        <v>33</v>
      </c>
      <c r="G1455" t="s">
        <v>23</v>
      </c>
      <c r="H1455" s="1">
        <v>133.08000000000001</v>
      </c>
      <c r="I1455" t="s">
        <v>24</v>
      </c>
      <c r="J1455">
        <v>2</v>
      </c>
      <c r="K1455">
        <v>6</v>
      </c>
    </row>
    <row r="1456" spans="1:11" x14ac:dyDescent="0.35">
      <c r="A1456" t="s">
        <v>1493</v>
      </c>
      <c r="B1456">
        <v>63</v>
      </c>
      <c r="C1456" t="s">
        <v>18</v>
      </c>
      <c r="D1456" t="s">
        <v>21</v>
      </c>
      <c r="E1456">
        <v>13</v>
      </c>
      <c r="F1456" t="s">
        <v>33</v>
      </c>
      <c r="G1456" t="s">
        <v>27</v>
      </c>
      <c r="H1456" s="1">
        <v>37.86</v>
      </c>
      <c r="I1456" t="s">
        <v>28</v>
      </c>
      <c r="J1456">
        <v>1</v>
      </c>
      <c r="K1456">
        <v>7</v>
      </c>
    </row>
    <row r="1457" spans="1:11" x14ac:dyDescent="0.35">
      <c r="A1457" t="s">
        <v>1494</v>
      </c>
      <c r="B1457">
        <v>63</v>
      </c>
      <c r="C1457" t="s">
        <v>18</v>
      </c>
      <c r="D1457" t="s">
        <v>57</v>
      </c>
      <c r="E1457">
        <v>30</v>
      </c>
      <c r="F1457" t="s">
        <v>31</v>
      </c>
      <c r="G1457" t="s">
        <v>27</v>
      </c>
      <c r="H1457" s="1">
        <v>171.45</v>
      </c>
      <c r="I1457" t="s">
        <v>24</v>
      </c>
      <c r="J1457">
        <v>0</v>
      </c>
      <c r="K1457">
        <v>2</v>
      </c>
    </row>
    <row r="1458" spans="1:11" x14ac:dyDescent="0.35">
      <c r="A1458" t="s">
        <v>1495</v>
      </c>
      <c r="B1458">
        <v>51</v>
      </c>
      <c r="C1458" t="s">
        <v>18</v>
      </c>
      <c r="D1458" t="s">
        <v>19</v>
      </c>
      <c r="E1458">
        <v>16</v>
      </c>
      <c r="F1458" t="s">
        <v>33</v>
      </c>
      <c r="G1458" t="s">
        <v>23</v>
      </c>
      <c r="H1458" s="1">
        <v>105.42</v>
      </c>
      <c r="I1458" t="s">
        <v>24</v>
      </c>
      <c r="J1458">
        <v>0</v>
      </c>
      <c r="K1458">
        <v>7</v>
      </c>
    </row>
    <row r="1459" spans="1:11" x14ac:dyDescent="0.35">
      <c r="A1459" t="s">
        <v>1496</v>
      </c>
      <c r="B1459">
        <v>37</v>
      </c>
      <c r="C1459" t="s">
        <v>12</v>
      </c>
      <c r="D1459" t="s">
        <v>30</v>
      </c>
      <c r="E1459">
        <v>3</v>
      </c>
      <c r="F1459" t="s">
        <v>14</v>
      </c>
      <c r="G1459" t="s">
        <v>23</v>
      </c>
      <c r="H1459" s="1">
        <v>0</v>
      </c>
      <c r="I1459" t="s">
        <v>16</v>
      </c>
      <c r="J1459">
        <v>2</v>
      </c>
      <c r="K1459">
        <v>8</v>
      </c>
    </row>
    <row r="1460" spans="1:11" x14ac:dyDescent="0.35">
      <c r="A1460" t="s">
        <v>1497</v>
      </c>
      <c r="B1460">
        <v>43</v>
      </c>
      <c r="C1460" t="s">
        <v>12</v>
      </c>
      <c r="D1460" t="s">
        <v>19</v>
      </c>
      <c r="E1460">
        <v>17</v>
      </c>
      <c r="F1460" t="s">
        <v>31</v>
      </c>
      <c r="G1460" t="s">
        <v>27</v>
      </c>
      <c r="H1460" s="1">
        <v>74.790000000000006</v>
      </c>
      <c r="I1460" t="s">
        <v>24</v>
      </c>
      <c r="J1460">
        <v>1</v>
      </c>
      <c r="K1460">
        <v>6</v>
      </c>
    </row>
    <row r="1461" spans="1:11" x14ac:dyDescent="0.35">
      <c r="A1461" t="s">
        <v>1498</v>
      </c>
      <c r="B1461">
        <v>57</v>
      </c>
      <c r="C1461" t="s">
        <v>18</v>
      </c>
      <c r="D1461" t="s">
        <v>13</v>
      </c>
      <c r="E1461">
        <v>21</v>
      </c>
      <c r="F1461" t="s">
        <v>31</v>
      </c>
      <c r="G1461" t="s">
        <v>27</v>
      </c>
      <c r="H1461" s="1">
        <v>148.33000000000001</v>
      </c>
      <c r="I1461" t="s">
        <v>43</v>
      </c>
      <c r="J1461">
        <v>0</v>
      </c>
      <c r="K1461">
        <v>4</v>
      </c>
    </row>
    <row r="1462" spans="1:11" x14ac:dyDescent="0.35">
      <c r="A1462" t="s">
        <v>1499</v>
      </c>
      <c r="B1462">
        <v>84</v>
      </c>
      <c r="C1462" t="s">
        <v>528</v>
      </c>
      <c r="D1462" t="s">
        <v>21</v>
      </c>
      <c r="E1462">
        <v>16</v>
      </c>
      <c r="F1462" t="s">
        <v>14</v>
      </c>
      <c r="G1462" t="s">
        <v>34</v>
      </c>
      <c r="H1462" s="1">
        <v>0</v>
      </c>
      <c r="I1462" t="s">
        <v>16</v>
      </c>
      <c r="J1462">
        <v>1</v>
      </c>
      <c r="K1462">
        <v>7</v>
      </c>
    </row>
    <row r="1463" spans="1:11" x14ac:dyDescent="0.35">
      <c r="A1463" t="s">
        <v>1500</v>
      </c>
      <c r="B1463">
        <v>30</v>
      </c>
      <c r="C1463" t="s">
        <v>12</v>
      </c>
      <c r="D1463" t="s">
        <v>19</v>
      </c>
      <c r="E1463">
        <v>16</v>
      </c>
      <c r="F1463" t="s">
        <v>33</v>
      </c>
      <c r="G1463" t="s">
        <v>37</v>
      </c>
      <c r="H1463" s="1">
        <v>185.86</v>
      </c>
      <c r="I1463" t="s">
        <v>24</v>
      </c>
      <c r="J1463">
        <v>3</v>
      </c>
      <c r="K1463">
        <v>6</v>
      </c>
    </row>
    <row r="1464" spans="1:11" x14ac:dyDescent="0.35">
      <c r="A1464" t="s">
        <v>1501</v>
      </c>
      <c r="B1464">
        <v>76</v>
      </c>
      <c r="C1464" t="s">
        <v>12</v>
      </c>
      <c r="D1464" t="s">
        <v>19</v>
      </c>
      <c r="E1464">
        <v>13</v>
      </c>
      <c r="F1464" t="s">
        <v>31</v>
      </c>
      <c r="G1464" t="s">
        <v>27</v>
      </c>
      <c r="H1464" s="1">
        <v>73.510000000000005</v>
      </c>
      <c r="I1464" t="s">
        <v>43</v>
      </c>
      <c r="J1464">
        <v>0</v>
      </c>
      <c r="K1464">
        <v>4</v>
      </c>
    </row>
    <row r="1465" spans="1:11" x14ac:dyDescent="0.35">
      <c r="A1465" t="s">
        <v>1502</v>
      </c>
      <c r="B1465">
        <v>55</v>
      </c>
      <c r="C1465" t="s">
        <v>12</v>
      </c>
      <c r="D1465" t="s">
        <v>19</v>
      </c>
      <c r="E1465">
        <v>22</v>
      </c>
      <c r="F1465" t="s">
        <v>22</v>
      </c>
      <c r="G1465" t="s">
        <v>27</v>
      </c>
      <c r="H1465" s="1">
        <v>171.53</v>
      </c>
      <c r="I1465" t="s">
        <v>28</v>
      </c>
      <c r="J1465">
        <v>1</v>
      </c>
      <c r="K1465">
        <v>2</v>
      </c>
    </row>
    <row r="1466" spans="1:11" x14ac:dyDescent="0.35">
      <c r="A1466" t="s">
        <v>1503</v>
      </c>
      <c r="B1466">
        <v>31</v>
      </c>
      <c r="C1466" t="s">
        <v>12</v>
      </c>
      <c r="D1466" t="s">
        <v>19</v>
      </c>
      <c r="E1466">
        <v>13</v>
      </c>
      <c r="F1466" t="s">
        <v>26</v>
      </c>
      <c r="G1466" t="s">
        <v>23</v>
      </c>
      <c r="H1466" s="1">
        <v>231.6</v>
      </c>
      <c r="I1466" t="s">
        <v>24</v>
      </c>
      <c r="J1466">
        <v>3</v>
      </c>
      <c r="K1466">
        <v>5</v>
      </c>
    </row>
    <row r="1467" spans="1:11" x14ac:dyDescent="0.35">
      <c r="A1467" t="s">
        <v>1504</v>
      </c>
      <c r="B1467">
        <v>64</v>
      </c>
      <c r="C1467" t="s">
        <v>12</v>
      </c>
      <c r="D1467" t="s">
        <v>13</v>
      </c>
      <c r="E1467">
        <v>24</v>
      </c>
      <c r="F1467" t="s">
        <v>31</v>
      </c>
      <c r="G1467" t="s">
        <v>34</v>
      </c>
      <c r="H1467" s="1">
        <v>151.69</v>
      </c>
      <c r="I1467" t="s">
        <v>24</v>
      </c>
      <c r="J1467">
        <v>2</v>
      </c>
      <c r="K1467">
        <v>3</v>
      </c>
    </row>
    <row r="1468" spans="1:11" x14ac:dyDescent="0.35">
      <c r="A1468" t="s">
        <v>1505</v>
      </c>
      <c r="B1468">
        <v>69</v>
      </c>
      <c r="C1468" t="s">
        <v>12</v>
      </c>
      <c r="D1468" t="s">
        <v>19</v>
      </c>
      <c r="E1468">
        <v>20</v>
      </c>
      <c r="F1468" t="s">
        <v>33</v>
      </c>
      <c r="G1468" t="s">
        <v>37</v>
      </c>
      <c r="H1468" s="1">
        <v>114.89</v>
      </c>
      <c r="I1468" t="s">
        <v>28</v>
      </c>
      <c r="J1468">
        <v>3</v>
      </c>
      <c r="K1468">
        <v>2</v>
      </c>
    </row>
    <row r="1469" spans="1:11" x14ac:dyDescent="0.35">
      <c r="A1469" t="s">
        <v>1506</v>
      </c>
      <c r="B1469">
        <v>82</v>
      </c>
      <c r="C1469" t="s">
        <v>12</v>
      </c>
      <c r="D1469" t="s">
        <v>21</v>
      </c>
      <c r="E1469">
        <v>33</v>
      </c>
      <c r="F1469" t="s">
        <v>33</v>
      </c>
      <c r="G1469" t="s">
        <v>37</v>
      </c>
      <c r="H1469" s="1">
        <v>141.59</v>
      </c>
      <c r="I1469" t="s">
        <v>24</v>
      </c>
      <c r="J1469">
        <v>0</v>
      </c>
      <c r="K1469">
        <v>3</v>
      </c>
    </row>
    <row r="1470" spans="1:11" x14ac:dyDescent="0.35">
      <c r="A1470" t="s">
        <v>1507</v>
      </c>
      <c r="B1470">
        <v>52</v>
      </c>
      <c r="C1470" t="s">
        <v>12</v>
      </c>
      <c r="D1470" t="s">
        <v>21</v>
      </c>
      <c r="E1470">
        <v>26</v>
      </c>
      <c r="F1470" t="s">
        <v>26</v>
      </c>
      <c r="G1470" t="s">
        <v>23</v>
      </c>
      <c r="H1470" s="1">
        <v>152.61000000000001</v>
      </c>
      <c r="I1470" t="s">
        <v>28</v>
      </c>
      <c r="J1470">
        <v>2</v>
      </c>
      <c r="K1470">
        <v>3</v>
      </c>
    </row>
    <row r="1471" spans="1:11" x14ac:dyDescent="0.35">
      <c r="A1471" t="s">
        <v>1508</v>
      </c>
      <c r="B1471">
        <v>55</v>
      </c>
      <c r="C1471" t="s">
        <v>18</v>
      </c>
      <c r="D1471" t="s">
        <v>19</v>
      </c>
      <c r="E1471">
        <v>8</v>
      </c>
      <c r="F1471" t="s">
        <v>31</v>
      </c>
      <c r="G1471" t="s">
        <v>15</v>
      </c>
      <c r="H1471" s="1">
        <v>431.41</v>
      </c>
      <c r="I1471" t="s">
        <v>24</v>
      </c>
      <c r="J1471">
        <v>1</v>
      </c>
      <c r="K1471">
        <v>10</v>
      </c>
    </row>
    <row r="1472" spans="1:11" x14ac:dyDescent="0.35">
      <c r="A1472" t="s">
        <v>1509</v>
      </c>
      <c r="B1472">
        <v>77</v>
      </c>
      <c r="C1472" t="s">
        <v>12</v>
      </c>
      <c r="D1472" t="s">
        <v>19</v>
      </c>
      <c r="E1472">
        <v>24</v>
      </c>
      <c r="F1472" t="s">
        <v>14</v>
      </c>
      <c r="G1472" t="s">
        <v>34</v>
      </c>
      <c r="H1472" s="1">
        <v>0</v>
      </c>
      <c r="I1472" t="s">
        <v>16</v>
      </c>
      <c r="J1472">
        <v>2</v>
      </c>
      <c r="K1472">
        <v>2</v>
      </c>
    </row>
    <row r="1473" spans="1:11" x14ac:dyDescent="0.35">
      <c r="A1473" t="s">
        <v>1510</v>
      </c>
      <c r="B1473">
        <v>25</v>
      </c>
      <c r="C1473" t="s">
        <v>18</v>
      </c>
      <c r="D1473" t="s">
        <v>19</v>
      </c>
      <c r="E1473">
        <v>22</v>
      </c>
      <c r="F1473" t="s">
        <v>31</v>
      </c>
      <c r="G1473" t="s">
        <v>15</v>
      </c>
      <c r="H1473" s="1">
        <v>308.97000000000003</v>
      </c>
      <c r="I1473" t="s">
        <v>24</v>
      </c>
      <c r="J1473">
        <v>1</v>
      </c>
      <c r="K1473">
        <v>1</v>
      </c>
    </row>
    <row r="1474" spans="1:11" x14ac:dyDescent="0.35">
      <c r="A1474" t="s">
        <v>1511</v>
      </c>
      <c r="B1474">
        <v>33</v>
      </c>
      <c r="C1474" t="s">
        <v>18</v>
      </c>
      <c r="D1474" t="s">
        <v>13</v>
      </c>
      <c r="E1474">
        <v>11</v>
      </c>
      <c r="F1474" t="s">
        <v>33</v>
      </c>
      <c r="G1474" t="s">
        <v>37</v>
      </c>
      <c r="H1474" s="1">
        <v>192.5</v>
      </c>
      <c r="I1474" t="s">
        <v>24</v>
      </c>
      <c r="J1474">
        <v>1</v>
      </c>
      <c r="K1474">
        <v>8</v>
      </c>
    </row>
    <row r="1475" spans="1:11" x14ac:dyDescent="0.35">
      <c r="A1475" t="s">
        <v>1512</v>
      </c>
      <c r="B1475">
        <v>47</v>
      </c>
      <c r="C1475" t="s">
        <v>18</v>
      </c>
      <c r="D1475" t="s">
        <v>19</v>
      </c>
      <c r="E1475">
        <v>7</v>
      </c>
      <c r="F1475" t="s">
        <v>22</v>
      </c>
      <c r="G1475" t="s">
        <v>37</v>
      </c>
      <c r="H1475" s="1">
        <v>170.64</v>
      </c>
      <c r="I1475" t="s">
        <v>24</v>
      </c>
      <c r="J1475">
        <v>0</v>
      </c>
      <c r="K1475">
        <v>10</v>
      </c>
    </row>
    <row r="1476" spans="1:11" x14ac:dyDescent="0.35">
      <c r="A1476" t="s">
        <v>1513</v>
      </c>
      <c r="B1476">
        <v>61</v>
      </c>
      <c r="C1476" t="s">
        <v>12</v>
      </c>
      <c r="D1476" t="s">
        <v>21</v>
      </c>
      <c r="E1476">
        <v>47</v>
      </c>
      <c r="F1476" t="s">
        <v>33</v>
      </c>
      <c r="G1476" t="s">
        <v>34</v>
      </c>
      <c r="H1476" s="1">
        <v>187.87</v>
      </c>
      <c r="I1476" t="s">
        <v>24</v>
      </c>
      <c r="J1476">
        <v>1</v>
      </c>
      <c r="K1476">
        <v>1</v>
      </c>
    </row>
    <row r="1477" spans="1:11" x14ac:dyDescent="0.35">
      <c r="A1477" t="s">
        <v>1514</v>
      </c>
      <c r="B1477">
        <v>36</v>
      </c>
      <c r="C1477" t="s">
        <v>12</v>
      </c>
      <c r="D1477" t="s">
        <v>19</v>
      </c>
      <c r="E1477">
        <v>18</v>
      </c>
      <c r="F1477" t="s">
        <v>31</v>
      </c>
      <c r="G1477" t="s">
        <v>23</v>
      </c>
      <c r="H1477" s="1">
        <v>118.91</v>
      </c>
      <c r="I1477" t="s">
        <v>24</v>
      </c>
      <c r="J1477">
        <v>2</v>
      </c>
      <c r="K1477">
        <v>4</v>
      </c>
    </row>
    <row r="1478" spans="1:11" x14ac:dyDescent="0.35">
      <c r="A1478" t="s">
        <v>1515</v>
      </c>
      <c r="B1478">
        <v>75</v>
      </c>
      <c r="C1478" t="s">
        <v>18</v>
      </c>
      <c r="D1478" t="s">
        <v>41</v>
      </c>
      <c r="E1478">
        <v>2</v>
      </c>
      <c r="F1478" t="s">
        <v>31</v>
      </c>
      <c r="G1478" t="s">
        <v>23</v>
      </c>
      <c r="H1478" s="1">
        <v>178.46</v>
      </c>
      <c r="I1478" t="s">
        <v>28</v>
      </c>
      <c r="J1478">
        <v>0</v>
      </c>
      <c r="K1478">
        <v>10</v>
      </c>
    </row>
    <row r="1479" spans="1:11" x14ac:dyDescent="0.35">
      <c r="A1479" t="s">
        <v>1516</v>
      </c>
      <c r="B1479">
        <v>71</v>
      </c>
      <c r="C1479" t="s">
        <v>12</v>
      </c>
      <c r="D1479" t="s">
        <v>47</v>
      </c>
      <c r="E1479">
        <v>13</v>
      </c>
      <c r="F1479" t="s">
        <v>14</v>
      </c>
      <c r="G1479" t="s">
        <v>15</v>
      </c>
      <c r="H1479" s="1">
        <v>0</v>
      </c>
      <c r="I1479" t="s">
        <v>16</v>
      </c>
      <c r="J1479">
        <v>1</v>
      </c>
      <c r="K1479">
        <v>6</v>
      </c>
    </row>
    <row r="1480" spans="1:11" x14ac:dyDescent="0.35">
      <c r="A1480" t="s">
        <v>1517</v>
      </c>
      <c r="B1480">
        <v>22</v>
      </c>
      <c r="C1480" t="s">
        <v>18</v>
      </c>
      <c r="D1480" t="s">
        <v>30</v>
      </c>
      <c r="E1480">
        <v>13</v>
      </c>
      <c r="F1480" t="s">
        <v>22</v>
      </c>
      <c r="G1480" t="s">
        <v>23</v>
      </c>
      <c r="H1480" s="1">
        <v>312.73</v>
      </c>
      <c r="I1480" t="s">
        <v>24</v>
      </c>
      <c r="J1480">
        <v>2</v>
      </c>
      <c r="K1480">
        <v>6</v>
      </c>
    </row>
    <row r="1481" spans="1:11" x14ac:dyDescent="0.35">
      <c r="A1481" t="s">
        <v>1518</v>
      </c>
      <c r="B1481">
        <v>19</v>
      </c>
      <c r="C1481" t="s">
        <v>12</v>
      </c>
      <c r="D1481" t="s">
        <v>19</v>
      </c>
      <c r="E1481">
        <v>22</v>
      </c>
      <c r="F1481" t="s">
        <v>22</v>
      </c>
      <c r="G1481" t="s">
        <v>15</v>
      </c>
      <c r="H1481" s="1">
        <v>416.14</v>
      </c>
      <c r="I1481" t="s">
        <v>28</v>
      </c>
      <c r="J1481">
        <v>3</v>
      </c>
      <c r="K1481">
        <v>1</v>
      </c>
    </row>
    <row r="1482" spans="1:11" x14ac:dyDescent="0.35">
      <c r="A1482" t="s">
        <v>1519</v>
      </c>
      <c r="B1482">
        <v>57</v>
      </c>
      <c r="C1482" t="s">
        <v>18</v>
      </c>
      <c r="D1482" t="s">
        <v>47</v>
      </c>
      <c r="E1482">
        <v>10</v>
      </c>
      <c r="F1482" t="s">
        <v>26</v>
      </c>
      <c r="G1482" t="s">
        <v>27</v>
      </c>
      <c r="H1482" s="1">
        <v>146.02000000000001</v>
      </c>
      <c r="I1482" t="s">
        <v>28</v>
      </c>
      <c r="J1482">
        <v>0</v>
      </c>
      <c r="K1482">
        <v>6</v>
      </c>
    </row>
    <row r="1483" spans="1:11" x14ac:dyDescent="0.35">
      <c r="A1483" t="s">
        <v>1520</v>
      </c>
      <c r="B1483">
        <v>82</v>
      </c>
      <c r="C1483" t="s">
        <v>18</v>
      </c>
      <c r="D1483" t="s">
        <v>21</v>
      </c>
      <c r="E1483">
        <v>20</v>
      </c>
      <c r="F1483" t="s">
        <v>14</v>
      </c>
      <c r="G1483" t="s">
        <v>27</v>
      </c>
      <c r="H1483" s="1">
        <v>0</v>
      </c>
      <c r="I1483" t="s">
        <v>16</v>
      </c>
      <c r="J1483">
        <v>2</v>
      </c>
      <c r="K1483">
        <v>3</v>
      </c>
    </row>
    <row r="1484" spans="1:11" x14ac:dyDescent="0.35">
      <c r="A1484" t="s">
        <v>1521</v>
      </c>
      <c r="B1484">
        <v>21</v>
      </c>
      <c r="C1484" t="s">
        <v>12</v>
      </c>
      <c r="D1484" t="s">
        <v>30</v>
      </c>
      <c r="E1484">
        <v>6</v>
      </c>
      <c r="F1484" t="s">
        <v>26</v>
      </c>
      <c r="G1484" t="s">
        <v>15</v>
      </c>
      <c r="H1484" s="1">
        <v>331.44</v>
      </c>
      <c r="I1484" t="s">
        <v>24</v>
      </c>
      <c r="J1484">
        <v>0</v>
      </c>
      <c r="K1484">
        <v>10</v>
      </c>
    </row>
    <row r="1485" spans="1:11" x14ac:dyDescent="0.35">
      <c r="A1485" t="s">
        <v>1522</v>
      </c>
      <c r="B1485">
        <v>58</v>
      </c>
      <c r="C1485" t="s">
        <v>18</v>
      </c>
      <c r="D1485" t="s">
        <v>19</v>
      </c>
      <c r="E1485">
        <v>23</v>
      </c>
      <c r="F1485" t="s">
        <v>26</v>
      </c>
      <c r="G1485" t="s">
        <v>27</v>
      </c>
      <c r="H1485" s="1">
        <v>41.8</v>
      </c>
      <c r="I1485" t="s">
        <v>24</v>
      </c>
      <c r="J1485">
        <v>4</v>
      </c>
      <c r="K1485">
        <v>4</v>
      </c>
    </row>
    <row r="1486" spans="1:11" x14ac:dyDescent="0.35">
      <c r="A1486" t="s">
        <v>1523</v>
      </c>
      <c r="B1486">
        <v>63</v>
      </c>
      <c r="C1486" t="s">
        <v>18</v>
      </c>
      <c r="D1486" t="s">
        <v>19</v>
      </c>
      <c r="E1486">
        <v>7</v>
      </c>
      <c r="F1486" t="s">
        <v>31</v>
      </c>
      <c r="G1486" t="s">
        <v>34</v>
      </c>
      <c r="H1486" s="1">
        <v>182.53</v>
      </c>
      <c r="I1486" t="s">
        <v>24</v>
      </c>
      <c r="J1486">
        <v>1</v>
      </c>
      <c r="K1486">
        <v>7</v>
      </c>
    </row>
    <row r="1487" spans="1:11" x14ac:dyDescent="0.35">
      <c r="A1487" t="s">
        <v>1524</v>
      </c>
      <c r="B1487">
        <v>25</v>
      </c>
      <c r="C1487" t="s">
        <v>12</v>
      </c>
      <c r="D1487" t="s">
        <v>41</v>
      </c>
      <c r="E1487">
        <v>9</v>
      </c>
      <c r="F1487" t="s">
        <v>31</v>
      </c>
      <c r="G1487" t="s">
        <v>23</v>
      </c>
      <c r="H1487" s="1">
        <v>551.27</v>
      </c>
      <c r="I1487" t="s">
        <v>24</v>
      </c>
      <c r="J1487">
        <v>1</v>
      </c>
      <c r="K1487">
        <v>7</v>
      </c>
    </row>
    <row r="1488" spans="1:11" x14ac:dyDescent="0.35">
      <c r="A1488" t="s">
        <v>1525</v>
      </c>
      <c r="B1488">
        <v>75</v>
      </c>
      <c r="C1488" t="s">
        <v>12</v>
      </c>
      <c r="D1488" t="s">
        <v>19</v>
      </c>
      <c r="E1488">
        <v>10</v>
      </c>
      <c r="F1488" t="s">
        <v>22</v>
      </c>
      <c r="G1488" t="s">
        <v>23</v>
      </c>
      <c r="H1488" s="1">
        <v>378.68</v>
      </c>
      <c r="I1488" t="s">
        <v>43</v>
      </c>
      <c r="J1488">
        <v>1</v>
      </c>
      <c r="K1488">
        <v>5</v>
      </c>
    </row>
    <row r="1489" spans="1:11" x14ac:dyDescent="0.35">
      <c r="A1489" t="s">
        <v>1526</v>
      </c>
      <c r="B1489">
        <v>70</v>
      </c>
      <c r="C1489" t="s">
        <v>18</v>
      </c>
      <c r="D1489" t="s">
        <v>13</v>
      </c>
      <c r="E1489">
        <v>7</v>
      </c>
      <c r="F1489" t="s">
        <v>31</v>
      </c>
      <c r="G1489" t="s">
        <v>23</v>
      </c>
      <c r="H1489" s="1">
        <v>489.95</v>
      </c>
      <c r="I1489" t="s">
        <v>28</v>
      </c>
      <c r="J1489">
        <v>0</v>
      </c>
      <c r="K1489">
        <v>8</v>
      </c>
    </row>
    <row r="1490" spans="1:11" x14ac:dyDescent="0.35">
      <c r="A1490" t="s">
        <v>1527</v>
      </c>
      <c r="B1490">
        <v>67</v>
      </c>
      <c r="C1490" t="s">
        <v>12</v>
      </c>
      <c r="D1490" t="s">
        <v>30</v>
      </c>
      <c r="E1490">
        <v>7</v>
      </c>
      <c r="F1490" t="s">
        <v>22</v>
      </c>
      <c r="G1490" t="s">
        <v>27</v>
      </c>
      <c r="H1490" s="1">
        <v>95.72</v>
      </c>
      <c r="I1490" t="s">
        <v>28</v>
      </c>
      <c r="J1490">
        <v>0</v>
      </c>
      <c r="K1490">
        <v>8</v>
      </c>
    </row>
    <row r="1491" spans="1:11" x14ac:dyDescent="0.35">
      <c r="A1491" t="s">
        <v>1528</v>
      </c>
      <c r="B1491">
        <v>60</v>
      </c>
      <c r="C1491" t="s">
        <v>528</v>
      </c>
      <c r="D1491" t="s">
        <v>41</v>
      </c>
      <c r="E1491">
        <v>2</v>
      </c>
      <c r="F1491" t="s">
        <v>33</v>
      </c>
      <c r="G1491" t="s">
        <v>37</v>
      </c>
      <c r="H1491" s="1">
        <v>106.41</v>
      </c>
      <c r="I1491" t="s">
        <v>24</v>
      </c>
      <c r="J1491">
        <v>2</v>
      </c>
      <c r="K1491">
        <v>10</v>
      </c>
    </row>
    <row r="1492" spans="1:11" x14ac:dyDescent="0.35">
      <c r="A1492" t="s">
        <v>1529</v>
      </c>
      <c r="B1492">
        <v>85</v>
      </c>
      <c r="C1492" t="s">
        <v>18</v>
      </c>
      <c r="D1492" t="s">
        <v>120</v>
      </c>
      <c r="E1492">
        <v>34</v>
      </c>
      <c r="F1492" t="s">
        <v>22</v>
      </c>
      <c r="G1492" t="s">
        <v>34</v>
      </c>
      <c r="H1492" s="1">
        <v>144.61000000000001</v>
      </c>
      <c r="I1492" t="s">
        <v>24</v>
      </c>
      <c r="J1492">
        <v>1</v>
      </c>
      <c r="K1492">
        <v>2</v>
      </c>
    </row>
    <row r="1493" spans="1:11" x14ac:dyDescent="0.35">
      <c r="A1493" t="s">
        <v>1530</v>
      </c>
      <c r="B1493">
        <v>32</v>
      </c>
      <c r="C1493" t="s">
        <v>12</v>
      </c>
      <c r="D1493" t="s">
        <v>21</v>
      </c>
      <c r="E1493">
        <v>37</v>
      </c>
      <c r="F1493" t="s">
        <v>33</v>
      </c>
      <c r="G1493" t="s">
        <v>27</v>
      </c>
      <c r="H1493" s="1">
        <v>35.85</v>
      </c>
      <c r="I1493" t="s">
        <v>24</v>
      </c>
      <c r="J1493">
        <v>1</v>
      </c>
      <c r="K1493">
        <v>4</v>
      </c>
    </row>
    <row r="1494" spans="1:11" x14ac:dyDescent="0.35">
      <c r="A1494" t="s">
        <v>1531</v>
      </c>
      <c r="B1494">
        <v>47</v>
      </c>
      <c r="C1494" t="s">
        <v>18</v>
      </c>
      <c r="D1494" t="s">
        <v>19</v>
      </c>
      <c r="E1494">
        <v>11</v>
      </c>
      <c r="F1494" t="s">
        <v>33</v>
      </c>
      <c r="G1494" t="s">
        <v>15</v>
      </c>
      <c r="H1494" s="1">
        <v>186.46</v>
      </c>
      <c r="I1494" t="s">
        <v>24</v>
      </c>
      <c r="J1494">
        <v>1</v>
      </c>
      <c r="K1494">
        <v>8</v>
      </c>
    </row>
    <row r="1495" spans="1:11" x14ac:dyDescent="0.35">
      <c r="A1495" t="s">
        <v>1532</v>
      </c>
      <c r="B1495">
        <v>74</v>
      </c>
      <c r="C1495" t="s">
        <v>12</v>
      </c>
      <c r="D1495" t="s">
        <v>13</v>
      </c>
      <c r="E1495">
        <v>15</v>
      </c>
      <c r="F1495" t="s">
        <v>33</v>
      </c>
      <c r="G1495" t="s">
        <v>23</v>
      </c>
      <c r="H1495" s="1">
        <v>266.57</v>
      </c>
      <c r="I1495" t="s">
        <v>24</v>
      </c>
      <c r="J1495">
        <v>1</v>
      </c>
      <c r="K1495">
        <v>4</v>
      </c>
    </row>
    <row r="1496" spans="1:11" x14ac:dyDescent="0.35">
      <c r="A1496" t="s">
        <v>1533</v>
      </c>
      <c r="B1496">
        <v>60</v>
      </c>
      <c r="C1496" t="s">
        <v>12</v>
      </c>
      <c r="D1496" t="s">
        <v>21</v>
      </c>
      <c r="E1496">
        <v>14</v>
      </c>
      <c r="F1496" t="s">
        <v>14</v>
      </c>
      <c r="G1496" t="s">
        <v>37</v>
      </c>
      <c r="H1496" s="1">
        <v>0</v>
      </c>
      <c r="I1496" t="s">
        <v>16</v>
      </c>
      <c r="J1496">
        <v>3</v>
      </c>
      <c r="K1496">
        <v>7</v>
      </c>
    </row>
    <row r="1497" spans="1:11" x14ac:dyDescent="0.35">
      <c r="A1497" t="s">
        <v>1534</v>
      </c>
      <c r="B1497">
        <v>67</v>
      </c>
      <c r="C1497" t="s">
        <v>18</v>
      </c>
      <c r="D1497" t="s">
        <v>19</v>
      </c>
      <c r="E1497">
        <v>9</v>
      </c>
      <c r="F1497" t="s">
        <v>33</v>
      </c>
      <c r="G1497" t="s">
        <v>15</v>
      </c>
      <c r="H1497" s="1">
        <v>310.02999999999997</v>
      </c>
      <c r="I1497" t="s">
        <v>24</v>
      </c>
      <c r="J1497">
        <v>3</v>
      </c>
      <c r="K1497">
        <v>8</v>
      </c>
    </row>
    <row r="1498" spans="1:11" x14ac:dyDescent="0.35">
      <c r="A1498" t="s">
        <v>1535</v>
      </c>
      <c r="B1498">
        <v>79</v>
      </c>
      <c r="C1498" t="s">
        <v>18</v>
      </c>
      <c r="D1498" t="s">
        <v>19</v>
      </c>
      <c r="E1498">
        <v>22</v>
      </c>
      <c r="F1498" t="s">
        <v>33</v>
      </c>
      <c r="G1498" t="s">
        <v>34</v>
      </c>
      <c r="H1498" s="1">
        <v>204.58</v>
      </c>
      <c r="I1498" t="s">
        <v>24</v>
      </c>
      <c r="J1498">
        <v>4</v>
      </c>
      <c r="K1498">
        <v>3</v>
      </c>
    </row>
    <row r="1499" spans="1:11" x14ac:dyDescent="0.35">
      <c r="A1499" t="s">
        <v>1536</v>
      </c>
      <c r="B1499">
        <v>38</v>
      </c>
      <c r="C1499" t="s">
        <v>12</v>
      </c>
      <c r="D1499" t="s">
        <v>21</v>
      </c>
      <c r="E1499">
        <v>37</v>
      </c>
      <c r="F1499" t="s">
        <v>31</v>
      </c>
      <c r="G1499" t="s">
        <v>34</v>
      </c>
      <c r="H1499" s="1">
        <v>164.32</v>
      </c>
      <c r="I1499" t="s">
        <v>24</v>
      </c>
      <c r="J1499">
        <v>3</v>
      </c>
      <c r="K1499">
        <v>4</v>
      </c>
    </row>
    <row r="1500" spans="1:11" x14ac:dyDescent="0.35">
      <c r="A1500" t="s">
        <v>1537</v>
      </c>
      <c r="B1500">
        <v>63</v>
      </c>
      <c r="C1500" t="s">
        <v>18</v>
      </c>
      <c r="D1500" t="s">
        <v>21</v>
      </c>
      <c r="E1500">
        <v>23</v>
      </c>
      <c r="F1500" t="s">
        <v>31</v>
      </c>
      <c r="G1500" t="s">
        <v>34</v>
      </c>
      <c r="H1500" s="1">
        <v>148.97999999999999</v>
      </c>
      <c r="I1500" t="s">
        <v>24</v>
      </c>
      <c r="J1500">
        <v>1</v>
      </c>
      <c r="K1500">
        <v>1</v>
      </c>
    </row>
    <row r="1501" spans="1:11" x14ac:dyDescent="0.35">
      <c r="A1501" t="s">
        <v>1538</v>
      </c>
      <c r="B1501">
        <v>32</v>
      </c>
      <c r="C1501" t="s">
        <v>18</v>
      </c>
      <c r="D1501" t="s">
        <v>19</v>
      </c>
      <c r="E1501">
        <v>23</v>
      </c>
      <c r="F1501" t="s">
        <v>22</v>
      </c>
      <c r="G1501" t="s">
        <v>15</v>
      </c>
      <c r="H1501" s="1">
        <v>120.14</v>
      </c>
      <c r="I1501" t="s">
        <v>28</v>
      </c>
      <c r="J1501">
        <v>1</v>
      </c>
      <c r="K1501">
        <v>2</v>
      </c>
    </row>
    <row r="1502" spans="1:11" x14ac:dyDescent="0.35">
      <c r="A1502" t="s">
        <v>1539</v>
      </c>
      <c r="B1502">
        <v>33</v>
      </c>
      <c r="C1502" t="s">
        <v>12</v>
      </c>
      <c r="D1502" t="s">
        <v>21</v>
      </c>
      <c r="E1502">
        <v>23</v>
      </c>
      <c r="F1502" t="s">
        <v>22</v>
      </c>
      <c r="G1502" t="s">
        <v>15</v>
      </c>
      <c r="H1502" s="1">
        <v>274.87</v>
      </c>
      <c r="I1502" t="s">
        <v>24</v>
      </c>
      <c r="J1502">
        <v>1</v>
      </c>
      <c r="K1502">
        <v>2</v>
      </c>
    </row>
    <row r="1503" spans="1:11" x14ac:dyDescent="0.35">
      <c r="A1503" t="s">
        <v>1540</v>
      </c>
      <c r="B1503">
        <v>28</v>
      </c>
      <c r="C1503" t="s">
        <v>18</v>
      </c>
      <c r="D1503" t="s">
        <v>21</v>
      </c>
      <c r="E1503">
        <v>12</v>
      </c>
      <c r="F1503" t="s">
        <v>22</v>
      </c>
      <c r="G1503" t="s">
        <v>23</v>
      </c>
      <c r="H1503" s="1">
        <v>346.21</v>
      </c>
      <c r="I1503" t="s">
        <v>24</v>
      </c>
      <c r="J1503">
        <v>1</v>
      </c>
      <c r="K1503">
        <v>8</v>
      </c>
    </row>
    <row r="1504" spans="1:11" x14ac:dyDescent="0.35">
      <c r="A1504" t="s">
        <v>1541</v>
      </c>
      <c r="B1504">
        <v>53</v>
      </c>
      <c r="C1504" t="s">
        <v>12</v>
      </c>
      <c r="D1504" t="s">
        <v>19</v>
      </c>
      <c r="E1504">
        <v>22</v>
      </c>
      <c r="F1504" t="s">
        <v>31</v>
      </c>
      <c r="G1504" t="s">
        <v>34</v>
      </c>
      <c r="H1504" s="1">
        <v>170.85</v>
      </c>
      <c r="I1504" t="s">
        <v>24</v>
      </c>
      <c r="J1504">
        <v>1</v>
      </c>
      <c r="K1504">
        <v>3</v>
      </c>
    </row>
    <row r="1505" spans="1:11" x14ac:dyDescent="0.35">
      <c r="A1505" t="s">
        <v>1542</v>
      </c>
      <c r="B1505">
        <v>45</v>
      </c>
      <c r="C1505" t="s">
        <v>12</v>
      </c>
      <c r="D1505" t="s">
        <v>30</v>
      </c>
      <c r="E1505">
        <v>5</v>
      </c>
      <c r="F1505" t="s">
        <v>33</v>
      </c>
      <c r="G1505" t="s">
        <v>23</v>
      </c>
      <c r="H1505" s="1">
        <v>552.69000000000005</v>
      </c>
      <c r="I1505" t="s">
        <v>24</v>
      </c>
      <c r="J1505">
        <v>0</v>
      </c>
      <c r="K1505">
        <v>9</v>
      </c>
    </row>
    <row r="1506" spans="1:11" x14ac:dyDescent="0.35">
      <c r="A1506" t="s">
        <v>1543</v>
      </c>
      <c r="B1506">
        <v>58</v>
      </c>
      <c r="C1506" t="s">
        <v>12</v>
      </c>
      <c r="D1506" t="s">
        <v>21</v>
      </c>
      <c r="E1506">
        <v>16</v>
      </c>
      <c r="F1506" t="s">
        <v>31</v>
      </c>
      <c r="G1506" t="s">
        <v>27</v>
      </c>
      <c r="H1506" s="1">
        <v>158.06</v>
      </c>
      <c r="I1506" t="s">
        <v>24</v>
      </c>
      <c r="J1506">
        <v>3</v>
      </c>
      <c r="K1506">
        <v>8</v>
      </c>
    </row>
    <row r="1507" spans="1:11" x14ac:dyDescent="0.35">
      <c r="A1507" t="s">
        <v>1544</v>
      </c>
      <c r="B1507">
        <v>43</v>
      </c>
      <c r="C1507" t="s">
        <v>12</v>
      </c>
      <c r="D1507" t="s">
        <v>47</v>
      </c>
      <c r="E1507">
        <v>14</v>
      </c>
      <c r="F1507" t="s">
        <v>14</v>
      </c>
      <c r="G1507" t="s">
        <v>34</v>
      </c>
      <c r="H1507" s="1">
        <v>0</v>
      </c>
      <c r="I1507" t="s">
        <v>16</v>
      </c>
      <c r="J1507">
        <v>1</v>
      </c>
      <c r="K1507">
        <v>4</v>
      </c>
    </row>
    <row r="1508" spans="1:11" x14ac:dyDescent="0.35">
      <c r="A1508" t="s">
        <v>1545</v>
      </c>
      <c r="B1508">
        <v>43</v>
      </c>
      <c r="C1508" t="s">
        <v>12</v>
      </c>
      <c r="D1508" t="s">
        <v>19</v>
      </c>
      <c r="E1508">
        <v>18</v>
      </c>
      <c r="F1508" t="s">
        <v>33</v>
      </c>
      <c r="G1508" t="s">
        <v>34</v>
      </c>
      <c r="H1508" s="1">
        <v>153.91999999999999</v>
      </c>
      <c r="I1508" t="s">
        <v>28</v>
      </c>
      <c r="J1508">
        <v>0</v>
      </c>
      <c r="K1508">
        <v>6</v>
      </c>
    </row>
    <row r="1509" spans="1:11" x14ac:dyDescent="0.35">
      <c r="A1509" t="s">
        <v>1546</v>
      </c>
      <c r="B1509">
        <v>34</v>
      </c>
      <c r="C1509" t="s">
        <v>18</v>
      </c>
      <c r="D1509" t="s">
        <v>21</v>
      </c>
      <c r="E1509">
        <v>45</v>
      </c>
      <c r="F1509" t="s">
        <v>33</v>
      </c>
      <c r="G1509" t="s">
        <v>27</v>
      </c>
      <c r="H1509" s="1">
        <v>142.36000000000001</v>
      </c>
      <c r="I1509" t="s">
        <v>24</v>
      </c>
      <c r="J1509">
        <v>0</v>
      </c>
      <c r="K1509">
        <v>3</v>
      </c>
    </row>
    <row r="1510" spans="1:11" x14ac:dyDescent="0.35">
      <c r="A1510" t="s">
        <v>1547</v>
      </c>
      <c r="B1510">
        <v>73</v>
      </c>
      <c r="C1510" t="s">
        <v>18</v>
      </c>
      <c r="D1510" t="s">
        <v>21</v>
      </c>
      <c r="E1510">
        <v>17</v>
      </c>
      <c r="F1510" t="s">
        <v>33</v>
      </c>
      <c r="G1510" t="s">
        <v>23</v>
      </c>
      <c r="H1510" s="1">
        <v>307.25</v>
      </c>
      <c r="I1510" t="s">
        <v>24</v>
      </c>
      <c r="J1510">
        <v>2</v>
      </c>
      <c r="K1510">
        <v>4</v>
      </c>
    </row>
    <row r="1511" spans="1:11" x14ac:dyDescent="0.35">
      <c r="A1511" t="s">
        <v>1548</v>
      </c>
      <c r="B1511">
        <v>59</v>
      </c>
      <c r="C1511" t="s">
        <v>18</v>
      </c>
      <c r="D1511" t="s">
        <v>19</v>
      </c>
      <c r="E1511">
        <v>16</v>
      </c>
      <c r="F1511" t="s">
        <v>22</v>
      </c>
      <c r="G1511" t="s">
        <v>27</v>
      </c>
      <c r="H1511" s="1">
        <v>169.36</v>
      </c>
      <c r="I1511" t="s">
        <v>24</v>
      </c>
      <c r="J1511">
        <v>0</v>
      </c>
      <c r="K1511">
        <v>8</v>
      </c>
    </row>
    <row r="1512" spans="1:11" x14ac:dyDescent="0.35">
      <c r="A1512" t="s">
        <v>1549</v>
      </c>
      <c r="B1512">
        <v>57</v>
      </c>
      <c r="C1512" t="s">
        <v>18</v>
      </c>
      <c r="D1512" t="s">
        <v>13</v>
      </c>
      <c r="E1512">
        <v>8</v>
      </c>
      <c r="F1512" t="s">
        <v>22</v>
      </c>
      <c r="G1512" t="s">
        <v>15</v>
      </c>
      <c r="H1512" s="1">
        <v>180.47</v>
      </c>
      <c r="I1512" t="s">
        <v>28</v>
      </c>
      <c r="J1512">
        <v>0</v>
      </c>
      <c r="K1512">
        <v>10</v>
      </c>
    </row>
    <row r="1513" spans="1:11" x14ac:dyDescent="0.35">
      <c r="A1513" t="s">
        <v>1550</v>
      </c>
      <c r="B1513">
        <v>61</v>
      </c>
      <c r="C1513" t="s">
        <v>12</v>
      </c>
      <c r="D1513" t="s">
        <v>21</v>
      </c>
      <c r="E1513">
        <v>27</v>
      </c>
      <c r="F1513" t="s">
        <v>22</v>
      </c>
      <c r="G1513" t="s">
        <v>23</v>
      </c>
      <c r="H1513" s="1">
        <v>196.83</v>
      </c>
      <c r="I1513" t="s">
        <v>24</v>
      </c>
      <c r="J1513">
        <v>2</v>
      </c>
      <c r="K1513">
        <v>3</v>
      </c>
    </row>
    <row r="1514" spans="1:11" x14ac:dyDescent="0.35">
      <c r="A1514" t="s">
        <v>1551</v>
      </c>
      <c r="B1514">
        <v>84</v>
      </c>
      <c r="C1514" t="s">
        <v>12</v>
      </c>
      <c r="D1514" t="s">
        <v>13</v>
      </c>
      <c r="E1514">
        <v>23</v>
      </c>
      <c r="F1514" t="s">
        <v>26</v>
      </c>
      <c r="G1514" t="s">
        <v>37</v>
      </c>
      <c r="H1514" s="1">
        <v>173.35</v>
      </c>
      <c r="I1514" t="s">
        <v>28</v>
      </c>
      <c r="J1514">
        <v>0</v>
      </c>
      <c r="K1514">
        <v>4</v>
      </c>
    </row>
    <row r="1515" spans="1:11" x14ac:dyDescent="0.35">
      <c r="A1515" t="s">
        <v>1552</v>
      </c>
      <c r="B1515">
        <v>60</v>
      </c>
      <c r="C1515" t="s">
        <v>18</v>
      </c>
      <c r="D1515" t="s">
        <v>57</v>
      </c>
      <c r="E1515">
        <v>14</v>
      </c>
      <c r="F1515" t="s">
        <v>26</v>
      </c>
      <c r="G1515" t="s">
        <v>27</v>
      </c>
      <c r="H1515" s="1">
        <v>91.99</v>
      </c>
      <c r="I1515" t="s">
        <v>24</v>
      </c>
      <c r="J1515">
        <v>2</v>
      </c>
      <c r="K1515">
        <v>6</v>
      </c>
    </row>
    <row r="1516" spans="1:11" x14ac:dyDescent="0.35">
      <c r="A1516" t="s">
        <v>1553</v>
      </c>
      <c r="B1516">
        <v>80</v>
      </c>
      <c r="C1516" t="s">
        <v>12</v>
      </c>
      <c r="D1516" t="s">
        <v>21</v>
      </c>
      <c r="E1516">
        <v>22</v>
      </c>
      <c r="F1516" t="s">
        <v>33</v>
      </c>
      <c r="G1516" t="s">
        <v>27</v>
      </c>
      <c r="H1516" s="1">
        <v>137.88</v>
      </c>
      <c r="I1516" t="s">
        <v>43</v>
      </c>
      <c r="J1516">
        <v>2</v>
      </c>
      <c r="K1516">
        <v>5</v>
      </c>
    </row>
    <row r="1517" spans="1:11" x14ac:dyDescent="0.35">
      <c r="A1517" t="s">
        <v>1554</v>
      </c>
      <c r="B1517">
        <v>61</v>
      </c>
      <c r="C1517" t="s">
        <v>18</v>
      </c>
      <c r="D1517" t="s">
        <v>19</v>
      </c>
      <c r="E1517">
        <v>7</v>
      </c>
      <c r="F1517" t="s">
        <v>31</v>
      </c>
      <c r="G1517" t="s">
        <v>34</v>
      </c>
      <c r="H1517" s="1">
        <v>116.42</v>
      </c>
      <c r="I1517" t="s">
        <v>24</v>
      </c>
      <c r="J1517">
        <v>0</v>
      </c>
      <c r="K1517">
        <v>9</v>
      </c>
    </row>
    <row r="1518" spans="1:11" x14ac:dyDescent="0.35">
      <c r="A1518" t="s">
        <v>1555</v>
      </c>
      <c r="B1518">
        <v>50</v>
      </c>
      <c r="C1518" t="s">
        <v>12</v>
      </c>
      <c r="D1518" t="s">
        <v>19</v>
      </c>
      <c r="E1518">
        <v>8</v>
      </c>
      <c r="F1518" t="s">
        <v>26</v>
      </c>
      <c r="G1518" t="s">
        <v>15</v>
      </c>
      <c r="H1518" s="1">
        <v>286.05</v>
      </c>
      <c r="I1518" t="s">
        <v>24</v>
      </c>
      <c r="J1518">
        <v>2</v>
      </c>
      <c r="K1518">
        <v>7</v>
      </c>
    </row>
    <row r="1519" spans="1:11" x14ac:dyDescent="0.35">
      <c r="A1519" t="s">
        <v>1556</v>
      </c>
      <c r="B1519">
        <v>19</v>
      </c>
      <c r="C1519" t="s">
        <v>18</v>
      </c>
      <c r="D1519" t="s">
        <v>19</v>
      </c>
      <c r="E1519">
        <v>14</v>
      </c>
      <c r="F1519" t="s">
        <v>33</v>
      </c>
      <c r="G1519" t="s">
        <v>15</v>
      </c>
      <c r="H1519" s="1">
        <v>123.86</v>
      </c>
      <c r="I1519" t="s">
        <v>24</v>
      </c>
      <c r="J1519">
        <v>1</v>
      </c>
      <c r="K1519">
        <v>4</v>
      </c>
    </row>
    <row r="1520" spans="1:11" x14ac:dyDescent="0.35">
      <c r="A1520" t="s">
        <v>1557</v>
      </c>
      <c r="B1520">
        <v>66</v>
      </c>
      <c r="C1520" t="s">
        <v>12</v>
      </c>
      <c r="D1520" t="s">
        <v>57</v>
      </c>
      <c r="E1520">
        <v>39</v>
      </c>
      <c r="F1520" t="s">
        <v>26</v>
      </c>
      <c r="G1520" t="s">
        <v>15</v>
      </c>
      <c r="H1520" s="1">
        <v>128.69999999999999</v>
      </c>
      <c r="I1520" t="s">
        <v>24</v>
      </c>
      <c r="J1520">
        <v>0</v>
      </c>
      <c r="K1520">
        <v>5</v>
      </c>
    </row>
    <row r="1521" spans="1:11" x14ac:dyDescent="0.35">
      <c r="A1521" t="s">
        <v>1558</v>
      </c>
      <c r="B1521">
        <v>22</v>
      </c>
      <c r="C1521" t="s">
        <v>18</v>
      </c>
      <c r="D1521" t="s">
        <v>120</v>
      </c>
      <c r="E1521">
        <v>36</v>
      </c>
      <c r="F1521" t="s">
        <v>33</v>
      </c>
      <c r="G1521" t="s">
        <v>34</v>
      </c>
      <c r="H1521" s="1">
        <v>125.68</v>
      </c>
      <c r="I1521" t="s">
        <v>24</v>
      </c>
      <c r="J1521">
        <v>4</v>
      </c>
      <c r="K1521">
        <v>1</v>
      </c>
    </row>
    <row r="1522" spans="1:11" x14ac:dyDescent="0.35">
      <c r="A1522" t="s">
        <v>1559</v>
      </c>
      <c r="B1522">
        <v>40</v>
      </c>
      <c r="C1522" t="s">
        <v>12</v>
      </c>
      <c r="D1522" t="s">
        <v>21</v>
      </c>
      <c r="E1522">
        <v>34</v>
      </c>
      <c r="F1522" t="s">
        <v>26</v>
      </c>
      <c r="G1522" t="s">
        <v>34</v>
      </c>
      <c r="H1522" s="1">
        <v>106.59</v>
      </c>
      <c r="I1522" t="s">
        <v>24</v>
      </c>
      <c r="J1522">
        <v>2</v>
      </c>
      <c r="K1522">
        <v>4</v>
      </c>
    </row>
    <row r="1523" spans="1:11" x14ac:dyDescent="0.35">
      <c r="A1523" t="s">
        <v>1560</v>
      </c>
      <c r="B1523">
        <v>29</v>
      </c>
      <c r="C1523" t="s">
        <v>18</v>
      </c>
      <c r="D1523" t="s">
        <v>41</v>
      </c>
      <c r="E1523">
        <v>8</v>
      </c>
      <c r="F1523" t="s">
        <v>22</v>
      </c>
      <c r="G1523" t="s">
        <v>27</v>
      </c>
      <c r="H1523" s="1">
        <v>121.6</v>
      </c>
      <c r="I1523" t="s">
        <v>24</v>
      </c>
      <c r="J1523">
        <v>1</v>
      </c>
      <c r="K1523">
        <v>9</v>
      </c>
    </row>
    <row r="1524" spans="1:11" x14ac:dyDescent="0.35">
      <c r="A1524" t="s">
        <v>1561</v>
      </c>
      <c r="B1524">
        <v>27</v>
      </c>
      <c r="C1524" t="s">
        <v>12</v>
      </c>
      <c r="D1524" t="s">
        <v>19</v>
      </c>
      <c r="E1524">
        <v>22</v>
      </c>
      <c r="F1524" t="s">
        <v>22</v>
      </c>
      <c r="G1524" t="s">
        <v>23</v>
      </c>
      <c r="H1524" s="1">
        <v>501.24</v>
      </c>
      <c r="I1524" t="s">
        <v>24</v>
      </c>
      <c r="J1524">
        <v>1</v>
      </c>
      <c r="K1524">
        <v>4</v>
      </c>
    </row>
    <row r="1525" spans="1:11" x14ac:dyDescent="0.35">
      <c r="A1525" t="s">
        <v>1562</v>
      </c>
      <c r="B1525">
        <v>53</v>
      </c>
      <c r="C1525" t="s">
        <v>12</v>
      </c>
      <c r="D1525" t="s">
        <v>21</v>
      </c>
      <c r="E1525">
        <v>41</v>
      </c>
      <c r="F1525" t="s">
        <v>26</v>
      </c>
      <c r="G1525" t="s">
        <v>37</v>
      </c>
      <c r="H1525" s="1">
        <v>125.13</v>
      </c>
      <c r="I1525" t="s">
        <v>24</v>
      </c>
      <c r="J1525">
        <v>3</v>
      </c>
      <c r="K1525">
        <v>1</v>
      </c>
    </row>
    <row r="1526" spans="1:11" x14ac:dyDescent="0.35">
      <c r="A1526" t="s">
        <v>1563</v>
      </c>
      <c r="B1526">
        <v>41</v>
      </c>
      <c r="C1526" t="s">
        <v>18</v>
      </c>
      <c r="D1526" t="s">
        <v>19</v>
      </c>
      <c r="E1526">
        <v>9</v>
      </c>
      <c r="F1526" t="s">
        <v>14</v>
      </c>
      <c r="G1526" t="s">
        <v>34</v>
      </c>
      <c r="H1526" s="1">
        <v>0</v>
      </c>
      <c r="I1526" t="s">
        <v>16</v>
      </c>
      <c r="J1526">
        <v>0</v>
      </c>
      <c r="K1526">
        <v>6</v>
      </c>
    </row>
    <row r="1527" spans="1:11" x14ac:dyDescent="0.35">
      <c r="A1527" t="s">
        <v>1564</v>
      </c>
      <c r="B1527">
        <v>75</v>
      </c>
      <c r="C1527" t="s">
        <v>18</v>
      </c>
      <c r="D1527" t="s">
        <v>21</v>
      </c>
      <c r="E1527">
        <v>23</v>
      </c>
      <c r="F1527" t="s">
        <v>22</v>
      </c>
      <c r="G1527" t="s">
        <v>37</v>
      </c>
      <c r="H1527" s="1">
        <v>151.41999999999999</v>
      </c>
      <c r="I1527" t="s">
        <v>24</v>
      </c>
      <c r="J1527">
        <v>1</v>
      </c>
      <c r="K1527">
        <v>4</v>
      </c>
    </row>
    <row r="1528" spans="1:11" x14ac:dyDescent="0.35">
      <c r="A1528" t="s">
        <v>1565</v>
      </c>
      <c r="B1528">
        <v>46</v>
      </c>
      <c r="C1528" t="s">
        <v>12</v>
      </c>
      <c r="D1528" t="s">
        <v>21</v>
      </c>
      <c r="E1528">
        <v>18</v>
      </c>
      <c r="F1528" t="s">
        <v>33</v>
      </c>
      <c r="G1528" t="s">
        <v>34</v>
      </c>
      <c r="H1528" s="1">
        <v>161.07</v>
      </c>
      <c r="I1528" t="s">
        <v>28</v>
      </c>
      <c r="J1528">
        <v>1</v>
      </c>
      <c r="K1528">
        <v>8</v>
      </c>
    </row>
    <row r="1529" spans="1:11" x14ac:dyDescent="0.35">
      <c r="A1529" t="s">
        <v>1566</v>
      </c>
      <c r="B1529">
        <v>77</v>
      </c>
      <c r="C1529" t="s">
        <v>189</v>
      </c>
      <c r="D1529" t="s">
        <v>13</v>
      </c>
      <c r="E1529">
        <v>15</v>
      </c>
      <c r="F1529" t="s">
        <v>33</v>
      </c>
      <c r="G1529" t="s">
        <v>34</v>
      </c>
      <c r="H1529" s="1">
        <v>156.49</v>
      </c>
      <c r="I1529" t="s">
        <v>24</v>
      </c>
      <c r="J1529">
        <v>1</v>
      </c>
      <c r="K1529">
        <v>8</v>
      </c>
    </row>
    <row r="1530" spans="1:11" x14ac:dyDescent="0.35">
      <c r="A1530" t="s">
        <v>1567</v>
      </c>
      <c r="B1530">
        <v>52</v>
      </c>
      <c r="C1530" t="s">
        <v>18</v>
      </c>
      <c r="D1530" t="s">
        <v>19</v>
      </c>
      <c r="E1530">
        <v>19</v>
      </c>
      <c r="F1530" t="s">
        <v>22</v>
      </c>
      <c r="G1530" t="s">
        <v>23</v>
      </c>
      <c r="H1530" s="1">
        <v>575.89</v>
      </c>
      <c r="I1530" t="s">
        <v>43</v>
      </c>
      <c r="J1530">
        <v>1</v>
      </c>
      <c r="K1530">
        <v>5</v>
      </c>
    </row>
    <row r="1531" spans="1:11" x14ac:dyDescent="0.35">
      <c r="A1531" t="s">
        <v>1568</v>
      </c>
      <c r="B1531">
        <v>39</v>
      </c>
      <c r="C1531" t="s">
        <v>18</v>
      </c>
      <c r="D1531" t="s">
        <v>41</v>
      </c>
      <c r="E1531">
        <v>9</v>
      </c>
      <c r="F1531" t="s">
        <v>22</v>
      </c>
      <c r="G1531" t="s">
        <v>37</v>
      </c>
      <c r="H1531" s="1">
        <v>145.61000000000001</v>
      </c>
      <c r="I1531" t="s">
        <v>24</v>
      </c>
      <c r="J1531">
        <v>2</v>
      </c>
      <c r="K1531">
        <v>6</v>
      </c>
    </row>
    <row r="1532" spans="1:11" x14ac:dyDescent="0.35">
      <c r="A1532" t="s">
        <v>1569</v>
      </c>
      <c r="B1532">
        <v>75</v>
      </c>
      <c r="C1532" t="s">
        <v>18</v>
      </c>
      <c r="D1532" t="s">
        <v>19</v>
      </c>
      <c r="E1532">
        <v>13</v>
      </c>
      <c r="F1532" t="s">
        <v>31</v>
      </c>
      <c r="G1532" t="s">
        <v>27</v>
      </c>
      <c r="H1532" s="1">
        <v>30.84</v>
      </c>
      <c r="I1532" t="s">
        <v>24</v>
      </c>
      <c r="J1532">
        <v>3</v>
      </c>
      <c r="K1532">
        <v>7</v>
      </c>
    </row>
    <row r="1533" spans="1:11" x14ac:dyDescent="0.35">
      <c r="A1533" t="s">
        <v>1570</v>
      </c>
      <c r="B1533">
        <v>56</v>
      </c>
      <c r="C1533" t="s">
        <v>12</v>
      </c>
      <c r="D1533" t="s">
        <v>47</v>
      </c>
      <c r="E1533">
        <v>2</v>
      </c>
      <c r="F1533" t="s">
        <v>31</v>
      </c>
      <c r="G1533" t="s">
        <v>34</v>
      </c>
      <c r="H1533" s="1">
        <v>90.04</v>
      </c>
      <c r="I1533" t="s">
        <v>24</v>
      </c>
      <c r="J1533">
        <v>0</v>
      </c>
      <c r="K1533">
        <v>9</v>
      </c>
    </row>
    <row r="1534" spans="1:11" x14ac:dyDescent="0.35">
      <c r="A1534" t="s">
        <v>1571</v>
      </c>
      <c r="B1534">
        <v>63</v>
      </c>
      <c r="C1534" t="s">
        <v>18</v>
      </c>
      <c r="D1534" t="s">
        <v>30</v>
      </c>
      <c r="E1534">
        <v>10</v>
      </c>
      <c r="F1534" t="s">
        <v>26</v>
      </c>
      <c r="G1534" t="s">
        <v>23</v>
      </c>
      <c r="H1534" s="1">
        <v>195.39</v>
      </c>
      <c r="I1534" t="s">
        <v>24</v>
      </c>
      <c r="J1534">
        <v>0</v>
      </c>
      <c r="K1534">
        <v>4</v>
      </c>
    </row>
    <row r="1535" spans="1:11" x14ac:dyDescent="0.35">
      <c r="A1535" t="s">
        <v>1572</v>
      </c>
      <c r="B1535">
        <v>32</v>
      </c>
      <c r="C1535" t="s">
        <v>18</v>
      </c>
      <c r="D1535" t="s">
        <v>21</v>
      </c>
      <c r="E1535">
        <v>19</v>
      </c>
      <c r="F1535" t="s">
        <v>14</v>
      </c>
      <c r="G1535" t="s">
        <v>34</v>
      </c>
      <c r="H1535" s="1">
        <v>0</v>
      </c>
      <c r="I1535" t="s">
        <v>16</v>
      </c>
      <c r="J1535">
        <v>4</v>
      </c>
      <c r="K1535">
        <v>2</v>
      </c>
    </row>
    <row r="1536" spans="1:11" x14ac:dyDescent="0.35">
      <c r="A1536" t="s">
        <v>1573</v>
      </c>
      <c r="B1536">
        <v>39</v>
      </c>
      <c r="C1536" t="s">
        <v>528</v>
      </c>
      <c r="D1536" t="s">
        <v>19</v>
      </c>
      <c r="E1536">
        <v>16</v>
      </c>
      <c r="F1536" t="s">
        <v>14</v>
      </c>
      <c r="G1536" t="s">
        <v>23</v>
      </c>
      <c r="H1536" s="1">
        <v>0</v>
      </c>
      <c r="I1536" t="s">
        <v>16</v>
      </c>
      <c r="J1536">
        <v>0</v>
      </c>
      <c r="K1536">
        <v>7</v>
      </c>
    </row>
    <row r="1537" spans="1:11" x14ac:dyDescent="0.35">
      <c r="A1537" t="s">
        <v>1574</v>
      </c>
      <c r="B1537">
        <v>50</v>
      </c>
      <c r="C1537" t="s">
        <v>12</v>
      </c>
      <c r="D1537" t="s">
        <v>30</v>
      </c>
      <c r="E1537">
        <v>14</v>
      </c>
      <c r="F1537" t="s">
        <v>33</v>
      </c>
      <c r="G1537" t="s">
        <v>34</v>
      </c>
      <c r="H1537" s="1">
        <v>94.74</v>
      </c>
      <c r="I1537" t="s">
        <v>24</v>
      </c>
      <c r="J1537">
        <v>3</v>
      </c>
      <c r="K1537">
        <v>8</v>
      </c>
    </row>
    <row r="1538" spans="1:11" x14ac:dyDescent="0.35">
      <c r="A1538" t="s">
        <v>1575</v>
      </c>
      <c r="B1538">
        <v>37</v>
      </c>
      <c r="C1538" t="s">
        <v>18</v>
      </c>
      <c r="D1538" t="s">
        <v>19</v>
      </c>
      <c r="E1538">
        <v>9</v>
      </c>
      <c r="F1538" t="s">
        <v>31</v>
      </c>
      <c r="G1538" t="s">
        <v>27</v>
      </c>
      <c r="H1538" s="1">
        <v>175.47</v>
      </c>
      <c r="I1538" t="s">
        <v>28</v>
      </c>
      <c r="J1538">
        <v>3</v>
      </c>
      <c r="K1538">
        <v>8</v>
      </c>
    </row>
    <row r="1539" spans="1:11" x14ac:dyDescent="0.35">
      <c r="A1539" t="s">
        <v>1576</v>
      </c>
      <c r="B1539">
        <v>25</v>
      </c>
      <c r="C1539" t="s">
        <v>12</v>
      </c>
      <c r="D1539" t="s">
        <v>19</v>
      </c>
      <c r="E1539">
        <v>7</v>
      </c>
      <c r="F1539" t="s">
        <v>31</v>
      </c>
      <c r="G1539" t="s">
        <v>23</v>
      </c>
      <c r="H1539" s="1">
        <v>319.60000000000002</v>
      </c>
      <c r="I1539" t="s">
        <v>28</v>
      </c>
      <c r="J1539">
        <v>1</v>
      </c>
      <c r="K1539">
        <v>10</v>
      </c>
    </row>
    <row r="1540" spans="1:11" x14ac:dyDescent="0.35">
      <c r="A1540" t="s">
        <v>1577</v>
      </c>
      <c r="B1540">
        <v>51</v>
      </c>
      <c r="C1540" t="s">
        <v>18</v>
      </c>
      <c r="D1540" t="s">
        <v>13</v>
      </c>
      <c r="E1540">
        <v>12</v>
      </c>
      <c r="F1540" t="s">
        <v>31</v>
      </c>
      <c r="G1540" t="s">
        <v>15</v>
      </c>
      <c r="H1540" s="1">
        <v>277.41000000000003</v>
      </c>
      <c r="I1540" t="s">
        <v>24</v>
      </c>
      <c r="J1540">
        <v>0</v>
      </c>
      <c r="K1540">
        <v>7</v>
      </c>
    </row>
    <row r="1541" spans="1:11" x14ac:dyDescent="0.35">
      <c r="A1541" t="s">
        <v>1578</v>
      </c>
      <c r="B1541">
        <v>75</v>
      </c>
      <c r="C1541" t="s">
        <v>18</v>
      </c>
      <c r="D1541" t="s">
        <v>13</v>
      </c>
      <c r="E1541">
        <v>10</v>
      </c>
      <c r="F1541" t="s">
        <v>22</v>
      </c>
      <c r="G1541" t="s">
        <v>27</v>
      </c>
      <c r="H1541" s="1">
        <v>29.73</v>
      </c>
      <c r="I1541" t="s">
        <v>24</v>
      </c>
      <c r="J1541">
        <v>0</v>
      </c>
      <c r="K1541">
        <v>5</v>
      </c>
    </row>
    <row r="1542" spans="1:11" x14ac:dyDescent="0.35">
      <c r="A1542" t="s">
        <v>1579</v>
      </c>
      <c r="B1542">
        <v>43</v>
      </c>
      <c r="C1542" t="s">
        <v>18</v>
      </c>
      <c r="D1542" t="s">
        <v>47</v>
      </c>
      <c r="E1542">
        <v>14</v>
      </c>
      <c r="F1542" t="s">
        <v>31</v>
      </c>
      <c r="G1542" t="s">
        <v>34</v>
      </c>
      <c r="H1542" s="1">
        <v>148.19</v>
      </c>
      <c r="I1542" t="s">
        <v>28</v>
      </c>
      <c r="J1542">
        <v>1</v>
      </c>
      <c r="K1542">
        <v>6</v>
      </c>
    </row>
    <row r="1543" spans="1:11" x14ac:dyDescent="0.35">
      <c r="A1543" t="s">
        <v>1580</v>
      </c>
      <c r="B1543">
        <v>54</v>
      </c>
      <c r="C1543" t="s">
        <v>18</v>
      </c>
      <c r="D1543" t="s">
        <v>13</v>
      </c>
      <c r="E1543">
        <v>10</v>
      </c>
      <c r="F1543" t="s">
        <v>33</v>
      </c>
      <c r="G1543" t="s">
        <v>34</v>
      </c>
      <c r="H1543" s="1">
        <v>159.96</v>
      </c>
      <c r="I1543" t="s">
        <v>24</v>
      </c>
      <c r="J1543">
        <v>2</v>
      </c>
      <c r="K1543">
        <v>5</v>
      </c>
    </row>
    <row r="1544" spans="1:11" x14ac:dyDescent="0.35">
      <c r="A1544" t="s">
        <v>1581</v>
      </c>
      <c r="B1544">
        <v>48</v>
      </c>
      <c r="C1544" t="s">
        <v>18</v>
      </c>
      <c r="D1544" t="s">
        <v>13</v>
      </c>
      <c r="E1544">
        <v>13</v>
      </c>
      <c r="F1544" t="s">
        <v>22</v>
      </c>
      <c r="G1544" t="s">
        <v>23</v>
      </c>
      <c r="H1544" s="1">
        <v>124.51</v>
      </c>
      <c r="I1544" t="s">
        <v>24</v>
      </c>
      <c r="J1544">
        <v>1</v>
      </c>
      <c r="K1544">
        <v>7</v>
      </c>
    </row>
    <row r="1545" spans="1:11" x14ac:dyDescent="0.35">
      <c r="A1545" t="s">
        <v>1582</v>
      </c>
      <c r="B1545">
        <v>75</v>
      </c>
      <c r="C1545" t="s">
        <v>12</v>
      </c>
      <c r="D1545" t="s">
        <v>41</v>
      </c>
      <c r="E1545">
        <v>4</v>
      </c>
      <c r="F1545" t="s">
        <v>33</v>
      </c>
      <c r="G1545" t="s">
        <v>37</v>
      </c>
      <c r="H1545" s="1">
        <v>154.32</v>
      </c>
      <c r="I1545" t="s">
        <v>24</v>
      </c>
      <c r="J1545">
        <v>1</v>
      </c>
      <c r="K1545">
        <v>10</v>
      </c>
    </row>
    <row r="1546" spans="1:11" x14ac:dyDescent="0.35">
      <c r="A1546" t="s">
        <v>1583</v>
      </c>
      <c r="B1546">
        <v>24</v>
      </c>
      <c r="C1546" t="s">
        <v>18</v>
      </c>
      <c r="D1546" t="s">
        <v>19</v>
      </c>
      <c r="E1546">
        <v>21</v>
      </c>
      <c r="F1546" t="s">
        <v>31</v>
      </c>
      <c r="G1546" t="s">
        <v>27</v>
      </c>
      <c r="H1546" s="1">
        <v>42.14</v>
      </c>
      <c r="I1546" t="s">
        <v>43</v>
      </c>
      <c r="J1546">
        <v>2</v>
      </c>
      <c r="K1546">
        <v>3</v>
      </c>
    </row>
    <row r="1547" spans="1:11" x14ac:dyDescent="0.35">
      <c r="A1547" t="s">
        <v>1584</v>
      </c>
      <c r="B1547">
        <v>62</v>
      </c>
      <c r="C1547" t="s">
        <v>12</v>
      </c>
      <c r="D1547" t="s">
        <v>41</v>
      </c>
      <c r="E1547">
        <v>10</v>
      </c>
      <c r="F1547" t="s">
        <v>31</v>
      </c>
      <c r="G1547" t="s">
        <v>23</v>
      </c>
      <c r="H1547" s="1">
        <v>330.7</v>
      </c>
      <c r="I1547" t="s">
        <v>24</v>
      </c>
      <c r="J1547">
        <v>0</v>
      </c>
      <c r="K1547">
        <v>8</v>
      </c>
    </row>
    <row r="1548" spans="1:11" x14ac:dyDescent="0.35">
      <c r="A1548" t="s">
        <v>1585</v>
      </c>
      <c r="B1548">
        <v>29</v>
      </c>
      <c r="C1548" t="s">
        <v>12</v>
      </c>
      <c r="D1548" t="s">
        <v>30</v>
      </c>
      <c r="E1548">
        <v>14</v>
      </c>
      <c r="F1548" t="s">
        <v>33</v>
      </c>
      <c r="G1548" t="s">
        <v>34</v>
      </c>
      <c r="H1548" s="1">
        <v>194.3</v>
      </c>
      <c r="I1548" t="s">
        <v>24</v>
      </c>
      <c r="J1548">
        <v>2</v>
      </c>
      <c r="K1548">
        <v>4</v>
      </c>
    </row>
    <row r="1549" spans="1:11" x14ac:dyDescent="0.35">
      <c r="A1549" t="s">
        <v>1586</v>
      </c>
      <c r="B1549">
        <v>61</v>
      </c>
      <c r="C1549" t="s">
        <v>18</v>
      </c>
      <c r="D1549" t="s">
        <v>21</v>
      </c>
      <c r="E1549">
        <v>31</v>
      </c>
      <c r="F1549" t="s">
        <v>22</v>
      </c>
      <c r="G1549" t="s">
        <v>34</v>
      </c>
      <c r="H1549" s="1">
        <v>136.18</v>
      </c>
      <c r="I1549" t="s">
        <v>24</v>
      </c>
      <c r="J1549">
        <v>3</v>
      </c>
      <c r="K1549">
        <v>5</v>
      </c>
    </row>
    <row r="1550" spans="1:11" x14ac:dyDescent="0.35">
      <c r="A1550" t="s">
        <v>1587</v>
      </c>
      <c r="B1550">
        <v>71</v>
      </c>
      <c r="C1550" t="s">
        <v>18</v>
      </c>
      <c r="D1550" t="s">
        <v>30</v>
      </c>
      <c r="E1550">
        <v>12</v>
      </c>
      <c r="F1550" t="s">
        <v>31</v>
      </c>
      <c r="G1550" t="s">
        <v>15</v>
      </c>
      <c r="H1550" s="1">
        <v>275.69</v>
      </c>
      <c r="I1550" t="s">
        <v>24</v>
      </c>
      <c r="J1550">
        <v>1</v>
      </c>
      <c r="K1550">
        <v>5</v>
      </c>
    </row>
    <row r="1551" spans="1:11" x14ac:dyDescent="0.35">
      <c r="A1551" t="s">
        <v>1588</v>
      </c>
      <c r="B1551">
        <v>24</v>
      </c>
      <c r="C1551" t="s">
        <v>18</v>
      </c>
      <c r="D1551" t="s">
        <v>57</v>
      </c>
      <c r="E1551">
        <v>30</v>
      </c>
      <c r="F1551" t="s">
        <v>14</v>
      </c>
      <c r="G1551" t="s">
        <v>27</v>
      </c>
      <c r="H1551" s="1">
        <v>0</v>
      </c>
      <c r="I1551" t="s">
        <v>16</v>
      </c>
      <c r="J1551">
        <v>4</v>
      </c>
      <c r="K1551">
        <v>4</v>
      </c>
    </row>
    <row r="1552" spans="1:11" x14ac:dyDescent="0.35">
      <c r="A1552" t="s">
        <v>1589</v>
      </c>
      <c r="B1552">
        <v>75</v>
      </c>
      <c r="C1552" t="s">
        <v>18</v>
      </c>
      <c r="D1552" t="s">
        <v>244</v>
      </c>
      <c r="E1552">
        <v>17</v>
      </c>
      <c r="F1552" t="s">
        <v>31</v>
      </c>
      <c r="G1552" t="s">
        <v>34</v>
      </c>
      <c r="H1552" s="1">
        <v>128.24</v>
      </c>
      <c r="I1552" t="s">
        <v>43</v>
      </c>
      <c r="J1552">
        <v>0</v>
      </c>
      <c r="K1552">
        <v>7</v>
      </c>
    </row>
    <row r="1553" spans="1:11" x14ac:dyDescent="0.35">
      <c r="A1553" t="s">
        <v>1590</v>
      </c>
      <c r="B1553">
        <v>58</v>
      </c>
      <c r="C1553" t="s">
        <v>18</v>
      </c>
      <c r="D1553" t="s">
        <v>120</v>
      </c>
      <c r="E1553">
        <v>28</v>
      </c>
      <c r="F1553" t="s">
        <v>22</v>
      </c>
      <c r="G1553" t="s">
        <v>37</v>
      </c>
      <c r="H1553" s="1">
        <v>147.37</v>
      </c>
      <c r="I1553" t="s">
        <v>24</v>
      </c>
      <c r="J1553">
        <v>3</v>
      </c>
      <c r="K1553">
        <v>1</v>
      </c>
    </row>
    <row r="1554" spans="1:11" x14ac:dyDescent="0.35">
      <c r="A1554" t="s">
        <v>1591</v>
      </c>
      <c r="B1554">
        <v>26</v>
      </c>
      <c r="C1554" t="s">
        <v>12</v>
      </c>
      <c r="D1554" t="s">
        <v>21</v>
      </c>
      <c r="E1554">
        <v>17</v>
      </c>
      <c r="F1554" t="s">
        <v>26</v>
      </c>
      <c r="G1554" t="s">
        <v>23</v>
      </c>
      <c r="H1554" s="1">
        <v>97.04</v>
      </c>
      <c r="I1554" t="s">
        <v>24</v>
      </c>
      <c r="J1554">
        <v>2</v>
      </c>
      <c r="K1554">
        <v>4</v>
      </c>
    </row>
    <row r="1555" spans="1:11" x14ac:dyDescent="0.35">
      <c r="A1555" t="s">
        <v>1592</v>
      </c>
      <c r="B1555">
        <v>55</v>
      </c>
      <c r="C1555" t="s">
        <v>18</v>
      </c>
      <c r="D1555" t="s">
        <v>19</v>
      </c>
      <c r="E1555">
        <v>15</v>
      </c>
      <c r="F1555" t="s">
        <v>33</v>
      </c>
      <c r="G1555" t="s">
        <v>34</v>
      </c>
      <c r="H1555" s="1">
        <v>172.02</v>
      </c>
      <c r="I1555" t="s">
        <v>24</v>
      </c>
      <c r="J1555">
        <v>2</v>
      </c>
      <c r="K1555">
        <v>7</v>
      </c>
    </row>
    <row r="1556" spans="1:11" x14ac:dyDescent="0.35">
      <c r="A1556" t="s">
        <v>1593</v>
      </c>
      <c r="B1556">
        <v>31</v>
      </c>
      <c r="C1556" t="s">
        <v>12</v>
      </c>
      <c r="D1556" t="s">
        <v>13</v>
      </c>
      <c r="E1556">
        <v>17</v>
      </c>
      <c r="F1556" t="s">
        <v>14</v>
      </c>
      <c r="G1556" t="s">
        <v>34</v>
      </c>
      <c r="H1556" s="1">
        <v>0</v>
      </c>
      <c r="I1556" t="s">
        <v>16</v>
      </c>
      <c r="J1556">
        <v>1</v>
      </c>
      <c r="K1556">
        <v>4</v>
      </c>
    </row>
    <row r="1557" spans="1:11" x14ac:dyDescent="0.35">
      <c r="A1557" t="s">
        <v>1594</v>
      </c>
      <c r="B1557">
        <v>74</v>
      </c>
      <c r="C1557" t="s">
        <v>18</v>
      </c>
      <c r="D1557" t="s">
        <v>21</v>
      </c>
      <c r="E1557">
        <v>21</v>
      </c>
      <c r="F1557" t="s">
        <v>31</v>
      </c>
      <c r="G1557" t="s">
        <v>23</v>
      </c>
      <c r="H1557" s="1">
        <v>251.73</v>
      </c>
      <c r="I1557" t="s">
        <v>24</v>
      </c>
      <c r="J1557">
        <v>4</v>
      </c>
      <c r="K1557">
        <v>1</v>
      </c>
    </row>
    <row r="1558" spans="1:11" x14ac:dyDescent="0.35">
      <c r="A1558" t="s">
        <v>1595</v>
      </c>
      <c r="B1558">
        <v>47</v>
      </c>
      <c r="C1558" t="s">
        <v>18</v>
      </c>
      <c r="D1558" t="s">
        <v>21</v>
      </c>
      <c r="E1558">
        <v>41</v>
      </c>
      <c r="F1558" t="s">
        <v>33</v>
      </c>
      <c r="G1558" t="s">
        <v>34</v>
      </c>
      <c r="H1558" s="1">
        <v>191.19</v>
      </c>
      <c r="I1558" t="s">
        <v>24</v>
      </c>
      <c r="J1558">
        <v>0</v>
      </c>
      <c r="K1558">
        <v>1</v>
      </c>
    </row>
    <row r="1559" spans="1:11" x14ac:dyDescent="0.35">
      <c r="A1559" t="s">
        <v>1596</v>
      </c>
      <c r="B1559">
        <v>75</v>
      </c>
      <c r="C1559" t="s">
        <v>18</v>
      </c>
      <c r="D1559" t="s">
        <v>19</v>
      </c>
      <c r="E1559">
        <v>21</v>
      </c>
      <c r="F1559" t="s">
        <v>22</v>
      </c>
      <c r="G1559" t="s">
        <v>23</v>
      </c>
      <c r="H1559" s="1">
        <v>522.16999999999996</v>
      </c>
      <c r="I1559" t="s">
        <v>43</v>
      </c>
      <c r="J1559">
        <v>3</v>
      </c>
      <c r="K1559">
        <v>3</v>
      </c>
    </row>
    <row r="1560" spans="1:11" x14ac:dyDescent="0.35">
      <c r="A1560" t="s">
        <v>1597</v>
      </c>
      <c r="B1560">
        <v>47</v>
      </c>
      <c r="C1560" t="s">
        <v>12</v>
      </c>
      <c r="D1560" t="s">
        <v>19</v>
      </c>
      <c r="E1560">
        <v>13</v>
      </c>
      <c r="F1560" t="s">
        <v>33</v>
      </c>
      <c r="G1560" t="s">
        <v>37</v>
      </c>
      <c r="H1560" s="1">
        <v>138.81</v>
      </c>
      <c r="I1560" t="s">
        <v>24</v>
      </c>
      <c r="J1560">
        <v>0</v>
      </c>
      <c r="K1560">
        <v>5</v>
      </c>
    </row>
    <row r="1561" spans="1:11" x14ac:dyDescent="0.35">
      <c r="A1561" t="s">
        <v>1598</v>
      </c>
      <c r="B1561">
        <v>52</v>
      </c>
      <c r="C1561" t="s">
        <v>12</v>
      </c>
      <c r="D1561" t="s">
        <v>19</v>
      </c>
      <c r="E1561">
        <v>9</v>
      </c>
      <c r="F1561" t="s">
        <v>22</v>
      </c>
      <c r="G1561" t="s">
        <v>34</v>
      </c>
      <c r="H1561" s="1">
        <v>216.32</v>
      </c>
      <c r="I1561" t="s">
        <v>24</v>
      </c>
      <c r="J1561">
        <v>0</v>
      </c>
      <c r="K1561">
        <v>5</v>
      </c>
    </row>
    <row r="1562" spans="1:11" x14ac:dyDescent="0.35">
      <c r="A1562" t="s">
        <v>1599</v>
      </c>
      <c r="B1562">
        <v>26</v>
      </c>
      <c r="C1562" t="s">
        <v>189</v>
      </c>
      <c r="D1562" t="s">
        <v>19</v>
      </c>
      <c r="E1562">
        <v>17</v>
      </c>
      <c r="F1562" t="s">
        <v>22</v>
      </c>
      <c r="G1562" t="s">
        <v>15</v>
      </c>
      <c r="H1562" s="1">
        <v>248.85</v>
      </c>
      <c r="I1562" t="s">
        <v>24</v>
      </c>
      <c r="J1562">
        <v>2</v>
      </c>
      <c r="K1562">
        <v>6</v>
      </c>
    </row>
    <row r="1563" spans="1:11" x14ac:dyDescent="0.35">
      <c r="A1563" t="s">
        <v>1600</v>
      </c>
      <c r="B1563">
        <v>62</v>
      </c>
      <c r="C1563" t="s">
        <v>18</v>
      </c>
      <c r="D1563" t="s">
        <v>21</v>
      </c>
      <c r="E1563">
        <v>39</v>
      </c>
      <c r="F1563" t="s">
        <v>22</v>
      </c>
      <c r="G1563" t="s">
        <v>15</v>
      </c>
      <c r="H1563" s="1">
        <v>279.76</v>
      </c>
      <c r="I1563" t="s">
        <v>24</v>
      </c>
      <c r="J1563">
        <v>1</v>
      </c>
      <c r="K1563">
        <v>4</v>
      </c>
    </row>
    <row r="1564" spans="1:11" x14ac:dyDescent="0.35">
      <c r="A1564" t="s">
        <v>1601</v>
      </c>
      <c r="B1564">
        <v>74</v>
      </c>
      <c r="C1564" t="s">
        <v>18</v>
      </c>
      <c r="D1564" t="s">
        <v>21</v>
      </c>
      <c r="E1564">
        <v>45</v>
      </c>
      <c r="F1564" t="s">
        <v>22</v>
      </c>
      <c r="G1564" t="s">
        <v>15</v>
      </c>
      <c r="H1564" s="1">
        <v>373.67</v>
      </c>
      <c r="I1564" t="s">
        <v>24</v>
      </c>
      <c r="J1564">
        <v>4</v>
      </c>
      <c r="K1564">
        <v>2</v>
      </c>
    </row>
    <row r="1565" spans="1:11" x14ac:dyDescent="0.35">
      <c r="A1565" t="s">
        <v>1602</v>
      </c>
      <c r="B1565">
        <v>51</v>
      </c>
      <c r="C1565" t="s">
        <v>18</v>
      </c>
      <c r="D1565" t="s">
        <v>21</v>
      </c>
      <c r="E1565">
        <v>30</v>
      </c>
      <c r="F1565" t="s">
        <v>14</v>
      </c>
      <c r="G1565" t="s">
        <v>15</v>
      </c>
      <c r="H1565" s="1">
        <v>0</v>
      </c>
      <c r="I1565" t="s">
        <v>16</v>
      </c>
      <c r="J1565">
        <v>4</v>
      </c>
      <c r="K1565">
        <v>4</v>
      </c>
    </row>
    <row r="1566" spans="1:11" x14ac:dyDescent="0.35">
      <c r="A1566" t="s">
        <v>1603</v>
      </c>
      <c r="B1566">
        <v>85</v>
      </c>
      <c r="C1566" t="s">
        <v>18</v>
      </c>
      <c r="D1566" t="s">
        <v>19</v>
      </c>
      <c r="E1566">
        <v>20</v>
      </c>
      <c r="F1566" t="s">
        <v>31</v>
      </c>
      <c r="G1566" t="s">
        <v>27</v>
      </c>
      <c r="H1566" s="1">
        <v>49.06</v>
      </c>
      <c r="I1566" t="s">
        <v>24</v>
      </c>
      <c r="J1566">
        <v>1</v>
      </c>
      <c r="K1566">
        <v>3</v>
      </c>
    </row>
    <row r="1567" spans="1:11" x14ac:dyDescent="0.35">
      <c r="A1567" t="s">
        <v>1604</v>
      </c>
      <c r="B1567">
        <v>36</v>
      </c>
      <c r="C1567" t="s">
        <v>12</v>
      </c>
      <c r="D1567" t="s">
        <v>21</v>
      </c>
      <c r="E1567">
        <v>41</v>
      </c>
      <c r="F1567" t="s">
        <v>31</v>
      </c>
      <c r="G1567" t="s">
        <v>27</v>
      </c>
      <c r="H1567" s="1">
        <v>156.07</v>
      </c>
      <c r="I1567" t="s">
        <v>24</v>
      </c>
      <c r="J1567">
        <v>1</v>
      </c>
      <c r="K1567">
        <v>3</v>
      </c>
    </row>
    <row r="1568" spans="1:11" x14ac:dyDescent="0.35">
      <c r="A1568" t="s">
        <v>1605</v>
      </c>
      <c r="B1568">
        <v>29</v>
      </c>
      <c r="C1568" t="s">
        <v>18</v>
      </c>
      <c r="D1568" t="s">
        <v>21</v>
      </c>
      <c r="E1568">
        <v>39</v>
      </c>
      <c r="F1568" t="s">
        <v>14</v>
      </c>
      <c r="G1568" t="s">
        <v>27</v>
      </c>
      <c r="H1568" s="1">
        <v>0</v>
      </c>
      <c r="I1568" t="s">
        <v>16</v>
      </c>
      <c r="J1568">
        <v>2</v>
      </c>
      <c r="K1568">
        <v>2</v>
      </c>
    </row>
    <row r="1569" spans="1:11" x14ac:dyDescent="0.35">
      <c r="A1569" t="s">
        <v>1606</v>
      </c>
      <c r="B1569">
        <v>28</v>
      </c>
      <c r="C1569" t="s">
        <v>12</v>
      </c>
      <c r="D1569" t="s">
        <v>21</v>
      </c>
      <c r="E1569">
        <v>20</v>
      </c>
      <c r="F1569" t="s">
        <v>22</v>
      </c>
      <c r="G1569" t="s">
        <v>34</v>
      </c>
      <c r="H1569" s="1">
        <v>129.85</v>
      </c>
      <c r="I1569" t="s">
        <v>24</v>
      </c>
      <c r="J1569">
        <v>0</v>
      </c>
      <c r="K1569">
        <v>4</v>
      </c>
    </row>
    <row r="1570" spans="1:11" x14ac:dyDescent="0.35">
      <c r="A1570" t="s">
        <v>1607</v>
      </c>
      <c r="B1570">
        <v>71</v>
      </c>
      <c r="C1570" t="s">
        <v>18</v>
      </c>
      <c r="D1570" t="s">
        <v>21</v>
      </c>
      <c r="E1570">
        <v>29</v>
      </c>
      <c r="F1570" t="s">
        <v>31</v>
      </c>
      <c r="G1570" t="s">
        <v>23</v>
      </c>
      <c r="H1570" s="1">
        <v>197.58</v>
      </c>
      <c r="I1570" t="s">
        <v>24</v>
      </c>
      <c r="J1570">
        <v>2</v>
      </c>
      <c r="K1570">
        <v>4</v>
      </c>
    </row>
    <row r="1571" spans="1:11" x14ac:dyDescent="0.35">
      <c r="A1571" t="s">
        <v>1608</v>
      </c>
      <c r="B1571">
        <v>71</v>
      </c>
      <c r="C1571" t="s">
        <v>12</v>
      </c>
      <c r="D1571" t="s">
        <v>57</v>
      </c>
      <c r="E1571">
        <v>46</v>
      </c>
      <c r="F1571" t="s">
        <v>14</v>
      </c>
      <c r="G1571" t="s">
        <v>34</v>
      </c>
      <c r="H1571" s="1">
        <v>0</v>
      </c>
      <c r="I1571" t="s">
        <v>16</v>
      </c>
      <c r="J1571">
        <v>1</v>
      </c>
      <c r="K1571">
        <v>5</v>
      </c>
    </row>
    <row r="1572" spans="1:11" x14ac:dyDescent="0.35">
      <c r="A1572" t="s">
        <v>1609</v>
      </c>
      <c r="B1572">
        <v>73</v>
      </c>
      <c r="C1572" t="s">
        <v>12</v>
      </c>
      <c r="D1572" t="s">
        <v>21</v>
      </c>
      <c r="E1572">
        <v>26</v>
      </c>
      <c r="F1572" t="s">
        <v>31</v>
      </c>
      <c r="G1572" t="s">
        <v>37</v>
      </c>
      <c r="H1572" s="1">
        <v>107.23</v>
      </c>
      <c r="I1572" t="s">
        <v>28</v>
      </c>
      <c r="J1572">
        <v>4</v>
      </c>
      <c r="K1572">
        <v>4</v>
      </c>
    </row>
    <row r="1573" spans="1:11" x14ac:dyDescent="0.35">
      <c r="A1573" t="s">
        <v>1610</v>
      </c>
      <c r="B1573">
        <v>61</v>
      </c>
      <c r="C1573" t="s">
        <v>18</v>
      </c>
      <c r="D1573" t="s">
        <v>19</v>
      </c>
      <c r="E1573">
        <v>8</v>
      </c>
      <c r="F1573" t="s">
        <v>22</v>
      </c>
      <c r="G1573" t="s">
        <v>23</v>
      </c>
      <c r="H1573" s="1">
        <v>382.18</v>
      </c>
      <c r="I1573" t="s">
        <v>43</v>
      </c>
      <c r="J1573">
        <v>2</v>
      </c>
      <c r="K1573">
        <v>7</v>
      </c>
    </row>
    <row r="1574" spans="1:11" x14ac:dyDescent="0.35">
      <c r="A1574" t="s">
        <v>1611</v>
      </c>
      <c r="B1574">
        <v>48</v>
      </c>
      <c r="C1574" t="s">
        <v>12</v>
      </c>
      <c r="D1574" t="s">
        <v>21</v>
      </c>
      <c r="E1574">
        <v>17</v>
      </c>
      <c r="F1574" t="s">
        <v>22</v>
      </c>
      <c r="G1574" t="s">
        <v>23</v>
      </c>
      <c r="H1574" s="1">
        <v>316.66000000000003</v>
      </c>
      <c r="I1574" t="s">
        <v>28</v>
      </c>
      <c r="J1574">
        <v>3</v>
      </c>
      <c r="K1574">
        <v>8</v>
      </c>
    </row>
    <row r="1575" spans="1:11" x14ac:dyDescent="0.35">
      <c r="A1575" t="s">
        <v>1612</v>
      </c>
      <c r="B1575">
        <v>58</v>
      </c>
      <c r="C1575" t="s">
        <v>18</v>
      </c>
      <c r="D1575" t="s">
        <v>13</v>
      </c>
      <c r="E1575">
        <v>6</v>
      </c>
      <c r="F1575" t="s">
        <v>22</v>
      </c>
      <c r="G1575" t="s">
        <v>27</v>
      </c>
      <c r="H1575" s="1">
        <v>116.82</v>
      </c>
      <c r="I1575" t="s">
        <v>24</v>
      </c>
      <c r="J1575">
        <v>0</v>
      </c>
      <c r="K1575">
        <v>8</v>
      </c>
    </row>
    <row r="1576" spans="1:11" x14ac:dyDescent="0.35">
      <c r="A1576" t="s">
        <v>1613</v>
      </c>
      <c r="B1576">
        <v>67</v>
      </c>
      <c r="C1576" t="s">
        <v>18</v>
      </c>
      <c r="D1576" t="s">
        <v>30</v>
      </c>
      <c r="E1576">
        <v>7</v>
      </c>
      <c r="F1576" t="s">
        <v>22</v>
      </c>
      <c r="G1576" t="s">
        <v>23</v>
      </c>
      <c r="H1576" s="1">
        <v>540.09</v>
      </c>
      <c r="I1576" t="s">
        <v>28</v>
      </c>
      <c r="J1576">
        <v>0</v>
      </c>
      <c r="K1576">
        <v>10</v>
      </c>
    </row>
    <row r="1577" spans="1:11" x14ac:dyDescent="0.35">
      <c r="A1577" t="s">
        <v>1614</v>
      </c>
      <c r="B1577">
        <v>32</v>
      </c>
      <c r="C1577" t="s">
        <v>12</v>
      </c>
      <c r="D1577" t="s">
        <v>19</v>
      </c>
      <c r="E1577">
        <v>15</v>
      </c>
      <c r="F1577" t="s">
        <v>33</v>
      </c>
      <c r="G1577" t="s">
        <v>37</v>
      </c>
      <c r="H1577" s="1">
        <v>143.44</v>
      </c>
      <c r="I1577" t="s">
        <v>24</v>
      </c>
      <c r="J1577">
        <v>3</v>
      </c>
      <c r="K1577">
        <v>6</v>
      </c>
    </row>
    <row r="1578" spans="1:11" x14ac:dyDescent="0.35">
      <c r="A1578" t="s">
        <v>1615</v>
      </c>
      <c r="B1578">
        <v>33</v>
      </c>
      <c r="C1578" t="s">
        <v>18</v>
      </c>
      <c r="D1578" t="s">
        <v>30</v>
      </c>
      <c r="E1578">
        <v>12</v>
      </c>
      <c r="F1578" t="s">
        <v>22</v>
      </c>
      <c r="G1578" t="s">
        <v>37</v>
      </c>
      <c r="H1578" s="1">
        <v>197.96</v>
      </c>
      <c r="I1578" t="s">
        <v>28</v>
      </c>
      <c r="J1578">
        <v>1</v>
      </c>
      <c r="K1578">
        <v>5</v>
      </c>
    </row>
    <row r="1579" spans="1:11" x14ac:dyDescent="0.35">
      <c r="A1579" t="s">
        <v>1616</v>
      </c>
      <c r="B1579">
        <v>23</v>
      </c>
      <c r="C1579" t="s">
        <v>18</v>
      </c>
      <c r="D1579" t="s">
        <v>19</v>
      </c>
      <c r="E1579">
        <v>15</v>
      </c>
      <c r="F1579" t="s">
        <v>22</v>
      </c>
      <c r="G1579" t="s">
        <v>37</v>
      </c>
      <c r="H1579" s="1">
        <v>169.82</v>
      </c>
      <c r="I1579" t="s">
        <v>24</v>
      </c>
      <c r="J1579">
        <v>0</v>
      </c>
      <c r="K1579">
        <v>8</v>
      </c>
    </row>
    <row r="1580" spans="1:11" x14ac:dyDescent="0.35">
      <c r="A1580" t="s">
        <v>1617</v>
      </c>
      <c r="B1580">
        <v>46</v>
      </c>
      <c r="C1580" t="s">
        <v>18</v>
      </c>
      <c r="D1580" t="s">
        <v>30</v>
      </c>
      <c r="E1580">
        <v>7</v>
      </c>
      <c r="F1580" t="s">
        <v>33</v>
      </c>
      <c r="G1580" t="s">
        <v>15</v>
      </c>
      <c r="H1580" s="1">
        <v>120.1</v>
      </c>
      <c r="I1580" t="s">
        <v>24</v>
      </c>
      <c r="J1580">
        <v>0</v>
      </c>
      <c r="K1580">
        <v>8</v>
      </c>
    </row>
    <row r="1581" spans="1:11" x14ac:dyDescent="0.35">
      <c r="A1581" t="s">
        <v>1618</v>
      </c>
      <c r="B1581">
        <v>70</v>
      </c>
      <c r="C1581" t="s">
        <v>18</v>
      </c>
      <c r="D1581" t="s">
        <v>30</v>
      </c>
      <c r="E1581">
        <v>8</v>
      </c>
      <c r="F1581" t="s">
        <v>31</v>
      </c>
      <c r="G1581" t="s">
        <v>37</v>
      </c>
      <c r="H1581" s="1">
        <v>108.9</v>
      </c>
      <c r="I1581" t="s">
        <v>43</v>
      </c>
      <c r="J1581">
        <v>1</v>
      </c>
      <c r="K1581">
        <v>8</v>
      </c>
    </row>
    <row r="1582" spans="1:11" x14ac:dyDescent="0.35">
      <c r="A1582" t="s">
        <v>1619</v>
      </c>
      <c r="B1582">
        <v>57</v>
      </c>
      <c r="C1582" t="s">
        <v>12</v>
      </c>
      <c r="D1582" t="s">
        <v>13</v>
      </c>
      <c r="E1582">
        <v>14</v>
      </c>
      <c r="F1582" t="s">
        <v>31</v>
      </c>
      <c r="G1582" t="s">
        <v>15</v>
      </c>
      <c r="H1582" s="1">
        <v>375.77</v>
      </c>
      <c r="I1582" t="s">
        <v>24</v>
      </c>
      <c r="J1582">
        <v>0</v>
      </c>
      <c r="K1582">
        <v>6</v>
      </c>
    </row>
    <row r="1583" spans="1:11" x14ac:dyDescent="0.35">
      <c r="A1583" t="s">
        <v>1620</v>
      </c>
      <c r="B1583">
        <v>38</v>
      </c>
      <c r="C1583" t="s">
        <v>12</v>
      </c>
      <c r="D1583" t="s">
        <v>200</v>
      </c>
      <c r="E1583">
        <v>23</v>
      </c>
      <c r="F1583" t="s">
        <v>31</v>
      </c>
      <c r="G1583" t="s">
        <v>37</v>
      </c>
      <c r="H1583" s="1">
        <v>161.21</v>
      </c>
      <c r="I1583" t="s">
        <v>28</v>
      </c>
      <c r="J1583">
        <v>1</v>
      </c>
      <c r="K1583">
        <v>4</v>
      </c>
    </row>
    <row r="1584" spans="1:11" x14ac:dyDescent="0.35">
      <c r="A1584" t="s">
        <v>1621</v>
      </c>
      <c r="B1584">
        <v>82</v>
      </c>
      <c r="C1584" t="s">
        <v>12</v>
      </c>
      <c r="D1584" t="s">
        <v>19</v>
      </c>
      <c r="E1584">
        <v>22</v>
      </c>
      <c r="F1584" t="s">
        <v>33</v>
      </c>
      <c r="G1584" t="s">
        <v>27</v>
      </c>
      <c r="H1584" s="1">
        <v>164.63</v>
      </c>
      <c r="I1584" t="s">
        <v>43</v>
      </c>
      <c r="J1584">
        <v>1</v>
      </c>
      <c r="K1584">
        <v>1</v>
      </c>
    </row>
    <row r="1585" spans="1:11" x14ac:dyDescent="0.35">
      <c r="A1585" t="s">
        <v>1622</v>
      </c>
      <c r="B1585">
        <v>21</v>
      </c>
      <c r="C1585" t="s">
        <v>18</v>
      </c>
      <c r="D1585" t="s">
        <v>19</v>
      </c>
      <c r="E1585">
        <v>23</v>
      </c>
      <c r="F1585" t="s">
        <v>33</v>
      </c>
      <c r="G1585" t="s">
        <v>34</v>
      </c>
      <c r="H1585" s="1">
        <v>184.46</v>
      </c>
      <c r="I1585" t="s">
        <v>24</v>
      </c>
      <c r="J1585">
        <v>0</v>
      </c>
      <c r="K1585">
        <v>2</v>
      </c>
    </row>
    <row r="1586" spans="1:11" x14ac:dyDescent="0.35">
      <c r="A1586" t="s">
        <v>1623</v>
      </c>
      <c r="B1586">
        <v>72</v>
      </c>
      <c r="C1586" t="s">
        <v>18</v>
      </c>
      <c r="D1586" t="s">
        <v>19</v>
      </c>
      <c r="E1586">
        <v>17</v>
      </c>
      <c r="F1586" t="s">
        <v>31</v>
      </c>
      <c r="G1586" t="s">
        <v>23</v>
      </c>
      <c r="H1586" s="1">
        <v>515.38</v>
      </c>
      <c r="I1586" t="s">
        <v>24</v>
      </c>
      <c r="J1586">
        <v>1</v>
      </c>
      <c r="K1586">
        <v>6</v>
      </c>
    </row>
    <row r="1587" spans="1:11" x14ac:dyDescent="0.35">
      <c r="A1587" t="s">
        <v>1624</v>
      </c>
      <c r="B1587">
        <v>43</v>
      </c>
      <c r="C1587" t="s">
        <v>12</v>
      </c>
      <c r="D1587" t="s">
        <v>30</v>
      </c>
      <c r="E1587">
        <v>8</v>
      </c>
      <c r="F1587" t="s">
        <v>33</v>
      </c>
      <c r="G1587" t="s">
        <v>23</v>
      </c>
      <c r="H1587" s="1">
        <v>433.05</v>
      </c>
      <c r="I1587" t="s">
        <v>24</v>
      </c>
      <c r="J1587">
        <v>0</v>
      </c>
      <c r="K1587">
        <v>7</v>
      </c>
    </row>
    <row r="1588" spans="1:11" x14ac:dyDescent="0.35">
      <c r="A1588" t="s">
        <v>1625</v>
      </c>
      <c r="B1588">
        <v>41</v>
      </c>
      <c r="C1588" t="s">
        <v>18</v>
      </c>
      <c r="D1588" t="s">
        <v>21</v>
      </c>
      <c r="E1588">
        <v>29</v>
      </c>
      <c r="F1588" t="s">
        <v>33</v>
      </c>
      <c r="G1588" t="s">
        <v>15</v>
      </c>
      <c r="H1588" s="1">
        <v>428.5</v>
      </c>
      <c r="I1588" t="s">
        <v>24</v>
      </c>
      <c r="J1588">
        <v>4</v>
      </c>
      <c r="K1588">
        <v>5</v>
      </c>
    </row>
    <row r="1589" spans="1:11" x14ac:dyDescent="0.35">
      <c r="A1589" t="s">
        <v>1626</v>
      </c>
      <c r="B1589">
        <v>83</v>
      </c>
      <c r="C1589" t="s">
        <v>12</v>
      </c>
      <c r="D1589" t="s">
        <v>13</v>
      </c>
      <c r="E1589">
        <v>19</v>
      </c>
      <c r="F1589" t="s">
        <v>22</v>
      </c>
      <c r="G1589" t="s">
        <v>37</v>
      </c>
      <c r="H1589" s="1">
        <v>177.57</v>
      </c>
      <c r="I1589" t="s">
        <v>24</v>
      </c>
      <c r="J1589">
        <v>0</v>
      </c>
      <c r="K1589">
        <v>5</v>
      </c>
    </row>
    <row r="1590" spans="1:11" x14ac:dyDescent="0.35">
      <c r="A1590" t="s">
        <v>1627</v>
      </c>
      <c r="B1590">
        <v>40</v>
      </c>
      <c r="C1590" t="s">
        <v>18</v>
      </c>
      <c r="D1590" t="s">
        <v>19</v>
      </c>
      <c r="E1590">
        <v>7</v>
      </c>
      <c r="F1590" t="s">
        <v>26</v>
      </c>
      <c r="G1590" t="s">
        <v>37</v>
      </c>
      <c r="H1590" s="1">
        <v>101.39</v>
      </c>
      <c r="I1590" t="s">
        <v>24</v>
      </c>
      <c r="J1590">
        <v>0</v>
      </c>
      <c r="K1590">
        <v>9</v>
      </c>
    </row>
    <row r="1591" spans="1:11" x14ac:dyDescent="0.35">
      <c r="A1591" t="s">
        <v>1628</v>
      </c>
      <c r="B1591">
        <v>63</v>
      </c>
      <c r="C1591" t="s">
        <v>12</v>
      </c>
      <c r="D1591" t="s">
        <v>47</v>
      </c>
      <c r="E1591">
        <v>7</v>
      </c>
      <c r="F1591" t="s">
        <v>26</v>
      </c>
      <c r="G1591" t="s">
        <v>37</v>
      </c>
      <c r="H1591" s="1">
        <v>214.54</v>
      </c>
      <c r="I1591" t="s">
        <v>24</v>
      </c>
      <c r="J1591">
        <v>2</v>
      </c>
      <c r="K1591">
        <v>10</v>
      </c>
    </row>
    <row r="1592" spans="1:11" x14ac:dyDescent="0.35">
      <c r="A1592" t="s">
        <v>1629</v>
      </c>
      <c r="B1592">
        <v>62</v>
      </c>
      <c r="C1592" t="s">
        <v>18</v>
      </c>
      <c r="D1592" t="s">
        <v>19</v>
      </c>
      <c r="E1592">
        <v>9</v>
      </c>
      <c r="F1592" t="s">
        <v>33</v>
      </c>
      <c r="G1592" t="s">
        <v>27</v>
      </c>
      <c r="H1592" s="1">
        <v>137.12</v>
      </c>
      <c r="I1592" t="s">
        <v>24</v>
      </c>
      <c r="J1592">
        <v>3</v>
      </c>
      <c r="K1592">
        <v>8</v>
      </c>
    </row>
    <row r="1593" spans="1:11" x14ac:dyDescent="0.35">
      <c r="A1593" t="s">
        <v>1630</v>
      </c>
      <c r="B1593">
        <v>45</v>
      </c>
      <c r="C1593" t="s">
        <v>18</v>
      </c>
      <c r="D1593" t="s">
        <v>21</v>
      </c>
      <c r="E1593">
        <v>20</v>
      </c>
      <c r="F1593" t="s">
        <v>22</v>
      </c>
      <c r="G1593" t="s">
        <v>15</v>
      </c>
      <c r="H1593" s="1">
        <v>355.47</v>
      </c>
      <c r="I1593" t="s">
        <v>24</v>
      </c>
      <c r="J1593">
        <v>4</v>
      </c>
      <c r="K1593">
        <v>2</v>
      </c>
    </row>
    <row r="1594" spans="1:11" x14ac:dyDescent="0.35">
      <c r="A1594" t="s">
        <v>1631</v>
      </c>
      <c r="B1594">
        <v>35</v>
      </c>
      <c r="C1594" t="s">
        <v>12</v>
      </c>
      <c r="D1594" t="s">
        <v>21</v>
      </c>
      <c r="E1594">
        <v>45</v>
      </c>
      <c r="F1594" t="s">
        <v>31</v>
      </c>
      <c r="G1594" t="s">
        <v>23</v>
      </c>
      <c r="H1594" s="1">
        <v>469.57</v>
      </c>
      <c r="I1594" t="s">
        <v>24</v>
      </c>
      <c r="J1594">
        <v>1</v>
      </c>
      <c r="K1594">
        <v>3</v>
      </c>
    </row>
    <row r="1595" spans="1:11" x14ac:dyDescent="0.35">
      <c r="A1595" t="s">
        <v>1632</v>
      </c>
      <c r="B1595">
        <v>54</v>
      </c>
      <c r="C1595" t="s">
        <v>12</v>
      </c>
      <c r="D1595" t="s">
        <v>244</v>
      </c>
      <c r="E1595">
        <v>22</v>
      </c>
      <c r="F1595" t="s">
        <v>33</v>
      </c>
      <c r="G1595" t="s">
        <v>23</v>
      </c>
      <c r="H1595" s="1">
        <v>210.45</v>
      </c>
      <c r="I1595" t="s">
        <v>24</v>
      </c>
      <c r="J1595">
        <v>2</v>
      </c>
      <c r="K1595">
        <v>5</v>
      </c>
    </row>
    <row r="1596" spans="1:11" x14ac:dyDescent="0.35">
      <c r="A1596" t="s">
        <v>1633</v>
      </c>
      <c r="B1596">
        <v>48</v>
      </c>
      <c r="C1596" t="s">
        <v>18</v>
      </c>
      <c r="D1596" t="s">
        <v>19</v>
      </c>
      <c r="E1596">
        <v>7</v>
      </c>
      <c r="F1596" t="s">
        <v>22</v>
      </c>
      <c r="G1596" t="s">
        <v>37</v>
      </c>
      <c r="H1596" s="1">
        <v>152.44999999999999</v>
      </c>
      <c r="I1596" t="s">
        <v>24</v>
      </c>
      <c r="J1596">
        <v>0</v>
      </c>
      <c r="K1596">
        <v>7</v>
      </c>
    </row>
    <row r="1597" spans="1:11" x14ac:dyDescent="0.35">
      <c r="A1597" t="s">
        <v>1634</v>
      </c>
      <c r="B1597">
        <v>77</v>
      </c>
      <c r="C1597" t="s">
        <v>12</v>
      </c>
      <c r="D1597" t="s">
        <v>21</v>
      </c>
      <c r="E1597">
        <v>34</v>
      </c>
      <c r="F1597" t="s">
        <v>31</v>
      </c>
      <c r="G1597" t="s">
        <v>15</v>
      </c>
      <c r="H1597" s="1">
        <v>144.78</v>
      </c>
      <c r="I1597" t="s">
        <v>43</v>
      </c>
      <c r="J1597">
        <v>4</v>
      </c>
      <c r="K1597">
        <v>3</v>
      </c>
    </row>
    <row r="1598" spans="1:11" x14ac:dyDescent="0.35">
      <c r="A1598" t="s">
        <v>1635</v>
      </c>
      <c r="B1598">
        <v>30</v>
      </c>
      <c r="C1598" t="s">
        <v>18</v>
      </c>
      <c r="D1598" t="s">
        <v>13</v>
      </c>
      <c r="E1598">
        <v>12</v>
      </c>
      <c r="F1598" t="s">
        <v>26</v>
      </c>
      <c r="G1598" t="s">
        <v>23</v>
      </c>
      <c r="H1598" s="1">
        <v>576.04</v>
      </c>
      <c r="I1598" t="s">
        <v>24</v>
      </c>
      <c r="J1598">
        <v>1</v>
      </c>
      <c r="K1598">
        <v>7</v>
      </c>
    </row>
    <row r="1599" spans="1:11" x14ac:dyDescent="0.35">
      <c r="A1599" t="s">
        <v>1636</v>
      </c>
      <c r="B1599">
        <v>39</v>
      </c>
      <c r="C1599" t="s">
        <v>18</v>
      </c>
      <c r="D1599" t="s">
        <v>19</v>
      </c>
      <c r="E1599">
        <v>18</v>
      </c>
      <c r="F1599" t="s">
        <v>22</v>
      </c>
      <c r="G1599" t="s">
        <v>27</v>
      </c>
      <c r="H1599" s="1">
        <v>158.69</v>
      </c>
      <c r="I1599" t="s">
        <v>24</v>
      </c>
      <c r="J1599">
        <v>1</v>
      </c>
      <c r="K1599">
        <v>6</v>
      </c>
    </row>
    <row r="1600" spans="1:11" x14ac:dyDescent="0.35">
      <c r="A1600" t="s">
        <v>1637</v>
      </c>
      <c r="B1600">
        <v>65</v>
      </c>
      <c r="C1600" t="s">
        <v>12</v>
      </c>
      <c r="D1600" t="s">
        <v>19</v>
      </c>
      <c r="E1600">
        <v>8</v>
      </c>
      <c r="F1600" t="s">
        <v>22</v>
      </c>
      <c r="G1600" t="s">
        <v>37</v>
      </c>
      <c r="H1600" s="1">
        <v>133.79</v>
      </c>
      <c r="I1600" t="s">
        <v>24</v>
      </c>
      <c r="J1600">
        <v>0</v>
      </c>
      <c r="K1600">
        <v>10</v>
      </c>
    </row>
    <row r="1601" spans="1:11" x14ac:dyDescent="0.35">
      <c r="A1601" t="s">
        <v>1638</v>
      </c>
      <c r="B1601">
        <v>26</v>
      </c>
      <c r="C1601" t="s">
        <v>12</v>
      </c>
      <c r="D1601" t="s">
        <v>47</v>
      </c>
      <c r="E1601">
        <v>13</v>
      </c>
      <c r="F1601" t="s">
        <v>26</v>
      </c>
      <c r="G1601" t="s">
        <v>37</v>
      </c>
      <c r="H1601" s="1">
        <v>195.09</v>
      </c>
      <c r="I1601" t="s">
        <v>24</v>
      </c>
      <c r="J1601">
        <v>2</v>
      </c>
      <c r="K1601">
        <v>7</v>
      </c>
    </row>
    <row r="1602" spans="1:11" x14ac:dyDescent="0.35">
      <c r="A1602" t="s">
        <v>1639</v>
      </c>
      <c r="B1602">
        <v>65</v>
      </c>
      <c r="C1602" t="s">
        <v>18</v>
      </c>
      <c r="D1602" t="s">
        <v>13</v>
      </c>
      <c r="E1602">
        <v>12</v>
      </c>
      <c r="F1602" t="s">
        <v>33</v>
      </c>
      <c r="G1602" t="s">
        <v>34</v>
      </c>
      <c r="H1602" s="1">
        <v>191.96</v>
      </c>
      <c r="I1602" t="s">
        <v>24</v>
      </c>
      <c r="J1602">
        <v>3</v>
      </c>
      <c r="K1602">
        <v>7</v>
      </c>
    </row>
    <row r="1603" spans="1:11" x14ac:dyDescent="0.35">
      <c r="A1603" t="s">
        <v>1640</v>
      </c>
      <c r="B1603">
        <v>74</v>
      </c>
      <c r="C1603" t="s">
        <v>18</v>
      </c>
      <c r="D1603" t="s">
        <v>21</v>
      </c>
      <c r="E1603">
        <v>23</v>
      </c>
      <c r="F1603" t="s">
        <v>31</v>
      </c>
      <c r="G1603" t="s">
        <v>34</v>
      </c>
      <c r="H1603" s="1">
        <v>128.43</v>
      </c>
      <c r="I1603" t="s">
        <v>24</v>
      </c>
      <c r="J1603">
        <v>1</v>
      </c>
      <c r="K1603">
        <v>5</v>
      </c>
    </row>
    <row r="1604" spans="1:11" x14ac:dyDescent="0.35">
      <c r="A1604" t="s">
        <v>1641</v>
      </c>
      <c r="B1604">
        <v>43</v>
      </c>
      <c r="C1604" t="s">
        <v>18</v>
      </c>
      <c r="D1604" t="s">
        <v>30</v>
      </c>
      <c r="E1604">
        <v>14</v>
      </c>
      <c r="F1604" t="s">
        <v>22</v>
      </c>
      <c r="G1604" t="s">
        <v>37</v>
      </c>
      <c r="H1604" s="1">
        <v>106.7</v>
      </c>
      <c r="I1604" t="s">
        <v>24</v>
      </c>
      <c r="J1604">
        <v>0</v>
      </c>
      <c r="K1604">
        <v>7</v>
      </c>
    </row>
    <row r="1605" spans="1:11" x14ac:dyDescent="0.35">
      <c r="A1605" t="s">
        <v>1642</v>
      </c>
      <c r="B1605">
        <v>49</v>
      </c>
      <c r="C1605" t="s">
        <v>18</v>
      </c>
      <c r="D1605" t="s">
        <v>13</v>
      </c>
      <c r="E1605">
        <v>19</v>
      </c>
      <c r="F1605" t="s">
        <v>33</v>
      </c>
      <c r="G1605" t="s">
        <v>37</v>
      </c>
      <c r="H1605" s="1">
        <v>173.57</v>
      </c>
      <c r="I1605" t="s">
        <v>28</v>
      </c>
      <c r="J1605">
        <v>4</v>
      </c>
      <c r="K1605">
        <v>2</v>
      </c>
    </row>
    <row r="1606" spans="1:11" x14ac:dyDescent="0.35">
      <c r="A1606" t="s">
        <v>1643</v>
      </c>
      <c r="B1606">
        <v>47</v>
      </c>
      <c r="C1606" t="s">
        <v>18</v>
      </c>
      <c r="D1606" t="s">
        <v>57</v>
      </c>
      <c r="E1606">
        <v>27</v>
      </c>
      <c r="F1606" t="s">
        <v>22</v>
      </c>
      <c r="G1606" t="s">
        <v>34</v>
      </c>
      <c r="H1606" s="1">
        <v>138.93</v>
      </c>
      <c r="I1606" t="s">
        <v>24</v>
      </c>
      <c r="J1606">
        <v>3</v>
      </c>
      <c r="K1606">
        <v>3</v>
      </c>
    </row>
    <row r="1607" spans="1:11" x14ac:dyDescent="0.35">
      <c r="A1607" t="s">
        <v>1644</v>
      </c>
      <c r="B1607">
        <v>32</v>
      </c>
      <c r="C1607" t="s">
        <v>18</v>
      </c>
      <c r="D1607" t="s">
        <v>13</v>
      </c>
      <c r="E1607">
        <v>22</v>
      </c>
      <c r="F1607" t="s">
        <v>31</v>
      </c>
      <c r="G1607" t="s">
        <v>15</v>
      </c>
      <c r="H1607" s="1">
        <v>200.8</v>
      </c>
      <c r="I1607" t="s">
        <v>24</v>
      </c>
      <c r="J1607">
        <v>4</v>
      </c>
      <c r="K1607">
        <v>2</v>
      </c>
    </row>
    <row r="1608" spans="1:11" x14ac:dyDescent="0.35">
      <c r="A1608" t="s">
        <v>1645</v>
      </c>
      <c r="B1608">
        <v>31</v>
      </c>
      <c r="C1608" t="s">
        <v>18</v>
      </c>
      <c r="D1608" t="s">
        <v>19</v>
      </c>
      <c r="E1608">
        <v>21</v>
      </c>
      <c r="F1608" t="s">
        <v>26</v>
      </c>
      <c r="G1608" t="s">
        <v>27</v>
      </c>
      <c r="H1608" s="1">
        <v>35.159999999999997</v>
      </c>
      <c r="I1608" t="s">
        <v>24</v>
      </c>
      <c r="J1608">
        <v>3</v>
      </c>
      <c r="K1608">
        <v>4</v>
      </c>
    </row>
    <row r="1609" spans="1:11" x14ac:dyDescent="0.35">
      <c r="A1609" t="s">
        <v>1646</v>
      </c>
      <c r="B1609">
        <v>21</v>
      </c>
      <c r="C1609" t="s">
        <v>12</v>
      </c>
      <c r="D1609" t="s">
        <v>13</v>
      </c>
      <c r="E1609">
        <v>17</v>
      </c>
      <c r="F1609" t="s">
        <v>33</v>
      </c>
      <c r="G1609" t="s">
        <v>15</v>
      </c>
      <c r="H1609" s="1">
        <v>173.84</v>
      </c>
      <c r="I1609" t="s">
        <v>24</v>
      </c>
      <c r="J1609">
        <v>0</v>
      </c>
      <c r="K1609">
        <v>5</v>
      </c>
    </row>
    <row r="1610" spans="1:11" x14ac:dyDescent="0.35">
      <c r="A1610" t="s">
        <v>1647</v>
      </c>
      <c r="B1610">
        <v>25</v>
      </c>
      <c r="C1610" t="s">
        <v>18</v>
      </c>
      <c r="D1610" t="s">
        <v>47</v>
      </c>
      <c r="E1610">
        <v>5</v>
      </c>
      <c r="F1610" t="s">
        <v>26</v>
      </c>
      <c r="G1610" t="s">
        <v>15</v>
      </c>
      <c r="H1610" s="1">
        <v>136.04</v>
      </c>
      <c r="I1610" t="s">
        <v>43</v>
      </c>
      <c r="J1610">
        <v>2</v>
      </c>
      <c r="K1610">
        <v>10</v>
      </c>
    </row>
    <row r="1611" spans="1:11" x14ac:dyDescent="0.35">
      <c r="A1611" t="s">
        <v>1648</v>
      </c>
      <c r="B1611">
        <v>66</v>
      </c>
      <c r="C1611" t="s">
        <v>12</v>
      </c>
      <c r="D1611" t="s">
        <v>13</v>
      </c>
      <c r="E1611">
        <v>24</v>
      </c>
      <c r="F1611" t="s">
        <v>31</v>
      </c>
      <c r="G1611" t="s">
        <v>15</v>
      </c>
      <c r="H1611" s="1">
        <v>399.17</v>
      </c>
      <c r="I1611" t="s">
        <v>24</v>
      </c>
      <c r="J1611">
        <v>2</v>
      </c>
      <c r="K1611">
        <v>3</v>
      </c>
    </row>
    <row r="1612" spans="1:11" x14ac:dyDescent="0.35">
      <c r="A1612" t="s">
        <v>1649</v>
      </c>
      <c r="B1612">
        <v>26</v>
      </c>
      <c r="C1612" t="s">
        <v>18</v>
      </c>
      <c r="D1612" t="s">
        <v>19</v>
      </c>
      <c r="E1612">
        <v>10</v>
      </c>
      <c r="F1612" t="s">
        <v>31</v>
      </c>
      <c r="G1612" t="s">
        <v>15</v>
      </c>
      <c r="H1612" s="1">
        <v>131.61000000000001</v>
      </c>
      <c r="I1612" t="s">
        <v>24</v>
      </c>
      <c r="J1612">
        <v>0</v>
      </c>
      <c r="K1612">
        <v>7</v>
      </c>
    </row>
    <row r="1613" spans="1:11" x14ac:dyDescent="0.35">
      <c r="A1613" t="s">
        <v>1650</v>
      </c>
      <c r="B1613">
        <v>21</v>
      </c>
      <c r="C1613" t="s">
        <v>18</v>
      </c>
      <c r="D1613" t="s">
        <v>30</v>
      </c>
      <c r="E1613">
        <v>10</v>
      </c>
      <c r="F1613" t="s">
        <v>14</v>
      </c>
      <c r="G1613" t="s">
        <v>27</v>
      </c>
      <c r="H1613" s="1">
        <v>0</v>
      </c>
      <c r="I1613" t="s">
        <v>16</v>
      </c>
      <c r="J1613">
        <v>0</v>
      </c>
      <c r="K1613">
        <v>4</v>
      </c>
    </row>
    <row r="1614" spans="1:11" x14ac:dyDescent="0.35">
      <c r="A1614" t="s">
        <v>1651</v>
      </c>
      <c r="B1614">
        <v>53</v>
      </c>
      <c r="C1614" t="s">
        <v>12</v>
      </c>
      <c r="D1614" t="s">
        <v>19</v>
      </c>
      <c r="E1614">
        <v>9</v>
      </c>
      <c r="F1614" t="s">
        <v>31</v>
      </c>
      <c r="G1614" t="s">
        <v>37</v>
      </c>
      <c r="H1614" s="1">
        <v>108.48</v>
      </c>
      <c r="I1614" t="s">
        <v>24</v>
      </c>
      <c r="J1614">
        <v>0</v>
      </c>
      <c r="K1614">
        <v>5</v>
      </c>
    </row>
    <row r="1615" spans="1:11" x14ac:dyDescent="0.35">
      <c r="A1615" t="s">
        <v>1652</v>
      </c>
      <c r="B1615">
        <v>18</v>
      </c>
      <c r="C1615" t="s">
        <v>528</v>
      </c>
      <c r="D1615" t="s">
        <v>19</v>
      </c>
      <c r="E1615">
        <v>7</v>
      </c>
      <c r="F1615" t="s">
        <v>33</v>
      </c>
      <c r="G1615" t="s">
        <v>34</v>
      </c>
      <c r="H1615" s="1">
        <v>189.4</v>
      </c>
      <c r="I1615" t="s">
        <v>24</v>
      </c>
      <c r="J1615">
        <v>0</v>
      </c>
      <c r="K1615">
        <v>10</v>
      </c>
    </row>
    <row r="1616" spans="1:11" x14ac:dyDescent="0.35">
      <c r="A1616" t="s">
        <v>1653</v>
      </c>
      <c r="B1616">
        <v>33</v>
      </c>
      <c r="C1616" t="s">
        <v>12</v>
      </c>
      <c r="D1616" t="s">
        <v>21</v>
      </c>
      <c r="E1616">
        <v>17</v>
      </c>
      <c r="F1616" t="s">
        <v>14</v>
      </c>
      <c r="G1616" t="s">
        <v>23</v>
      </c>
      <c r="H1616" s="1">
        <v>0</v>
      </c>
      <c r="I1616" t="s">
        <v>16</v>
      </c>
      <c r="J1616">
        <v>1</v>
      </c>
      <c r="K1616">
        <v>7</v>
      </c>
    </row>
    <row r="1617" spans="1:11" x14ac:dyDescent="0.35">
      <c r="A1617" t="s">
        <v>1654</v>
      </c>
      <c r="B1617">
        <v>32</v>
      </c>
      <c r="C1617" t="s">
        <v>12</v>
      </c>
      <c r="D1617" t="s">
        <v>19</v>
      </c>
      <c r="E1617">
        <v>15</v>
      </c>
      <c r="F1617" t="s">
        <v>33</v>
      </c>
      <c r="G1617" t="s">
        <v>37</v>
      </c>
      <c r="H1617" s="1">
        <v>109.63</v>
      </c>
      <c r="I1617" t="s">
        <v>43</v>
      </c>
      <c r="J1617">
        <v>0</v>
      </c>
      <c r="K1617">
        <v>6</v>
      </c>
    </row>
    <row r="1618" spans="1:11" x14ac:dyDescent="0.35">
      <c r="A1618" t="s">
        <v>1655</v>
      </c>
      <c r="B1618">
        <v>68</v>
      </c>
      <c r="C1618" t="s">
        <v>12</v>
      </c>
      <c r="D1618" t="s">
        <v>244</v>
      </c>
      <c r="E1618">
        <v>16</v>
      </c>
      <c r="F1618" t="s">
        <v>22</v>
      </c>
      <c r="G1618" t="s">
        <v>23</v>
      </c>
      <c r="H1618" s="1">
        <v>564.94000000000005</v>
      </c>
      <c r="I1618" t="s">
        <v>24</v>
      </c>
      <c r="J1618">
        <v>1</v>
      </c>
      <c r="K1618">
        <v>5</v>
      </c>
    </row>
    <row r="1619" spans="1:11" x14ac:dyDescent="0.35">
      <c r="A1619" t="s">
        <v>1656</v>
      </c>
      <c r="B1619">
        <v>75</v>
      </c>
      <c r="C1619" t="s">
        <v>18</v>
      </c>
      <c r="D1619" t="s">
        <v>21</v>
      </c>
      <c r="E1619">
        <v>35</v>
      </c>
      <c r="F1619" t="s">
        <v>31</v>
      </c>
      <c r="G1619" t="s">
        <v>23</v>
      </c>
      <c r="H1619" s="1">
        <v>413.91</v>
      </c>
      <c r="I1619" t="s">
        <v>24</v>
      </c>
      <c r="J1619">
        <v>3</v>
      </c>
      <c r="K1619">
        <v>3</v>
      </c>
    </row>
    <row r="1620" spans="1:11" x14ac:dyDescent="0.35">
      <c r="A1620" t="s">
        <v>1657</v>
      </c>
      <c r="B1620">
        <v>66</v>
      </c>
      <c r="C1620" t="s">
        <v>18</v>
      </c>
      <c r="D1620" t="s">
        <v>19</v>
      </c>
      <c r="E1620">
        <v>7</v>
      </c>
      <c r="F1620" t="s">
        <v>14</v>
      </c>
      <c r="G1620" t="s">
        <v>15</v>
      </c>
      <c r="H1620" s="1">
        <v>0</v>
      </c>
      <c r="I1620" t="s">
        <v>16</v>
      </c>
      <c r="J1620">
        <v>1</v>
      </c>
      <c r="K1620">
        <v>8</v>
      </c>
    </row>
    <row r="1621" spans="1:11" x14ac:dyDescent="0.35">
      <c r="A1621" t="s">
        <v>1658</v>
      </c>
      <c r="B1621">
        <v>51</v>
      </c>
      <c r="C1621" t="s">
        <v>18</v>
      </c>
      <c r="D1621" t="s">
        <v>21</v>
      </c>
      <c r="E1621">
        <v>19</v>
      </c>
      <c r="F1621" t="s">
        <v>31</v>
      </c>
      <c r="G1621" t="s">
        <v>23</v>
      </c>
      <c r="H1621" s="1">
        <v>409.51</v>
      </c>
      <c r="I1621" t="s">
        <v>28</v>
      </c>
      <c r="J1621">
        <v>2</v>
      </c>
      <c r="K1621">
        <v>1</v>
      </c>
    </row>
    <row r="1622" spans="1:11" x14ac:dyDescent="0.35">
      <c r="A1622" t="s">
        <v>1659</v>
      </c>
      <c r="B1622">
        <v>63</v>
      </c>
      <c r="C1622" t="s">
        <v>18</v>
      </c>
      <c r="D1622" t="s">
        <v>19</v>
      </c>
      <c r="E1622">
        <v>7</v>
      </c>
      <c r="F1622" t="s">
        <v>33</v>
      </c>
      <c r="G1622" t="s">
        <v>27</v>
      </c>
      <c r="H1622" s="1">
        <v>121.93</v>
      </c>
      <c r="I1622" t="s">
        <v>24</v>
      </c>
      <c r="J1622">
        <v>2</v>
      </c>
      <c r="K1622">
        <v>8</v>
      </c>
    </row>
    <row r="1623" spans="1:11" x14ac:dyDescent="0.35">
      <c r="A1623" t="s">
        <v>1660</v>
      </c>
      <c r="B1623">
        <v>60</v>
      </c>
      <c r="C1623" t="s">
        <v>12</v>
      </c>
      <c r="D1623" t="s">
        <v>21</v>
      </c>
      <c r="E1623">
        <v>13</v>
      </c>
      <c r="F1623" t="s">
        <v>22</v>
      </c>
      <c r="G1623" t="s">
        <v>23</v>
      </c>
      <c r="H1623" s="1">
        <v>165.1</v>
      </c>
      <c r="I1623" t="s">
        <v>24</v>
      </c>
      <c r="J1623">
        <v>1</v>
      </c>
      <c r="K1623">
        <v>4</v>
      </c>
    </row>
    <row r="1624" spans="1:11" x14ac:dyDescent="0.35">
      <c r="A1624" t="s">
        <v>1661</v>
      </c>
      <c r="B1624">
        <v>26</v>
      </c>
      <c r="C1624" t="s">
        <v>12</v>
      </c>
      <c r="D1624" t="s">
        <v>19</v>
      </c>
      <c r="E1624">
        <v>14</v>
      </c>
      <c r="F1624" t="s">
        <v>31</v>
      </c>
      <c r="G1624" t="s">
        <v>23</v>
      </c>
      <c r="H1624" s="1">
        <v>409.35</v>
      </c>
      <c r="I1624" t="s">
        <v>24</v>
      </c>
      <c r="J1624">
        <v>2</v>
      </c>
      <c r="K1624">
        <v>5</v>
      </c>
    </row>
    <row r="1625" spans="1:11" x14ac:dyDescent="0.35">
      <c r="A1625" t="s">
        <v>1662</v>
      </c>
      <c r="B1625">
        <v>23</v>
      </c>
      <c r="C1625" t="s">
        <v>12</v>
      </c>
      <c r="D1625" t="s">
        <v>19</v>
      </c>
      <c r="E1625">
        <v>24</v>
      </c>
      <c r="F1625" t="s">
        <v>22</v>
      </c>
      <c r="G1625" t="s">
        <v>15</v>
      </c>
      <c r="H1625" s="1">
        <v>342.5</v>
      </c>
      <c r="I1625" t="s">
        <v>24</v>
      </c>
      <c r="J1625">
        <v>0</v>
      </c>
      <c r="K1625">
        <v>3</v>
      </c>
    </row>
    <row r="1626" spans="1:11" x14ac:dyDescent="0.35">
      <c r="A1626" t="s">
        <v>1663</v>
      </c>
      <c r="B1626">
        <v>44</v>
      </c>
      <c r="C1626" t="s">
        <v>18</v>
      </c>
      <c r="D1626" t="s">
        <v>21</v>
      </c>
      <c r="E1626">
        <v>27</v>
      </c>
      <c r="F1626" t="s">
        <v>33</v>
      </c>
      <c r="G1626" t="s">
        <v>15</v>
      </c>
      <c r="H1626" s="1">
        <v>115.16</v>
      </c>
      <c r="I1626" t="s">
        <v>24</v>
      </c>
      <c r="J1626">
        <v>1</v>
      </c>
      <c r="K1626">
        <v>3</v>
      </c>
    </row>
    <row r="1627" spans="1:11" x14ac:dyDescent="0.35">
      <c r="A1627" t="s">
        <v>1664</v>
      </c>
      <c r="B1627">
        <v>68</v>
      </c>
      <c r="C1627" t="s">
        <v>18</v>
      </c>
      <c r="D1627" t="s">
        <v>21</v>
      </c>
      <c r="E1627">
        <v>32</v>
      </c>
      <c r="F1627" t="s">
        <v>22</v>
      </c>
      <c r="G1627" t="s">
        <v>23</v>
      </c>
      <c r="H1627" s="1">
        <v>203.66</v>
      </c>
      <c r="I1627" t="s">
        <v>24</v>
      </c>
      <c r="J1627">
        <v>0</v>
      </c>
      <c r="K1627">
        <v>5</v>
      </c>
    </row>
    <row r="1628" spans="1:11" x14ac:dyDescent="0.35">
      <c r="A1628" t="s">
        <v>1665</v>
      </c>
      <c r="B1628">
        <v>64</v>
      </c>
      <c r="C1628" t="s">
        <v>18</v>
      </c>
      <c r="D1628" t="s">
        <v>19</v>
      </c>
      <c r="E1628">
        <v>8</v>
      </c>
      <c r="F1628" t="s">
        <v>33</v>
      </c>
      <c r="G1628" t="s">
        <v>27</v>
      </c>
      <c r="H1628" s="1">
        <v>157.57</v>
      </c>
      <c r="I1628" t="s">
        <v>28</v>
      </c>
      <c r="J1628">
        <v>2</v>
      </c>
      <c r="K1628">
        <v>10</v>
      </c>
    </row>
    <row r="1629" spans="1:11" x14ac:dyDescent="0.35">
      <c r="A1629" t="s">
        <v>1666</v>
      </c>
      <c r="B1629">
        <v>26</v>
      </c>
      <c r="C1629" t="s">
        <v>12</v>
      </c>
      <c r="D1629" t="s">
        <v>21</v>
      </c>
      <c r="E1629">
        <v>46</v>
      </c>
      <c r="F1629" t="s">
        <v>33</v>
      </c>
      <c r="G1629" t="s">
        <v>34</v>
      </c>
      <c r="H1629" s="1">
        <v>106.49</v>
      </c>
      <c r="I1629" t="s">
        <v>24</v>
      </c>
      <c r="J1629">
        <v>3</v>
      </c>
      <c r="K1629">
        <v>4</v>
      </c>
    </row>
    <row r="1630" spans="1:11" x14ac:dyDescent="0.35">
      <c r="A1630" t="s">
        <v>1667</v>
      </c>
      <c r="B1630">
        <v>28</v>
      </c>
      <c r="C1630" t="s">
        <v>12</v>
      </c>
      <c r="D1630" t="s">
        <v>19</v>
      </c>
      <c r="E1630">
        <v>12</v>
      </c>
      <c r="F1630" t="s">
        <v>33</v>
      </c>
      <c r="G1630" t="s">
        <v>23</v>
      </c>
      <c r="H1630" s="1">
        <v>83.6</v>
      </c>
      <c r="I1630" t="s">
        <v>24</v>
      </c>
      <c r="J1630">
        <v>0</v>
      </c>
      <c r="K1630">
        <v>7</v>
      </c>
    </row>
    <row r="1631" spans="1:11" x14ac:dyDescent="0.35">
      <c r="A1631" t="s">
        <v>1668</v>
      </c>
      <c r="B1631">
        <v>40</v>
      </c>
      <c r="C1631" t="s">
        <v>18</v>
      </c>
      <c r="D1631" t="s">
        <v>47</v>
      </c>
      <c r="E1631">
        <v>11</v>
      </c>
      <c r="F1631" t="s">
        <v>33</v>
      </c>
      <c r="G1631" t="s">
        <v>27</v>
      </c>
      <c r="H1631" s="1">
        <v>155.44999999999999</v>
      </c>
      <c r="I1631" t="s">
        <v>28</v>
      </c>
      <c r="J1631">
        <v>1</v>
      </c>
      <c r="K1631">
        <v>8</v>
      </c>
    </row>
    <row r="1632" spans="1:11" x14ac:dyDescent="0.35">
      <c r="A1632" t="s">
        <v>1669</v>
      </c>
      <c r="B1632">
        <v>28</v>
      </c>
      <c r="C1632" t="s">
        <v>12</v>
      </c>
      <c r="D1632" t="s">
        <v>19</v>
      </c>
      <c r="E1632">
        <v>16</v>
      </c>
      <c r="F1632" t="s">
        <v>31</v>
      </c>
      <c r="G1632" t="s">
        <v>23</v>
      </c>
      <c r="H1632" s="1">
        <v>210.49</v>
      </c>
      <c r="I1632" t="s">
        <v>28</v>
      </c>
      <c r="J1632">
        <v>1</v>
      </c>
      <c r="K1632">
        <v>7</v>
      </c>
    </row>
    <row r="1633" spans="1:11" x14ac:dyDescent="0.35">
      <c r="A1633" t="s">
        <v>1670</v>
      </c>
      <c r="B1633">
        <v>69</v>
      </c>
      <c r="C1633" t="s">
        <v>12</v>
      </c>
      <c r="D1633" t="s">
        <v>19</v>
      </c>
      <c r="E1633">
        <v>11</v>
      </c>
      <c r="F1633" t="s">
        <v>22</v>
      </c>
      <c r="G1633" t="s">
        <v>23</v>
      </c>
      <c r="H1633" s="1">
        <v>262.74</v>
      </c>
      <c r="I1633" t="s">
        <v>24</v>
      </c>
      <c r="J1633">
        <v>0</v>
      </c>
      <c r="K1633">
        <v>7</v>
      </c>
    </row>
    <row r="1634" spans="1:11" x14ac:dyDescent="0.35">
      <c r="A1634" t="s">
        <v>1671</v>
      </c>
      <c r="B1634">
        <v>45</v>
      </c>
      <c r="C1634" t="s">
        <v>18</v>
      </c>
      <c r="D1634" t="s">
        <v>19</v>
      </c>
      <c r="E1634">
        <v>24</v>
      </c>
      <c r="F1634" t="s">
        <v>31</v>
      </c>
      <c r="G1634" t="s">
        <v>34</v>
      </c>
      <c r="H1634" s="1">
        <v>211.59</v>
      </c>
      <c r="I1634" t="s">
        <v>24</v>
      </c>
      <c r="J1634">
        <v>4</v>
      </c>
      <c r="K1634">
        <v>4</v>
      </c>
    </row>
    <row r="1635" spans="1:11" x14ac:dyDescent="0.35">
      <c r="A1635" t="s">
        <v>1672</v>
      </c>
      <c r="B1635">
        <v>44</v>
      </c>
      <c r="C1635" t="s">
        <v>12</v>
      </c>
      <c r="D1635" t="s">
        <v>19</v>
      </c>
      <c r="E1635">
        <v>18</v>
      </c>
      <c r="F1635" t="s">
        <v>31</v>
      </c>
      <c r="G1635" t="s">
        <v>15</v>
      </c>
      <c r="H1635" s="1">
        <v>120.83</v>
      </c>
      <c r="I1635" t="s">
        <v>24</v>
      </c>
      <c r="J1635">
        <v>0</v>
      </c>
      <c r="K1635">
        <v>6</v>
      </c>
    </row>
    <row r="1636" spans="1:11" x14ac:dyDescent="0.35">
      <c r="A1636" t="s">
        <v>1673</v>
      </c>
      <c r="B1636">
        <v>22</v>
      </c>
      <c r="C1636" t="s">
        <v>12</v>
      </c>
      <c r="D1636" t="s">
        <v>19</v>
      </c>
      <c r="E1636">
        <v>7</v>
      </c>
      <c r="F1636" t="s">
        <v>22</v>
      </c>
      <c r="G1636" t="s">
        <v>37</v>
      </c>
      <c r="H1636" s="1">
        <v>191.71</v>
      </c>
      <c r="I1636" t="s">
        <v>24</v>
      </c>
      <c r="J1636">
        <v>0</v>
      </c>
      <c r="K1636">
        <v>8</v>
      </c>
    </row>
    <row r="1637" spans="1:11" x14ac:dyDescent="0.35">
      <c r="A1637" t="s">
        <v>1674</v>
      </c>
      <c r="B1637">
        <v>35</v>
      </c>
      <c r="C1637" t="s">
        <v>12</v>
      </c>
      <c r="D1637" t="s">
        <v>19</v>
      </c>
      <c r="E1637">
        <v>23</v>
      </c>
      <c r="F1637" t="s">
        <v>22</v>
      </c>
      <c r="G1637" t="s">
        <v>15</v>
      </c>
      <c r="H1637" s="1">
        <v>401.01</v>
      </c>
      <c r="I1637" t="s">
        <v>24</v>
      </c>
      <c r="J1637">
        <v>1</v>
      </c>
      <c r="K1637">
        <v>3</v>
      </c>
    </row>
    <row r="1638" spans="1:11" x14ac:dyDescent="0.35">
      <c r="A1638" t="s">
        <v>1675</v>
      </c>
      <c r="B1638">
        <v>31</v>
      </c>
      <c r="C1638" t="s">
        <v>12</v>
      </c>
      <c r="D1638" t="s">
        <v>30</v>
      </c>
      <c r="E1638">
        <v>12</v>
      </c>
      <c r="F1638" t="s">
        <v>33</v>
      </c>
      <c r="G1638" t="s">
        <v>15</v>
      </c>
      <c r="H1638" s="1">
        <v>317.98</v>
      </c>
      <c r="I1638" t="s">
        <v>24</v>
      </c>
      <c r="J1638">
        <v>3</v>
      </c>
      <c r="K1638">
        <v>4</v>
      </c>
    </row>
    <row r="1639" spans="1:11" x14ac:dyDescent="0.35">
      <c r="A1639" t="s">
        <v>1676</v>
      </c>
      <c r="B1639">
        <v>73</v>
      </c>
      <c r="C1639" t="s">
        <v>18</v>
      </c>
      <c r="D1639" t="s">
        <v>41</v>
      </c>
      <c r="E1639">
        <v>13</v>
      </c>
      <c r="F1639" t="s">
        <v>22</v>
      </c>
      <c r="G1639" t="s">
        <v>23</v>
      </c>
      <c r="H1639" s="1">
        <v>442.65</v>
      </c>
      <c r="I1639" t="s">
        <v>24</v>
      </c>
      <c r="J1639">
        <v>0</v>
      </c>
      <c r="K1639">
        <v>8</v>
      </c>
    </row>
    <row r="1640" spans="1:11" x14ac:dyDescent="0.35">
      <c r="A1640" t="s">
        <v>1677</v>
      </c>
      <c r="B1640">
        <v>56</v>
      </c>
      <c r="C1640" t="s">
        <v>12</v>
      </c>
      <c r="D1640" t="s">
        <v>13</v>
      </c>
      <c r="E1640">
        <v>23</v>
      </c>
      <c r="F1640" t="s">
        <v>22</v>
      </c>
      <c r="G1640" t="s">
        <v>23</v>
      </c>
      <c r="H1640" s="1">
        <v>277.19</v>
      </c>
      <c r="I1640" t="s">
        <v>24</v>
      </c>
      <c r="J1640">
        <v>2</v>
      </c>
      <c r="K1640">
        <v>3</v>
      </c>
    </row>
    <row r="1641" spans="1:11" x14ac:dyDescent="0.35">
      <c r="A1641" t="s">
        <v>1678</v>
      </c>
      <c r="B1641">
        <v>47</v>
      </c>
      <c r="C1641" t="s">
        <v>18</v>
      </c>
      <c r="D1641" t="s">
        <v>19</v>
      </c>
      <c r="E1641">
        <v>8</v>
      </c>
      <c r="F1641" t="s">
        <v>22</v>
      </c>
      <c r="G1641" t="s">
        <v>27</v>
      </c>
      <c r="H1641" s="1">
        <v>27.36</v>
      </c>
      <c r="I1641" t="s">
        <v>24</v>
      </c>
      <c r="J1641">
        <v>2</v>
      </c>
      <c r="K1641">
        <v>7</v>
      </c>
    </row>
    <row r="1642" spans="1:11" x14ac:dyDescent="0.35">
      <c r="A1642" t="s">
        <v>1679</v>
      </c>
      <c r="B1642">
        <v>81</v>
      </c>
      <c r="C1642" t="s">
        <v>12</v>
      </c>
      <c r="D1642" t="s">
        <v>19</v>
      </c>
      <c r="E1642">
        <v>8</v>
      </c>
      <c r="F1642" t="s">
        <v>33</v>
      </c>
      <c r="G1642" t="s">
        <v>34</v>
      </c>
      <c r="H1642" s="1">
        <v>125.69</v>
      </c>
      <c r="I1642" t="s">
        <v>24</v>
      </c>
      <c r="J1642">
        <v>1</v>
      </c>
      <c r="K1642">
        <v>10</v>
      </c>
    </row>
    <row r="1643" spans="1:11" x14ac:dyDescent="0.35">
      <c r="A1643" t="s">
        <v>1680</v>
      </c>
      <c r="B1643">
        <v>46</v>
      </c>
      <c r="C1643" t="s">
        <v>12</v>
      </c>
      <c r="D1643" t="s">
        <v>19</v>
      </c>
      <c r="E1643">
        <v>24</v>
      </c>
      <c r="F1643" t="s">
        <v>26</v>
      </c>
      <c r="G1643" t="s">
        <v>27</v>
      </c>
      <c r="H1643" s="1">
        <v>73.11</v>
      </c>
      <c r="I1643" t="s">
        <v>24</v>
      </c>
      <c r="J1643">
        <v>2</v>
      </c>
      <c r="K1643">
        <v>3</v>
      </c>
    </row>
    <row r="1644" spans="1:11" x14ac:dyDescent="0.35">
      <c r="A1644" t="s">
        <v>1681</v>
      </c>
      <c r="B1644">
        <v>19</v>
      </c>
      <c r="C1644" t="s">
        <v>18</v>
      </c>
      <c r="D1644" t="s">
        <v>47</v>
      </c>
      <c r="E1644">
        <v>13</v>
      </c>
      <c r="F1644" t="s">
        <v>22</v>
      </c>
      <c r="G1644" t="s">
        <v>34</v>
      </c>
      <c r="H1644" s="1">
        <v>214.75</v>
      </c>
      <c r="I1644" t="s">
        <v>24</v>
      </c>
      <c r="J1644">
        <v>2</v>
      </c>
      <c r="K1644">
        <v>4</v>
      </c>
    </row>
    <row r="1645" spans="1:11" x14ac:dyDescent="0.35">
      <c r="A1645" t="s">
        <v>1682</v>
      </c>
      <c r="B1645">
        <v>33</v>
      </c>
      <c r="C1645" t="s">
        <v>12</v>
      </c>
      <c r="D1645" t="s">
        <v>19</v>
      </c>
      <c r="E1645">
        <v>14</v>
      </c>
      <c r="F1645" t="s">
        <v>22</v>
      </c>
      <c r="G1645" t="s">
        <v>15</v>
      </c>
      <c r="H1645" s="1">
        <v>159.65</v>
      </c>
      <c r="I1645" t="s">
        <v>24</v>
      </c>
      <c r="J1645">
        <v>0</v>
      </c>
      <c r="K1645">
        <v>4</v>
      </c>
    </row>
    <row r="1646" spans="1:11" x14ac:dyDescent="0.35">
      <c r="A1646" t="s">
        <v>1683</v>
      </c>
      <c r="B1646">
        <v>57</v>
      </c>
      <c r="C1646" t="s">
        <v>18</v>
      </c>
      <c r="D1646" t="s">
        <v>21</v>
      </c>
      <c r="E1646">
        <v>17</v>
      </c>
      <c r="F1646" t="s">
        <v>22</v>
      </c>
      <c r="G1646" t="s">
        <v>34</v>
      </c>
      <c r="H1646" s="1">
        <v>102.64</v>
      </c>
      <c r="I1646" t="s">
        <v>24</v>
      </c>
      <c r="J1646">
        <v>1</v>
      </c>
      <c r="K1646">
        <v>5</v>
      </c>
    </row>
    <row r="1647" spans="1:11" x14ac:dyDescent="0.35">
      <c r="A1647" t="s">
        <v>1684</v>
      </c>
      <c r="B1647">
        <v>43</v>
      </c>
      <c r="C1647" t="s">
        <v>12</v>
      </c>
      <c r="D1647" t="s">
        <v>47</v>
      </c>
      <c r="E1647">
        <v>12</v>
      </c>
      <c r="F1647" t="s">
        <v>14</v>
      </c>
      <c r="G1647" t="s">
        <v>34</v>
      </c>
      <c r="H1647" s="1">
        <v>0</v>
      </c>
      <c r="I1647" t="s">
        <v>16</v>
      </c>
      <c r="J1647">
        <v>1</v>
      </c>
      <c r="K1647">
        <v>6</v>
      </c>
    </row>
    <row r="1648" spans="1:11" x14ac:dyDescent="0.35">
      <c r="A1648" t="s">
        <v>1685</v>
      </c>
      <c r="B1648">
        <v>44</v>
      </c>
      <c r="C1648" t="s">
        <v>12</v>
      </c>
      <c r="D1648" t="s">
        <v>30</v>
      </c>
      <c r="E1648">
        <v>7</v>
      </c>
      <c r="F1648" t="s">
        <v>31</v>
      </c>
      <c r="G1648" t="s">
        <v>37</v>
      </c>
      <c r="H1648" s="1">
        <v>162.59</v>
      </c>
      <c r="I1648" t="s">
        <v>24</v>
      </c>
      <c r="J1648">
        <v>0</v>
      </c>
      <c r="K1648">
        <v>10</v>
      </c>
    </row>
    <row r="1649" spans="1:11" x14ac:dyDescent="0.35">
      <c r="A1649" t="s">
        <v>1686</v>
      </c>
      <c r="B1649">
        <v>45</v>
      </c>
      <c r="C1649" t="s">
        <v>12</v>
      </c>
      <c r="D1649" t="s">
        <v>19</v>
      </c>
      <c r="E1649">
        <v>20</v>
      </c>
      <c r="F1649" t="s">
        <v>31</v>
      </c>
      <c r="G1649" t="s">
        <v>15</v>
      </c>
      <c r="H1649" s="1">
        <v>360.56</v>
      </c>
      <c r="I1649" t="s">
        <v>24</v>
      </c>
      <c r="J1649">
        <v>2</v>
      </c>
      <c r="K1649">
        <v>5</v>
      </c>
    </row>
    <row r="1650" spans="1:11" x14ac:dyDescent="0.35">
      <c r="A1650" t="s">
        <v>1687</v>
      </c>
      <c r="B1650">
        <v>41</v>
      </c>
      <c r="C1650" t="s">
        <v>12</v>
      </c>
      <c r="D1650" t="s">
        <v>19</v>
      </c>
      <c r="E1650">
        <v>21</v>
      </c>
      <c r="F1650" t="s">
        <v>22</v>
      </c>
      <c r="G1650" t="s">
        <v>23</v>
      </c>
      <c r="H1650" s="1">
        <v>229.14</v>
      </c>
      <c r="I1650" t="s">
        <v>24</v>
      </c>
      <c r="J1650">
        <v>1</v>
      </c>
      <c r="K1650">
        <v>2</v>
      </c>
    </row>
    <row r="1651" spans="1:11" x14ac:dyDescent="0.35">
      <c r="A1651" t="s">
        <v>1688</v>
      </c>
      <c r="B1651">
        <v>71</v>
      </c>
      <c r="C1651" t="s">
        <v>18</v>
      </c>
      <c r="D1651" t="s">
        <v>13</v>
      </c>
      <c r="E1651">
        <v>10</v>
      </c>
      <c r="F1651" t="s">
        <v>31</v>
      </c>
      <c r="G1651" t="s">
        <v>23</v>
      </c>
      <c r="H1651" s="1">
        <v>131.41999999999999</v>
      </c>
      <c r="I1651" t="s">
        <v>24</v>
      </c>
      <c r="J1651">
        <v>3</v>
      </c>
      <c r="K1651">
        <v>7</v>
      </c>
    </row>
    <row r="1652" spans="1:11" x14ac:dyDescent="0.35">
      <c r="A1652" t="s">
        <v>1689</v>
      </c>
      <c r="B1652">
        <v>68</v>
      </c>
      <c r="C1652" t="s">
        <v>12</v>
      </c>
      <c r="D1652" t="s">
        <v>19</v>
      </c>
      <c r="E1652">
        <v>8</v>
      </c>
      <c r="F1652" t="s">
        <v>31</v>
      </c>
      <c r="G1652" t="s">
        <v>15</v>
      </c>
      <c r="H1652" s="1">
        <v>167.54</v>
      </c>
      <c r="I1652" t="s">
        <v>24</v>
      </c>
      <c r="J1652">
        <v>0</v>
      </c>
      <c r="K1652">
        <v>10</v>
      </c>
    </row>
    <row r="1653" spans="1:11" x14ac:dyDescent="0.35">
      <c r="A1653" t="s">
        <v>1690</v>
      </c>
      <c r="B1653">
        <v>25</v>
      </c>
      <c r="C1653" t="s">
        <v>18</v>
      </c>
      <c r="D1653" t="s">
        <v>30</v>
      </c>
      <c r="E1653">
        <v>10</v>
      </c>
      <c r="F1653" t="s">
        <v>26</v>
      </c>
      <c r="G1653" t="s">
        <v>37</v>
      </c>
      <c r="H1653" s="1">
        <v>131.87</v>
      </c>
      <c r="I1653" t="s">
        <v>24</v>
      </c>
      <c r="J1653">
        <v>2</v>
      </c>
      <c r="K1653">
        <v>6</v>
      </c>
    </row>
    <row r="1654" spans="1:11" x14ac:dyDescent="0.35">
      <c r="A1654" t="s">
        <v>1691</v>
      </c>
      <c r="B1654">
        <v>22</v>
      </c>
      <c r="C1654" t="s">
        <v>18</v>
      </c>
      <c r="D1654" t="s">
        <v>13</v>
      </c>
      <c r="E1654">
        <v>20</v>
      </c>
      <c r="F1654" t="s">
        <v>22</v>
      </c>
      <c r="G1654" t="s">
        <v>23</v>
      </c>
      <c r="H1654" s="1">
        <v>597.75</v>
      </c>
      <c r="I1654" t="s">
        <v>24</v>
      </c>
      <c r="J1654">
        <v>2</v>
      </c>
      <c r="K1654">
        <v>2</v>
      </c>
    </row>
    <row r="1655" spans="1:11" x14ac:dyDescent="0.35">
      <c r="A1655" t="s">
        <v>1692</v>
      </c>
      <c r="B1655">
        <v>32</v>
      </c>
      <c r="C1655" t="s">
        <v>18</v>
      </c>
      <c r="D1655" t="s">
        <v>41</v>
      </c>
      <c r="E1655">
        <v>6</v>
      </c>
      <c r="F1655" t="s">
        <v>22</v>
      </c>
      <c r="G1655" t="s">
        <v>37</v>
      </c>
      <c r="H1655" s="1">
        <v>128</v>
      </c>
      <c r="I1655" t="s">
        <v>24</v>
      </c>
      <c r="J1655">
        <v>0</v>
      </c>
      <c r="K1655">
        <v>9</v>
      </c>
    </row>
    <row r="1656" spans="1:11" x14ac:dyDescent="0.35">
      <c r="A1656" t="s">
        <v>1693</v>
      </c>
      <c r="B1656">
        <v>59</v>
      </c>
      <c r="C1656" t="s">
        <v>12</v>
      </c>
      <c r="D1656" t="s">
        <v>21</v>
      </c>
      <c r="E1656">
        <v>42</v>
      </c>
      <c r="F1656" t="s">
        <v>22</v>
      </c>
      <c r="G1656" t="s">
        <v>27</v>
      </c>
      <c r="H1656" s="1">
        <v>113.74</v>
      </c>
      <c r="I1656" t="s">
        <v>24</v>
      </c>
      <c r="J1656">
        <v>1</v>
      </c>
      <c r="K1656">
        <v>3</v>
      </c>
    </row>
    <row r="1657" spans="1:11" x14ac:dyDescent="0.35">
      <c r="A1657" t="s">
        <v>1694</v>
      </c>
      <c r="B1657">
        <v>48</v>
      </c>
      <c r="C1657" t="s">
        <v>12</v>
      </c>
      <c r="D1657" t="s">
        <v>19</v>
      </c>
      <c r="E1657">
        <v>24</v>
      </c>
      <c r="F1657" t="s">
        <v>31</v>
      </c>
      <c r="G1657" t="s">
        <v>34</v>
      </c>
      <c r="H1657" s="1">
        <v>104.04</v>
      </c>
      <c r="I1657" t="s">
        <v>24</v>
      </c>
      <c r="J1657">
        <v>4</v>
      </c>
      <c r="K1657">
        <v>2</v>
      </c>
    </row>
    <row r="1658" spans="1:11" x14ac:dyDescent="0.35">
      <c r="A1658" t="s">
        <v>1695</v>
      </c>
      <c r="B1658">
        <v>61</v>
      </c>
      <c r="C1658" t="s">
        <v>12</v>
      </c>
      <c r="D1658" t="s">
        <v>47</v>
      </c>
      <c r="E1658">
        <v>3</v>
      </c>
      <c r="F1658" t="s">
        <v>33</v>
      </c>
      <c r="G1658" t="s">
        <v>15</v>
      </c>
      <c r="H1658" s="1">
        <v>344.73</v>
      </c>
      <c r="I1658" t="s">
        <v>24</v>
      </c>
      <c r="J1658">
        <v>0</v>
      </c>
      <c r="K1658">
        <v>7</v>
      </c>
    </row>
    <row r="1659" spans="1:11" x14ac:dyDescent="0.35">
      <c r="A1659" t="s">
        <v>1696</v>
      </c>
      <c r="B1659">
        <v>52</v>
      </c>
      <c r="C1659" t="s">
        <v>18</v>
      </c>
      <c r="D1659" t="s">
        <v>21</v>
      </c>
      <c r="E1659">
        <v>45</v>
      </c>
      <c r="F1659" t="s">
        <v>33</v>
      </c>
      <c r="G1659" t="s">
        <v>27</v>
      </c>
      <c r="H1659" s="1">
        <v>162.16</v>
      </c>
      <c r="I1659" t="s">
        <v>43</v>
      </c>
      <c r="J1659">
        <v>2</v>
      </c>
      <c r="K1659">
        <v>5</v>
      </c>
    </row>
    <row r="1660" spans="1:11" x14ac:dyDescent="0.35">
      <c r="A1660" t="s">
        <v>1697</v>
      </c>
      <c r="B1660">
        <v>46</v>
      </c>
      <c r="C1660" t="s">
        <v>18</v>
      </c>
      <c r="D1660" t="s">
        <v>244</v>
      </c>
      <c r="E1660">
        <v>15</v>
      </c>
      <c r="F1660" t="s">
        <v>31</v>
      </c>
      <c r="G1660" t="s">
        <v>23</v>
      </c>
      <c r="H1660" s="1">
        <v>542.65</v>
      </c>
      <c r="I1660" t="s">
        <v>28</v>
      </c>
      <c r="J1660">
        <v>2</v>
      </c>
      <c r="K1660">
        <v>5</v>
      </c>
    </row>
    <row r="1661" spans="1:11" x14ac:dyDescent="0.35">
      <c r="A1661" t="s">
        <v>1698</v>
      </c>
      <c r="B1661">
        <v>60</v>
      </c>
      <c r="C1661" t="s">
        <v>12</v>
      </c>
      <c r="D1661" t="s">
        <v>47</v>
      </c>
      <c r="E1661">
        <v>10</v>
      </c>
      <c r="F1661" t="s">
        <v>33</v>
      </c>
      <c r="G1661" t="s">
        <v>34</v>
      </c>
      <c r="H1661" s="1">
        <v>148</v>
      </c>
      <c r="I1661" t="s">
        <v>24</v>
      </c>
      <c r="J1661">
        <v>0</v>
      </c>
      <c r="K1661">
        <v>8</v>
      </c>
    </row>
    <row r="1662" spans="1:11" x14ac:dyDescent="0.35">
      <c r="A1662" t="s">
        <v>1699</v>
      </c>
      <c r="B1662">
        <v>23</v>
      </c>
      <c r="C1662" t="s">
        <v>12</v>
      </c>
      <c r="D1662" t="s">
        <v>30</v>
      </c>
      <c r="E1662">
        <v>7</v>
      </c>
      <c r="F1662" t="s">
        <v>14</v>
      </c>
      <c r="G1662" t="s">
        <v>37</v>
      </c>
      <c r="H1662" s="1">
        <v>0</v>
      </c>
      <c r="I1662" t="s">
        <v>16</v>
      </c>
      <c r="J1662">
        <v>0</v>
      </c>
      <c r="K1662">
        <v>7</v>
      </c>
    </row>
    <row r="1663" spans="1:11" x14ac:dyDescent="0.35">
      <c r="A1663" t="s">
        <v>1700</v>
      </c>
      <c r="B1663">
        <v>32</v>
      </c>
      <c r="C1663" t="s">
        <v>12</v>
      </c>
      <c r="D1663" t="s">
        <v>21</v>
      </c>
      <c r="E1663">
        <v>39</v>
      </c>
      <c r="F1663" t="s">
        <v>26</v>
      </c>
      <c r="G1663" t="s">
        <v>27</v>
      </c>
      <c r="H1663" s="1">
        <v>142.77000000000001</v>
      </c>
      <c r="I1663" t="s">
        <v>43</v>
      </c>
      <c r="J1663">
        <v>0</v>
      </c>
      <c r="K1663">
        <v>3</v>
      </c>
    </row>
    <row r="1664" spans="1:11" x14ac:dyDescent="0.35">
      <c r="A1664" t="s">
        <v>1701</v>
      </c>
      <c r="B1664">
        <v>65</v>
      </c>
      <c r="C1664" t="s">
        <v>18</v>
      </c>
      <c r="D1664" t="s">
        <v>47</v>
      </c>
      <c r="E1664">
        <v>4</v>
      </c>
      <c r="F1664" t="s">
        <v>33</v>
      </c>
      <c r="G1664" t="s">
        <v>23</v>
      </c>
      <c r="H1664" s="1">
        <v>244.91</v>
      </c>
      <c r="I1664" t="s">
        <v>24</v>
      </c>
      <c r="J1664">
        <v>0</v>
      </c>
      <c r="K1664">
        <v>9</v>
      </c>
    </row>
    <row r="1665" spans="1:11" x14ac:dyDescent="0.35">
      <c r="A1665" t="s">
        <v>1702</v>
      </c>
      <c r="B1665">
        <v>31</v>
      </c>
      <c r="C1665" t="s">
        <v>18</v>
      </c>
      <c r="D1665" t="s">
        <v>30</v>
      </c>
      <c r="E1665">
        <v>4</v>
      </c>
      <c r="F1665" t="s">
        <v>33</v>
      </c>
      <c r="G1665" t="s">
        <v>15</v>
      </c>
      <c r="H1665" s="1">
        <v>168.17</v>
      </c>
      <c r="I1665" t="s">
        <v>24</v>
      </c>
      <c r="J1665">
        <v>2</v>
      </c>
      <c r="K1665">
        <v>7</v>
      </c>
    </row>
    <row r="1666" spans="1:11" x14ac:dyDescent="0.35">
      <c r="A1666" t="s">
        <v>1703</v>
      </c>
      <c r="B1666">
        <v>19</v>
      </c>
      <c r="C1666" t="s">
        <v>18</v>
      </c>
      <c r="D1666" t="s">
        <v>47</v>
      </c>
      <c r="E1666">
        <v>12</v>
      </c>
      <c r="F1666" t="s">
        <v>33</v>
      </c>
      <c r="G1666" t="s">
        <v>27</v>
      </c>
      <c r="H1666" s="1">
        <v>66.569999999999993</v>
      </c>
      <c r="I1666" t="s">
        <v>28</v>
      </c>
      <c r="J1666">
        <v>0</v>
      </c>
      <c r="K1666">
        <v>4</v>
      </c>
    </row>
    <row r="1667" spans="1:11" x14ac:dyDescent="0.35">
      <c r="A1667" t="s">
        <v>1704</v>
      </c>
      <c r="B1667">
        <v>74</v>
      </c>
      <c r="C1667" t="s">
        <v>12</v>
      </c>
      <c r="D1667" t="s">
        <v>21</v>
      </c>
      <c r="E1667">
        <v>28</v>
      </c>
      <c r="F1667" t="s">
        <v>31</v>
      </c>
      <c r="G1667" t="s">
        <v>34</v>
      </c>
      <c r="H1667" s="1">
        <v>102.8</v>
      </c>
      <c r="I1667" t="s">
        <v>24</v>
      </c>
      <c r="J1667">
        <v>4</v>
      </c>
      <c r="K1667">
        <v>3</v>
      </c>
    </row>
    <row r="1668" spans="1:11" x14ac:dyDescent="0.35">
      <c r="A1668" t="s">
        <v>1705</v>
      </c>
      <c r="B1668">
        <v>34</v>
      </c>
      <c r="C1668" t="s">
        <v>12</v>
      </c>
      <c r="D1668" t="s">
        <v>21</v>
      </c>
      <c r="E1668">
        <v>34</v>
      </c>
      <c r="F1668" t="s">
        <v>33</v>
      </c>
      <c r="G1668" t="s">
        <v>15</v>
      </c>
      <c r="H1668" s="1">
        <v>171.9</v>
      </c>
      <c r="I1668" t="s">
        <v>24</v>
      </c>
      <c r="J1668">
        <v>1</v>
      </c>
      <c r="K1668">
        <v>4</v>
      </c>
    </row>
    <row r="1669" spans="1:11" x14ac:dyDescent="0.35">
      <c r="A1669" t="s">
        <v>1706</v>
      </c>
      <c r="B1669">
        <v>73</v>
      </c>
      <c r="C1669" t="s">
        <v>12</v>
      </c>
      <c r="D1669" t="s">
        <v>19</v>
      </c>
      <c r="E1669">
        <v>23</v>
      </c>
      <c r="F1669" t="s">
        <v>22</v>
      </c>
      <c r="G1669" t="s">
        <v>23</v>
      </c>
      <c r="H1669" s="1">
        <v>257.79000000000002</v>
      </c>
      <c r="I1669" t="s">
        <v>24</v>
      </c>
      <c r="J1669">
        <v>1</v>
      </c>
      <c r="K1669">
        <v>1</v>
      </c>
    </row>
    <row r="1670" spans="1:11" x14ac:dyDescent="0.35">
      <c r="A1670" t="s">
        <v>1707</v>
      </c>
      <c r="B1670">
        <v>45</v>
      </c>
      <c r="C1670" t="s">
        <v>18</v>
      </c>
      <c r="D1670" t="s">
        <v>19</v>
      </c>
      <c r="E1670">
        <v>11</v>
      </c>
      <c r="F1670" t="s">
        <v>22</v>
      </c>
      <c r="G1670" t="s">
        <v>15</v>
      </c>
      <c r="H1670" s="1">
        <v>166.7</v>
      </c>
      <c r="I1670" t="s">
        <v>24</v>
      </c>
      <c r="J1670">
        <v>3</v>
      </c>
      <c r="K1670">
        <v>8</v>
      </c>
    </row>
    <row r="1671" spans="1:11" x14ac:dyDescent="0.35">
      <c r="A1671" t="s">
        <v>1708</v>
      </c>
      <c r="B1671">
        <v>18</v>
      </c>
      <c r="C1671" t="s">
        <v>12</v>
      </c>
      <c r="D1671" t="s">
        <v>21</v>
      </c>
      <c r="E1671">
        <v>42</v>
      </c>
      <c r="F1671" t="s">
        <v>31</v>
      </c>
      <c r="G1671" t="s">
        <v>37</v>
      </c>
      <c r="H1671" s="1">
        <v>116.45</v>
      </c>
      <c r="I1671" t="s">
        <v>24</v>
      </c>
      <c r="J1671">
        <v>4</v>
      </c>
      <c r="K1671">
        <v>2</v>
      </c>
    </row>
    <row r="1672" spans="1:11" x14ac:dyDescent="0.35">
      <c r="A1672" t="s">
        <v>1709</v>
      </c>
      <c r="B1672">
        <v>67</v>
      </c>
      <c r="C1672" t="s">
        <v>18</v>
      </c>
      <c r="D1672" t="s">
        <v>19</v>
      </c>
      <c r="E1672">
        <v>6</v>
      </c>
      <c r="F1672" t="s">
        <v>14</v>
      </c>
      <c r="G1672" t="s">
        <v>27</v>
      </c>
      <c r="H1672" s="1">
        <v>0</v>
      </c>
      <c r="I1672" t="s">
        <v>16</v>
      </c>
      <c r="J1672">
        <v>0</v>
      </c>
      <c r="K1672">
        <v>7</v>
      </c>
    </row>
    <row r="1673" spans="1:11" x14ac:dyDescent="0.35">
      <c r="A1673" t="s">
        <v>1710</v>
      </c>
      <c r="B1673">
        <v>41</v>
      </c>
      <c r="C1673" t="s">
        <v>18</v>
      </c>
      <c r="D1673" t="s">
        <v>19</v>
      </c>
      <c r="E1673">
        <v>14</v>
      </c>
      <c r="F1673" t="s">
        <v>31</v>
      </c>
      <c r="G1673" t="s">
        <v>15</v>
      </c>
      <c r="H1673" s="1">
        <v>186.34</v>
      </c>
      <c r="I1673" t="s">
        <v>28</v>
      </c>
      <c r="J1673">
        <v>0</v>
      </c>
      <c r="K1673">
        <v>7</v>
      </c>
    </row>
    <row r="1674" spans="1:11" x14ac:dyDescent="0.35">
      <c r="A1674" t="s">
        <v>1711</v>
      </c>
      <c r="B1674">
        <v>63</v>
      </c>
      <c r="C1674" t="s">
        <v>18</v>
      </c>
      <c r="D1674" t="s">
        <v>19</v>
      </c>
      <c r="E1674">
        <v>17</v>
      </c>
      <c r="F1674" t="s">
        <v>33</v>
      </c>
      <c r="G1674" t="s">
        <v>15</v>
      </c>
      <c r="H1674" s="1">
        <v>195.63</v>
      </c>
      <c r="I1674" t="s">
        <v>24</v>
      </c>
      <c r="J1674">
        <v>3</v>
      </c>
      <c r="K1674">
        <v>7</v>
      </c>
    </row>
    <row r="1675" spans="1:11" x14ac:dyDescent="0.35">
      <c r="A1675" t="s">
        <v>1712</v>
      </c>
      <c r="B1675">
        <v>57</v>
      </c>
      <c r="C1675" t="s">
        <v>12</v>
      </c>
      <c r="D1675" t="s">
        <v>21</v>
      </c>
      <c r="E1675">
        <v>43</v>
      </c>
      <c r="F1675" t="s">
        <v>33</v>
      </c>
      <c r="G1675" t="s">
        <v>15</v>
      </c>
      <c r="H1675" s="1">
        <v>429.04</v>
      </c>
      <c r="I1675" t="s">
        <v>24</v>
      </c>
      <c r="J1675">
        <v>0</v>
      </c>
      <c r="K1675">
        <v>4</v>
      </c>
    </row>
    <row r="1676" spans="1:11" x14ac:dyDescent="0.35">
      <c r="A1676" t="s">
        <v>1713</v>
      </c>
      <c r="B1676">
        <v>30</v>
      </c>
      <c r="C1676" t="s">
        <v>18</v>
      </c>
      <c r="D1676" t="s">
        <v>30</v>
      </c>
      <c r="E1676">
        <v>8</v>
      </c>
      <c r="F1676" t="s">
        <v>31</v>
      </c>
      <c r="G1676" t="s">
        <v>23</v>
      </c>
      <c r="H1676" s="1">
        <v>106.38</v>
      </c>
      <c r="I1676" t="s">
        <v>24</v>
      </c>
      <c r="J1676">
        <v>2</v>
      </c>
      <c r="K1676">
        <v>8</v>
      </c>
    </row>
    <row r="1677" spans="1:11" x14ac:dyDescent="0.35">
      <c r="A1677" t="s">
        <v>1714</v>
      </c>
      <c r="B1677">
        <v>56</v>
      </c>
      <c r="C1677" t="s">
        <v>18</v>
      </c>
      <c r="D1677" t="s">
        <v>19</v>
      </c>
      <c r="E1677">
        <v>21</v>
      </c>
      <c r="F1677" t="s">
        <v>31</v>
      </c>
      <c r="G1677" t="s">
        <v>23</v>
      </c>
      <c r="H1677" s="1">
        <v>250.45</v>
      </c>
      <c r="I1677" t="s">
        <v>43</v>
      </c>
      <c r="J1677">
        <v>2</v>
      </c>
      <c r="K1677">
        <v>4</v>
      </c>
    </row>
    <row r="1678" spans="1:11" x14ac:dyDescent="0.35">
      <c r="A1678" t="s">
        <v>1715</v>
      </c>
      <c r="B1678">
        <v>84</v>
      </c>
      <c r="C1678" t="s">
        <v>18</v>
      </c>
      <c r="D1678" t="s">
        <v>21</v>
      </c>
      <c r="E1678">
        <v>37</v>
      </c>
      <c r="F1678" t="s">
        <v>31</v>
      </c>
      <c r="G1678" t="s">
        <v>27</v>
      </c>
      <c r="H1678" s="1">
        <v>105.66</v>
      </c>
      <c r="I1678" t="s">
        <v>24</v>
      </c>
      <c r="J1678">
        <v>1</v>
      </c>
      <c r="K1678">
        <v>4</v>
      </c>
    </row>
    <row r="1679" spans="1:11" x14ac:dyDescent="0.35">
      <c r="A1679" t="s">
        <v>1716</v>
      </c>
      <c r="B1679">
        <v>23</v>
      </c>
      <c r="C1679" t="s">
        <v>12</v>
      </c>
      <c r="D1679" t="s">
        <v>19</v>
      </c>
      <c r="E1679">
        <v>16</v>
      </c>
      <c r="F1679" t="s">
        <v>33</v>
      </c>
      <c r="G1679" t="s">
        <v>15</v>
      </c>
      <c r="H1679" s="1">
        <v>292.14999999999998</v>
      </c>
      <c r="I1679" t="s">
        <v>28</v>
      </c>
      <c r="J1679">
        <v>3</v>
      </c>
      <c r="K1679">
        <v>7</v>
      </c>
    </row>
    <row r="1680" spans="1:11" x14ac:dyDescent="0.35">
      <c r="A1680" t="s">
        <v>1717</v>
      </c>
      <c r="B1680">
        <v>77</v>
      </c>
      <c r="C1680" t="s">
        <v>12</v>
      </c>
      <c r="D1680" t="s">
        <v>19</v>
      </c>
      <c r="E1680">
        <v>23</v>
      </c>
      <c r="F1680" t="s">
        <v>22</v>
      </c>
      <c r="G1680" t="s">
        <v>15</v>
      </c>
      <c r="H1680" s="1">
        <v>212.42</v>
      </c>
      <c r="I1680" t="s">
        <v>28</v>
      </c>
      <c r="J1680">
        <v>1</v>
      </c>
      <c r="K1680">
        <v>2</v>
      </c>
    </row>
    <row r="1681" spans="1:11" x14ac:dyDescent="0.35">
      <c r="A1681" t="s">
        <v>1718</v>
      </c>
      <c r="B1681">
        <v>76</v>
      </c>
      <c r="C1681" t="s">
        <v>18</v>
      </c>
      <c r="D1681" t="s">
        <v>19</v>
      </c>
      <c r="E1681">
        <v>10</v>
      </c>
      <c r="F1681" t="s">
        <v>33</v>
      </c>
      <c r="G1681" t="s">
        <v>27</v>
      </c>
      <c r="H1681" s="1">
        <v>130.41</v>
      </c>
      <c r="I1681" t="s">
        <v>28</v>
      </c>
      <c r="J1681">
        <v>0</v>
      </c>
      <c r="K1681">
        <v>6</v>
      </c>
    </row>
    <row r="1682" spans="1:11" x14ac:dyDescent="0.35">
      <c r="A1682" t="s">
        <v>1719</v>
      </c>
      <c r="B1682">
        <v>63</v>
      </c>
      <c r="C1682" t="s">
        <v>12</v>
      </c>
      <c r="D1682" t="s">
        <v>21</v>
      </c>
      <c r="E1682">
        <v>32</v>
      </c>
      <c r="F1682" t="s">
        <v>26</v>
      </c>
      <c r="G1682" t="s">
        <v>27</v>
      </c>
      <c r="H1682" s="1">
        <v>20.74</v>
      </c>
      <c r="I1682" t="s">
        <v>24</v>
      </c>
      <c r="J1682">
        <v>2</v>
      </c>
      <c r="K1682">
        <v>5</v>
      </c>
    </row>
    <row r="1683" spans="1:11" x14ac:dyDescent="0.35">
      <c r="A1683" t="s">
        <v>1720</v>
      </c>
      <c r="B1683">
        <v>85</v>
      </c>
      <c r="C1683" t="s">
        <v>12</v>
      </c>
      <c r="D1683" t="s">
        <v>21</v>
      </c>
      <c r="E1683">
        <v>34</v>
      </c>
      <c r="F1683" t="s">
        <v>33</v>
      </c>
      <c r="G1683" t="s">
        <v>37</v>
      </c>
      <c r="H1683" s="1">
        <v>113.45</v>
      </c>
      <c r="I1683" t="s">
        <v>24</v>
      </c>
      <c r="J1683">
        <v>4</v>
      </c>
      <c r="K1683">
        <v>5</v>
      </c>
    </row>
    <row r="1684" spans="1:11" x14ac:dyDescent="0.35">
      <c r="A1684" t="s">
        <v>1721</v>
      </c>
      <c r="B1684">
        <v>34</v>
      </c>
      <c r="C1684" t="s">
        <v>18</v>
      </c>
      <c r="D1684" t="s">
        <v>19</v>
      </c>
      <c r="E1684">
        <v>9</v>
      </c>
      <c r="F1684" t="s">
        <v>33</v>
      </c>
      <c r="G1684" t="s">
        <v>34</v>
      </c>
      <c r="H1684" s="1">
        <v>195.25</v>
      </c>
      <c r="I1684" t="s">
        <v>24</v>
      </c>
      <c r="J1684">
        <v>0</v>
      </c>
      <c r="K1684">
        <v>5</v>
      </c>
    </row>
    <row r="1685" spans="1:11" x14ac:dyDescent="0.35">
      <c r="A1685" t="s">
        <v>1722</v>
      </c>
      <c r="B1685">
        <v>74</v>
      </c>
      <c r="C1685" t="s">
        <v>528</v>
      </c>
      <c r="D1685" t="s">
        <v>19</v>
      </c>
      <c r="E1685">
        <v>7</v>
      </c>
      <c r="F1685" t="s">
        <v>33</v>
      </c>
      <c r="G1685" t="s">
        <v>15</v>
      </c>
      <c r="H1685" s="1">
        <v>206.29</v>
      </c>
      <c r="I1685" t="s">
        <v>24</v>
      </c>
      <c r="J1685">
        <v>0</v>
      </c>
      <c r="K1685">
        <v>7</v>
      </c>
    </row>
    <row r="1686" spans="1:11" x14ac:dyDescent="0.35">
      <c r="A1686" t="s">
        <v>1723</v>
      </c>
      <c r="B1686">
        <v>56</v>
      </c>
      <c r="C1686" t="s">
        <v>18</v>
      </c>
      <c r="D1686" t="s">
        <v>21</v>
      </c>
      <c r="E1686">
        <v>18</v>
      </c>
      <c r="F1686" t="s">
        <v>31</v>
      </c>
      <c r="G1686" t="s">
        <v>37</v>
      </c>
      <c r="H1686" s="1">
        <v>125.48</v>
      </c>
      <c r="I1686" t="s">
        <v>24</v>
      </c>
      <c r="J1686">
        <v>0</v>
      </c>
      <c r="K1686">
        <v>5</v>
      </c>
    </row>
    <row r="1687" spans="1:11" x14ac:dyDescent="0.35">
      <c r="A1687" t="s">
        <v>1724</v>
      </c>
      <c r="B1687">
        <v>76</v>
      </c>
      <c r="C1687" t="s">
        <v>12</v>
      </c>
      <c r="D1687" t="s">
        <v>41</v>
      </c>
      <c r="E1687">
        <v>11</v>
      </c>
      <c r="F1687" t="s">
        <v>31</v>
      </c>
      <c r="G1687" t="s">
        <v>27</v>
      </c>
      <c r="H1687" s="1">
        <v>101.91</v>
      </c>
      <c r="I1687" t="s">
        <v>24</v>
      </c>
      <c r="J1687">
        <v>0</v>
      </c>
      <c r="K1687">
        <v>5</v>
      </c>
    </row>
    <row r="1688" spans="1:11" x14ac:dyDescent="0.35">
      <c r="A1688" t="s">
        <v>1725</v>
      </c>
      <c r="B1688">
        <v>27</v>
      </c>
      <c r="C1688" t="s">
        <v>12</v>
      </c>
      <c r="D1688" t="s">
        <v>13</v>
      </c>
      <c r="E1688">
        <v>18</v>
      </c>
      <c r="F1688" t="s">
        <v>31</v>
      </c>
      <c r="G1688" t="s">
        <v>37</v>
      </c>
      <c r="H1688" s="1">
        <v>106.23</v>
      </c>
      <c r="I1688" t="s">
        <v>24</v>
      </c>
      <c r="J1688">
        <v>3</v>
      </c>
      <c r="K1688">
        <v>8</v>
      </c>
    </row>
    <row r="1689" spans="1:11" x14ac:dyDescent="0.35">
      <c r="A1689" t="s">
        <v>1726</v>
      </c>
      <c r="B1689">
        <v>49</v>
      </c>
      <c r="C1689" t="s">
        <v>12</v>
      </c>
      <c r="D1689" t="s">
        <v>19</v>
      </c>
      <c r="E1689">
        <v>11</v>
      </c>
      <c r="F1689" t="s">
        <v>22</v>
      </c>
      <c r="G1689" t="s">
        <v>27</v>
      </c>
      <c r="H1689" s="1">
        <v>72.69</v>
      </c>
      <c r="I1689" t="s">
        <v>24</v>
      </c>
      <c r="J1689">
        <v>0</v>
      </c>
      <c r="K1689">
        <v>7</v>
      </c>
    </row>
    <row r="1690" spans="1:11" x14ac:dyDescent="0.35">
      <c r="A1690" t="s">
        <v>1727</v>
      </c>
      <c r="B1690">
        <v>76</v>
      </c>
      <c r="C1690" t="s">
        <v>18</v>
      </c>
      <c r="D1690" t="s">
        <v>120</v>
      </c>
      <c r="E1690">
        <v>28</v>
      </c>
      <c r="F1690" t="s">
        <v>22</v>
      </c>
      <c r="G1690" t="s">
        <v>34</v>
      </c>
      <c r="H1690" s="1">
        <v>99.54</v>
      </c>
      <c r="I1690" t="s">
        <v>24</v>
      </c>
      <c r="J1690">
        <v>2</v>
      </c>
      <c r="K1690">
        <v>1</v>
      </c>
    </row>
    <row r="1691" spans="1:11" x14ac:dyDescent="0.35">
      <c r="A1691" t="s">
        <v>1728</v>
      </c>
      <c r="B1691">
        <v>41</v>
      </c>
      <c r="C1691" t="s">
        <v>18</v>
      </c>
      <c r="D1691" t="s">
        <v>19</v>
      </c>
      <c r="E1691">
        <v>24</v>
      </c>
      <c r="F1691" t="s">
        <v>31</v>
      </c>
      <c r="G1691" t="s">
        <v>23</v>
      </c>
      <c r="H1691" s="1">
        <v>124.72</v>
      </c>
      <c r="I1691" t="s">
        <v>24</v>
      </c>
      <c r="J1691">
        <v>2</v>
      </c>
      <c r="K1691">
        <v>3</v>
      </c>
    </row>
    <row r="1692" spans="1:11" x14ac:dyDescent="0.35">
      <c r="A1692" t="s">
        <v>1729</v>
      </c>
      <c r="B1692">
        <v>55</v>
      </c>
      <c r="C1692" t="s">
        <v>12</v>
      </c>
      <c r="D1692" t="s">
        <v>120</v>
      </c>
      <c r="E1692">
        <v>34</v>
      </c>
      <c r="F1692" t="s">
        <v>31</v>
      </c>
      <c r="G1692" t="s">
        <v>34</v>
      </c>
      <c r="H1692" s="1">
        <v>187.3</v>
      </c>
      <c r="I1692" t="s">
        <v>28</v>
      </c>
      <c r="J1692">
        <v>1</v>
      </c>
      <c r="K1692">
        <v>2</v>
      </c>
    </row>
    <row r="1693" spans="1:11" x14ac:dyDescent="0.35">
      <c r="A1693" t="s">
        <v>1730</v>
      </c>
      <c r="B1693">
        <v>55</v>
      </c>
      <c r="C1693" t="s">
        <v>18</v>
      </c>
      <c r="D1693" t="s">
        <v>21</v>
      </c>
      <c r="E1693">
        <v>42</v>
      </c>
      <c r="F1693" t="s">
        <v>33</v>
      </c>
      <c r="G1693" t="s">
        <v>23</v>
      </c>
      <c r="H1693" s="1">
        <v>309.08999999999997</v>
      </c>
      <c r="I1693" t="s">
        <v>28</v>
      </c>
      <c r="J1693">
        <v>1</v>
      </c>
      <c r="K1693">
        <v>2</v>
      </c>
    </row>
    <row r="1694" spans="1:11" x14ac:dyDescent="0.35">
      <c r="A1694" t="s">
        <v>1731</v>
      </c>
      <c r="B1694">
        <v>38</v>
      </c>
      <c r="C1694" t="s">
        <v>18</v>
      </c>
      <c r="D1694" t="s">
        <v>19</v>
      </c>
      <c r="E1694">
        <v>10</v>
      </c>
      <c r="F1694" t="s">
        <v>31</v>
      </c>
      <c r="G1694" t="s">
        <v>27</v>
      </c>
      <c r="H1694" s="1">
        <v>30.38</v>
      </c>
      <c r="I1694" t="s">
        <v>28</v>
      </c>
      <c r="J1694">
        <v>0</v>
      </c>
      <c r="K1694">
        <v>4</v>
      </c>
    </row>
    <row r="1695" spans="1:11" x14ac:dyDescent="0.35">
      <c r="A1695" t="s">
        <v>1732</v>
      </c>
      <c r="B1695">
        <v>40</v>
      </c>
      <c r="C1695" t="s">
        <v>18</v>
      </c>
      <c r="D1695" t="s">
        <v>21</v>
      </c>
      <c r="E1695">
        <v>21</v>
      </c>
      <c r="F1695" t="s">
        <v>33</v>
      </c>
      <c r="G1695" t="s">
        <v>34</v>
      </c>
      <c r="H1695" s="1">
        <v>194.2</v>
      </c>
      <c r="I1695" t="s">
        <v>24</v>
      </c>
      <c r="J1695">
        <v>2</v>
      </c>
      <c r="K1695">
        <v>2</v>
      </c>
    </row>
    <row r="1696" spans="1:11" x14ac:dyDescent="0.35">
      <c r="A1696" t="s">
        <v>1733</v>
      </c>
      <c r="B1696">
        <v>52</v>
      </c>
      <c r="C1696" t="s">
        <v>18</v>
      </c>
      <c r="D1696" t="s">
        <v>19</v>
      </c>
      <c r="E1696">
        <v>24</v>
      </c>
      <c r="F1696" t="s">
        <v>33</v>
      </c>
      <c r="G1696" t="s">
        <v>23</v>
      </c>
      <c r="H1696" s="1">
        <v>411.63</v>
      </c>
      <c r="I1696" t="s">
        <v>24</v>
      </c>
      <c r="J1696">
        <v>4</v>
      </c>
      <c r="K1696">
        <v>1</v>
      </c>
    </row>
    <row r="1697" spans="1:11" x14ac:dyDescent="0.35">
      <c r="A1697" t="s">
        <v>1734</v>
      </c>
      <c r="B1697">
        <v>40</v>
      </c>
      <c r="C1697" t="s">
        <v>12</v>
      </c>
      <c r="D1697" t="s">
        <v>19</v>
      </c>
      <c r="E1697">
        <v>23</v>
      </c>
      <c r="F1697" t="s">
        <v>22</v>
      </c>
      <c r="G1697" t="s">
        <v>15</v>
      </c>
      <c r="H1697" s="1">
        <v>281.83999999999997</v>
      </c>
      <c r="I1697" t="s">
        <v>24</v>
      </c>
      <c r="J1697">
        <v>2</v>
      </c>
      <c r="K1697">
        <v>3</v>
      </c>
    </row>
    <row r="1698" spans="1:11" x14ac:dyDescent="0.35">
      <c r="A1698" t="s">
        <v>1735</v>
      </c>
      <c r="B1698">
        <v>79</v>
      </c>
      <c r="C1698" t="s">
        <v>18</v>
      </c>
      <c r="D1698" t="s">
        <v>21</v>
      </c>
      <c r="E1698">
        <v>16</v>
      </c>
      <c r="F1698" t="s">
        <v>33</v>
      </c>
      <c r="G1698" t="s">
        <v>23</v>
      </c>
      <c r="H1698" s="1">
        <v>132.25</v>
      </c>
      <c r="I1698" t="s">
        <v>24</v>
      </c>
      <c r="J1698">
        <v>0</v>
      </c>
      <c r="K1698">
        <v>8</v>
      </c>
    </row>
    <row r="1699" spans="1:11" x14ac:dyDescent="0.35">
      <c r="A1699" t="s">
        <v>1736</v>
      </c>
      <c r="B1699">
        <v>70</v>
      </c>
      <c r="C1699" t="s">
        <v>18</v>
      </c>
      <c r="D1699" t="s">
        <v>21</v>
      </c>
      <c r="E1699">
        <v>34</v>
      </c>
      <c r="F1699" t="s">
        <v>31</v>
      </c>
      <c r="G1699" t="s">
        <v>34</v>
      </c>
      <c r="H1699" s="1">
        <v>166.51</v>
      </c>
      <c r="I1699" t="s">
        <v>24</v>
      </c>
      <c r="J1699">
        <v>1</v>
      </c>
      <c r="K1699">
        <v>5</v>
      </c>
    </row>
    <row r="1700" spans="1:11" x14ac:dyDescent="0.35">
      <c r="A1700" t="s">
        <v>1737</v>
      </c>
      <c r="B1700">
        <v>48</v>
      </c>
      <c r="C1700" t="s">
        <v>18</v>
      </c>
      <c r="D1700" t="s">
        <v>41</v>
      </c>
      <c r="E1700">
        <v>11</v>
      </c>
      <c r="F1700" t="s">
        <v>22</v>
      </c>
      <c r="G1700" t="s">
        <v>23</v>
      </c>
      <c r="H1700" s="1">
        <v>142.16999999999999</v>
      </c>
      <c r="I1700" t="s">
        <v>24</v>
      </c>
      <c r="J1700">
        <v>1</v>
      </c>
      <c r="K1700">
        <v>6</v>
      </c>
    </row>
    <row r="1701" spans="1:11" x14ac:dyDescent="0.35">
      <c r="A1701" t="s">
        <v>1738</v>
      </c>
      <c r="B1701">
        <v>69</v>
      </c>
      <c r="C1701" t="s">
        <v>12</v>
      </c>
      <c r="D1701" t="s">
        <v>19</v>
      </c>
      <c r="E1701">
        <v>14</v>
      </c>
      <c r="F1701" t="s">
        <v>33</v>
      </c>
      <c r="G1701" t="s">
        <v>37</v>
      </c>
      <c r="H1701" s="1">
        <v>135.36000000000001</v>
      </c>
      <c r="I1701" t="s">
        <v>43</v>
      </c>
      <c r="J1701">
        <v>3</v>
      </c>
      <c r="K1701">
        <v>6</v>
      </c>
    </row>
    <row r="1702" spans="1:11" x14ac:dyDescent="0.35">
      <c r="A1702" t="s">
        <v>1739</v>
      </c>
      <c r="B1702">
        <v>29</v>
      </c>
      <c r="C1702" t="s">
        <v>12</v>
      </c>
      <c r="D1702" t="s">
        <v>19</v>
      </c>
      <c r="E1702">
        <v>9</v>
      </c>
      <c r="F1702" t="s">
        <v>33</v>
      </c>
      <c r="G1702" t="s">
        <v>27</v>
      </c>
      <c r="H1702" s="1">
        <v>65.66</v>
      </c>
      <c r="I1702" t="s">
        <v>28</v>
      </c>
      <c r="J1702">
        <v>3</v>
      </c>
      <c r="K1702">
        <v>5</v>
      </c>
    </row>
    <row r="1703" spans="1:11" x14ac:dyDescent="0.35">
      <c r="A1703" t="s">
        <v>1740</v>
      </c>
      <c r="B1703">
        <v>46</v>
      </c>
      <c r="C1703" t="s">
        <v>18</v>
      </c>
      <c r="D1703" t="s">
        <v>30</v>
      </c>
      <c r="E1703">
        <v>7</v>
      </c>
      <c r="F1703" t="s">
        <v>31</v>
      </c>
      <c r="G1703" t="s">
        <v>23</v>
      </c>
      <c r="H1703" s="1">
        <v>533.05999999999995</v>
      </c>
      <c r="I1703" t="s">
        <v>24</v>
      </c>
      <c r="J1703">
        <v>1</v>
      </c>
      <c r="K1703">
        <v>9</v>
      </c>
    </row>
    <row r="1704" spans="1:11" x14ac:dyDescent="0.35">
      <c r="A1704" t="s">
        <v>1741</v>
      </c>
      <c r="B1704">
        <v>82</v>
      </c>
      <c r="C1704" t="s">
        <v>12</v>
      </c>
      <c r="D1704" t="s">
        <v>13</v>
      </c>
      <c r="E1704">
        <v>6</v>
      </c>
      <c r="F1704" t="s">
        <v>31</v>
      </c>
      <c r="G1704" t="s">
        <v>15</v>
      </c>
      <c r="H1704" s="1">
        <v>201.23</v>
      </c>
      <c r="I1704" t="s">
        <v>24</v>
      </c>
      <c r="J1704">
        <v>0</v>
      </c>
      <c r="K1704">
        <v>9</v>
      </c>
    </row>
    <row r="1705" spans="1:11" x14ac:dyDescent="0.35">
      <c r="A1705" t="s">
        <v>1742</v>
      </c>
      <c r="B1705">
        <v>51</v>
      </c>
      <c r="C1705" t="s">
        <v>18</v>
      </c>
      <c r="D1705" t="s">
        <v>13</v>
      </c>
      <c r="E1705">
        <v>13</v>
      </c>
      <c r="F1705" t="s">
        <v>22</v>
      </c>
      <c r="G1705" t="s">
        <v>23</v>
      </c>
      <c r="H1705" s="1">
        <v>432.79</v>
      </c>
      <c r="I1705" t="s">
        <v>24</v>
      </c>
      <c r="J1705">
        <v>3</v>
      </c>
      <c r="K1705">
        <v>7</v>
      </c>
    </row>
    <row r="1706" spans="1:11" x14ac:dyDescent="0.35">
      <c r="A1706" t="s">
        <v>1743</v>
      </c>
      <c r="B1706">
        <v>77</v>
      </c>
      <c r="C1706" t="s">
        <v>12</v>
      </c>
      <c r="D1706" t="s">
        <v>21</v>
      </c>
      <c r="E1706">
        <v>41</v>
      </c>
      <c r="F1706" t="s">
        <v>26</v>
      </c>
      <c r="G1706" t="s">
        <v>23</v>
      </c>
      <c r="H1706" s="1">
        <v>190</v>
      </c>
      <c r="I1706" t="s">
        <v>24</v>
      </c>
      <c r="J1706">
        <v>3</v>
      </c>
      <c r="K1706">
        <v>4</v>
      </c>
    </row>
    <row r="1707" spans="1:11" x14ac:dyDescent="0.35">
      <c r="A1707" t="s">
        <v>1744</v>
      </c>
      <c r="B1707">
        <v>22</v>
      </c>
      <c r="C1707" t="s">
        <v>12</v>
      </c>
      <c r="D1707" t="s">
        <v>244</v>
      </c>
      <c r="E1707">
        <v>19</v>
      </c>
      <c r="F1707" t="s">
        <v>31</v>
      </c>
      <c r="G1707" t="s">
        <v>34</v>
      </c>
      <c r="H1707" s="1">
        <v>133.44999999999999</v>
      </c>
      <c r="I1707" t="s">
        <v>24</v>
      </c>
      <c r="J1707">
        <v>1</v>
      </c>
      <c r="K1707">
        <v>1</v>
      </c>
    </row>
    <row r="1708" spans="1:11" x14ac:dyDescent="0.35">
      <c r="A1708" t="s">
        <v>1745</v>
      </c>
      <c r="B1708">
        <v>33</v>
      </c>
      <c r="C1708" t="s">
        <v>12</v>
      </c>
      <c r="D1708" t="s">
        <v>13</v>
      </c>
      <c r="E1708">
        <v>9</v>
      </c>
      <c r="F1708" t="s">
        <v>22</v>
      </c>
      <c r="G1708" t="s">
        <v>23</v>
      </c>
      <c r="H1708" s="1">
        <v>463.76</v>
      </c>
      <c r="I1708" t="s">
        <v>24</v>
      </c>
      <c r="J1708">
        <v>1</v>
      </c>
      <c r="K1708">
        <v>5</v>
      </c>
    </row>
    <row r="1709" spans="1:11" x14ac:dyDescent="0.35">
      <c r="A1709" t="s">
        <v>1746</v>
      </c>
      <c r="B1709">
        <v>50</v>
      </c>
      <c r="C1709" t="s">
        <v>12</v>
      </c>
      <c r="D1709" t="s">
        <v>19</v>
      </c>
      <c r="E1709">
        <v>9</v>
      </c>
      <c r="F1709" t="s">
        <v>22</v>
      </c>
      <c r="G1709" t="s">
        <v>15</v>
      </c>
      <c r="H1709" s="1">
        <v>389.68</v>
      </c>
      <c r="I1709" t="s">
        <v>24</v>
      </c>
      <c r="J1709">
        <v>2</v>
      </c>
      <c r="K1709">
        <v>6</v>
      </c>
    </row>
    <row r="1710" spans="1:11" x14ac:dyDescent="0.35">
      <c r="A1710" t="s">
        <v>1747</v>
      </c>
      <c r="B1710">
        <v>80</v>
      </c>
      <c r="C1710" t="s">
        <v>18</v>
      </c>
      <c r="D1710" t="s">
        <v>21</v>
      </c>
      <c r="E1710">
        <v>12</v>
      </c>
      <c r="F1710" t="s">
        <v>31</v>
      </c>
      <c r="G1710" t="s">
        <v>15</v>
      </c>
      <c r="H1710" s="1">
        <v>395.95</v>
      </c>
      <c r="I1710" t="s">
        <v>43</v>
      </c>
      <c r="J1710">
        <v>3</v>
      </c>
      <c r="K1710">
        <v>7</v>
      </c>
    </row>
    <row r="1711" spans="1:11" x14ac:dyDescent="0.35">
      <c r="A1711" t="s">
        <v>1748</v>
      </c>
      <c r="B1711">
        <v>38</v>
      </c>
      <c r="C1711" t="s">
        <v>12</v>
      </c>
      <c r="D1711" t="s">
        <v>30</v>
      </c>
      <c r="E1711">
        <v>4</v>
      </c>
      <c r="F1711" t="s">
        <v>33</v>
      </c>
      <c r="G1711" t="s">
        <v>37</v>
      </c>
      <c r="H1711" s="1">
        <v>209.64</v>
      </c>
      <c r="I1711" t="s">
        <v>24</v>
      </c>
      <c r="J1711">
        <v>2</v>
      </c>
      <c r="K1711">
        <v>9</v>
      </c>
    </row>
    <row r="1712" spans="1:11" x14ac:dyDescent="0.35">
      <c r="A1712" t="s">
        <v>1749</v>
      </c>
      <c r="B1712">
        <v>35</v>
      </c>
      <c r="C1712" t="s">
        <v>18</v>
      </c>
      <c r="D1712" t="s">
        <v>19</v>
      </c>
      <c r="E1712">
        <v>9</v>
      </c>
      <c r="F1712" t="s">
        <v>22</v>
      </c>
      <c r="G1712" t="s">
        <v>34</v>
      </c>
      <c r="H1712" s="1">
        <v>158.5</v>
      </c>
      <c r="I1712" t="s">
        <v>24</v>
      </c>
      <c r="J1712">
        <v>1</v>
      </c>
      <c r="K1712">
        <v>5</v>
      </c>
    </row>
    <row r="1713" spans="1:11" x14ac:dyDescent="0.35">
      <c r="A1713" t="s">
        <v>1750</v>
      </c>
      <c r="B1713">
        <v>48</v>
      </c>
      <c r="C1713" t="s">
        <v>12</v>
      </c>
      <c r="D1713" t="s">
        <v>19</v>
      </c>
      <c r="E1713">
        <v>7</v>
      </c>
      <c r="F1713" t="s">
        <v>22</v>
      </c>
      <c r="G1713" t="s">
        <v>34</v>
      </c>
      <c r="H1713" s="1">
        <v>134.55000000000001</v>
      </c>
      <c r="I1713" t="s">
        <v>24</v>
      </c>
      <c r="J1713">
        <v>1</v>
      </c>
      <c r="K1713">
        <v>7</v>
      </c>
    </row>
    <row r="1714" spans="1:11" x14ac:dyDescent="0.35">
      <c r="A1714" t="s">
        <v>1751</v>
      </c>
      <c r="B1714">
        <v>85</v>
      </c>
      <c r="C1714" t="s">
        <v>18</v>
      </c>
      <c r="D1714" t="s">
        <v>19</v>
      </c>
      <c r="E1714">
        <v>7</v>
      </c>
      <c r="F1714" t="s">
        <v>31</v>
      </c>
      <c r="G1714" t="s">
        <v>37</v>
      </c>
      <c r="H1714" s="1">
        <v>158.55000000000001</v>
      </c>
      <c r="I1714" t="s">
        <v>24</v>
      </c>
      <c r="J1714">
        <v>0</v>
      </c>
      <c r="K1714">
        <v>8</v>
      </c>
    </row>
    <row r="1715" spans="1:11" x14ac:dyDescent="0.35">
      <c r="A1715" t="s">
        <v>1752</v>
      </c>
      <c r="B1715">
        <v>19</v>
      </c>
      <c r="C1715" t="s">
        <v>18</v>
      </c>
      <c r="D1715" t="s">
        <v>30</v>
      </c>
      <c r="E1715">
        <v>5</v>
      </c>
      <c r="F1715" t="s">
        <v>31</v>
      </c>
      <c r="G1715" t="s">
        <v>23</v>
      </c>
      <c r="H1715" s="1">
        <v>179.35</v>
      </c>
      <c r="I1715" t="s">
        <v>24</v>
      </c>
      <c r="J1715">
        <v>2</v>
      </c>
      <c r="K1715">
        <v>9</v>
      </c>
    </row>
    <row r="1716" spans="1:11" x14ac:dyDescent="0.35">
      <c r="A1716" t="s">
        <v>1753</v>
      </c>
      <c r="B1716">
        <v>63</v>
      </c>
      <c r="C1716" t="s">
        <v>189</v>
      </c>
      <c r="D1716" t="s">
        <v>21</v>
      </c>
      <c r="E1716">
        <v>15</v>
      </c>
      <c r="F1716" t="s">
        <v>22</v>
      </c>
      <c r="G1716" t="s">
        <v>15</v>
      </c>
      <c r="H1716" s="1">
        <v>192.19</v>
      </c>
      <c r="I1716" t="s">
        <v>24</v>
      </c>
      <c r="J1716">
        <v>1</v>
      </c>
      <c r="K1716">
        <v>4</v>
      </c>
    </row>
    <row r="1717" spans="1:11" x14ac:dyDescent="0.35">
      <c r="A1717" t="s">
        <v>1754</v>
      </c>
      <c r="B1717">
        <v>73</v>
      </c>
      <c r="C1717" t="s">
        <v>18</v>
      </c>
      <c r="D1717" t="s">
        <v>21</v>
      </c>
      <c r="E1717">
        <v>28</v>
      </c>
      <c r="F1717" t="s">
        <v>33</v>
      </c>
      <c r="G1717" t="s">
        <v>27</v>
      </c>
      <c r="H1717" s="1">
        <v>82.12</v>
      </c>
      <c r="I1717" t="s">
        <v>24</v>
      </c>
      <c r="J1717">
        <v>1</v>
      </c>
      <c r="K1717">
        <v>5</v>
      </c>
    </row>
    <row r="1718" spans="1:11" x14ac:dyDescent="0.35">
      <c r="A1718" t="s">
        <v>1755</v>
      </c>
      <c r="B1718">
        <v>38</v>
      </c>
      <c r="C1718" t="s">
        <v>18</v>
      </c>
      <c r="D1718" t="s">
        <v>19</v>
      </c>
      <c r="E1718">
        <v>23</v>
      </c>
      <c r="F1718" t="s">
        <v>31</v>
      </c>
      <c r="G1718" t="s">
        <v>15</v>
      </c>
      <c r="H1718" s="1">
        <v>366.35</v>
      </c>
      <c r="I1718" t="s">
        <v>24</v>
      </c>
      <c r="J1718">
        <v>2</v>
      </c>
      <c r="K1718">
        <v>4</v>
      </c>
    </row>
    <row r="1719" spans="1:11" x14ac:dyDescent="0.35">
      <c r="A1719" t="s">
        <v>1756</v>
      </c>
      <c r="B1719">
        <v>54</v>
      </c>
      <c r="C1719" t="s">
        <v>12</v>
      </c>
      <c r="D1719" t="s">
        <v>19</v>
      </c>
      <c r="E1719">
        <v>24</v>
      </c>
      <c r="F1719" t="s">
        <v>22</v>
      </c>
      <c r="G1719" t="s">
        <v>15</v>
      </c>
      <c r="H1719" s="1">
        <v>236.67</v>
      </c>
      <c r="I1719" t="s">
        <v>24</v>
      </c>
      <c r="J1719">
        <v>0</v>
      </c>
      <c r="K1719">
        <v>3</v>
      </c>
    </row>
    <row r="1720" spans="1:11" x14ac:dyDescent="0.35">
      <c r="A1720" t="s">
        <v>1757</v>
      </c>
      <c r="B1720">
        <v>59</v>
      </c>
      <c r="C1720" t="s">
        <v>18</v>
      </c>
      <c r="D1720" t="s">
        <v>19</v>
      </c>
      <c r="E1720">
        <v>12</v>
      </c>
      <c r="F1720" t="s">
        <v>31</v>
      </c>
      <c r="G1720" t="s">
        <v>34</v>
      </c>
      <c r="H1720" s="1">
        <v>138.44999999999999</v>
      </c>
      <c r="I1720" t="s">
        <v>24</v>
      </c>
      <c r="J1720">
        <v>1</v>
      </c>
      <c r="K1720">
        <v>5</v>
      </c>
    </row>
    <row r="1721" spans="1:11" x14ac:dyDescent="0.35">
      <c r="A1721" t="s">
        <v>1758</v>
      </c>
      <c r="B1721">
        <v>44</v>
      </c>
      <c r="C1721" t="s">
        <v>12</v>
      </c>
      <c r="D1721" t="s">
        <v>244</v>
      </c>
      <c r="E1721">
        <v>8</v>
      </c>
      <c r="F1721" t="s">
        <v>22</v>
      </c>
      <c r="G1721" t="s">
        <v>23</v>
      </c>
      <c r="H1721" s="1">
        <v>330.26</v>
      </c>
      <c r="I1721" t="s">
        <v>24</v>
      </c>
      <c r="J1721">
        <v>0</v>
      </c>
      <c r="K1721">
        <v>9</v>
      </c>
    </row>
    <row r="1722" spans="1:11" x14ac:dyDescent="0.35">
      <c r="A1722" t="s">
        <v>1759</v>
      </c>
      <c r="B1722">
        <v>69</v>
      </c>
      <c r="C1722" t="s">
        <v>12</v>
      </c>
      <c r="D1722" t="s">
        <v>30</v>
      </c>
      <c r="E1722">
        <v>13</v>
      </c>
      <c r="F1722" t="s">
        <v>22</v>
      </c>
      <c r="G1722" t="s">
        <v>37</v>
      </c>
      <c r="H1722" s="1">
        <v>173.6</v>
      </c>
      <c r="I1722" t="s">
        <v>24</v>
      </c>
      <c r="J1722">
        <v>2</v>
      </c>
      <c r="K1722">
        <v>4</v>
      </c>
    </row>
    <row r="1723" spans="1:11" x14ac:dyDescent="0.35">
      <c r="A1723" t="s">
        <v>1760</v>
      </c>
      <c r="B1723">
        <v>21</v>
      </c>
      <c r="C1723" t="s">
        <v>18</v>
      </c>
      <c r="D1723" t="s">
        <v>19</v>
      </c>
      <c r="E1723">
        <v>13</v>
      </c>
      <c r="F1723" t="s">
        <v>33</v>
      </c>
      <c r="G1723" t="s">
        <v>27</v>
      </c>
      <c r="H1723" s="1">
        <v>65.22</v>
      </c>
      <c r="I1723" t="s">
        <v>24</v>
      </c>
      <c r="J1723">
        <v>2</v>
      </c>
      <c r="K1723">
        <v>6</v>
      </c>
    </row>
    <row r="1724" spans="1:11" x14ac:dyDescent="0.35">
      <c r="A1724" t="s">
        <v>1761</v>
      </c>
      <c r="B1724">
        <v>60</v>
      </c>
      <c r="C1724" t="s">
        <v>18</v>
      </c>
      <c r="D1724" t="s">
        <v>57</v>
      </c>
      <c r="E1724">
        <v>47</v>
      </c>
      <c r="F1724" t="s">
        <v>33</v>
      </c>
      <c r="G1724" t="s">
        <v>27</v>
      </c>
      <c r="H1724" s="1">
        <v>175.36</v>
      </c>
      <c r="I1724" t="s">
        <v>24</v>
      </c>
      <c r="J1724">
        <v>0</v>
      </c>
      <c r="K1724">
        <v>3</v>
      </c>
    </row>
    <row r="1725" spans="1:11" x14ac:dyDescent="0.35">
      <c r="A1725" t="s">
        <v>1762</v>
      </c>
      <c r="B1725">
        <v>24</v>
      </c>
      <c r="C1725" t="s">
        <v>12</v>
      </c>
      <c r="D1725" t="s">
        <v>19</v>
      </c>
      <c r="E1725">
        <v>21</v>
      </c>
      <c r="F1725" t="s">
        <v>31</v>
      </c>
      <c r="G1725" t="s">
        <v>27</v>
      </c>
      <c r="H1725" s="1">
        <v>105.77</v>
      </c>
      <c r="I1725" t="s">
        <v>24</v>
      </c>
      <c r="J1725">
        <v>0</v>
      </c>
      <c r="K1725">
        <v>5</v>
      </c>
    </row>
    <row r="1726" spans="1:11" x14ac:dyDescent="0.35">
      <c r="A1726" t="s">
        <v>1763</v>
      </c>
      <c r="B1726">
        <v>78</v>
      </c>
      <c r="C1726" t="s">
        <v>18</v>
      </c>
      <c r="D1726" t="s">
        <v>30</v>
      </c>
      <c r="E1726">
        <v>11</v>
      </c>
      <c r="F1726" t="s">
        <v>33</v>
      </c>
      <c r="G1726" t="s">
        <v>15</v>
      </c>
      <c r="H1726" s="1">
        <v>329.93</v>
      </c>
      <c r="I1726" t="s">
        <v>24</v>
      </c>
      <c r="J1726">
        <v>3</v>
      </c>
      <c r="K1726">
        <v>5</v>
      </c>
    </row>
    <row r="1727" spans="1:11" x14ac:dyDescent="0.35">
      <c r="A1727" t="s">
        <v>1764</v>
      </c>
      <c r="B1727">
        <v>40</v>
      </c>
      <c r="C1727" t="s">
        <v>12</v>
      </c>
      <c r="D1727" t="s">
        <v>19</v>
      </c>
      <c r="E1727">
        <v>22</v>
      </c>
      <c r="F1727" t="s">
        <v>33</v>
      </c>
      <c r="G1727" t="s">
        <v>37</v>
      </c>
      <c r="H1727" s="1">
        <v>200.36</v>
      </c>
      <c r="I1727" t="s">
        <v>24</v>
      </c>
      <c r="J1727">
        <v>3</v>
      </c>
      <c r="K1727">
        <v>5</v>
      </c>
    </row>
    <row r="1728" spans="1:11" x14ac:dyDescent="0.35">
      <c r="A1728" t="s">
        <v>1765</v>
      </c>
      <c r="B1728">
        <v>27</v>
      </c>
      <c r="C1728" t="s">
        <v>12</v>
      </c>
      <c r="D1728" t="s">
        <v>13</v>
      </c>
      <c r="E1728">
        <v>15</v>
      </c>
      <c r="F1728" t="s">
        <v>33</v>
      </c>
      <c r="G1728" t="s">
        <v>34</v>
      </c>
      <c r="H1728" s="1">
        <v>208.49</v>
      </c>
      <c r="I1728" t="s">
        <v>24</v>
      </c>
      <c r="J1728">
        <v>0</v>
      </c>
      <c r="K1728">
        <v>8</v>
      </c>
    </row>
    <row r="1729" spans="1:11" x14ac:dyDescent="0.35">
      <c r="A1729" t="s">
        <v>1766</v>
      </c>
      <c r="B1729">
        <v>20</v>
      </c>
      <c r="C1729" t="s">
        <v>12</v>
      </c>
      <c r="D1729" t="s">
        <v>30</v>
      </c>
      <c r="E1729">
        <v>8</v>
      </c>
      <c r="F1729" t="s">
        <v>14</v>
      </c>
      <c r="G1729" t="s">
        <v>34</v>
      </c>
      <c r="H1729" s="1">
        <v>0</v>
      </c>
      <c r="I1729" t="s">
        <v>16</v>
      </c>
      <c r="J1729">
        <v>1</v>
      </c>
      <c r="K1729">
        <v>8</v>
      </c>
    </row>
    <row r="1730" spans="1:11" x14ac:dyDescent="0.35">
      <c r="A1730" t="s">
        <v>1767</v>
      </c>
      <c r="B1730">
        <v>50</v>
      </c>
      <c r="C1730" t="s">
        <v>18</v>
      </c>
      <c r="D1730" t="s">
        <v>19</v>
      </c>
      <c r="E1730">
        <v>17</v>
      </c>
      <c r="F1730" t="s">
        <v>14</v>
      </c>
      <c r="G1730" t="s">
        <v>34</v>
      </c>
      <c r="H1730" s="1">
        <v>0</v>
      </c>
      <c r="I1730" t="s">
        <v>16</v>
      </c>
      <c r="J1730">
        <v>0</v>
      </c>
      <c r="K1730">
        <v>7</v>
      </c>
    </row>
    <row r="1731" spans="1:11" x14ac:dyDescent="0.35">
      <c r="A1731" t="s">
        <v>1768</v>
      </c>
      <c r="B1731">
        <v>20</v>
      </c>
      <c r="C1731" t="s">
        <v>18</v>
      </c>
      <c r="D1731" t="s">
        <v>21</v>
      </c>
      <c r="E1731">
        <v>40</v>
      </c>
      <c r="F1731" t="s">
        <v>33</v>
      </c>
      <c r="G1731" t="s">
        <v>34</v>
      </c>
      <c r="H1731" s="1">
        <v>138.77000000000001</v>
      </c>
      <c r="I1731" t="s">
        <v>24</v>
      </c>
      <c r="J1731">
        <v>4</v>
      </c>
      <c r="K1731">
        <v>3</v>
      </c>
    </row>
    <row r="1732" spans="1:11" x14ac:dyDescent="0.35">
      <c r="A1732" t="s">
        <v>1769</v>
      </c>
      <c r="B1732">
        <v>68</v>
      </c>
      <c r="C1732" t="s">
        <v>12</v>
      </c>
      <c r="D1732" t="s">
        <v>19</v>
      </c>
      <c r="E1732">
        <v>22</v>
      </c>
      <c r="F1732" t="s">
        <v>14</v>
      </c>
      <c r="G1732" t="s">
        <v>27</v>
      </c>
      <c r="H1732" s="1">
        <v>0</v>
      </c>
      <c r="I1732" t="s">
        <v>16</v>
      </c>
      <c r="J1732">
        <v>2</v>
      </c>
      <c r="K1732">
        <v>3</v>
      </c>
    </row>
    <row r="1733" spans="1:11" x14ac:dyDescent="0.35">
      <c r="A1733" t="s">
        <v>1770</v>
      </c>
      <c r="B1733">
        <v>68</v>
      </c>
      <c r="C1733" t="s">
        <v>12</v>
      </c>
      <c r="D1733" t="s">
        <v>30</v>
      </c>
      <c r="E1733">
        <v>4</v>
      </c>
      <c r="F1733" t="s">
        <v>31</v>
      </c>
      <c r="G1733" t="s">
        <v>27</v>
      </c>
      <c r="H1733" s="1">
        <v>56.73</v>
      </c>
      <c r="I1733" t="s">
        <v>24</v>
      </c>
      <c r="J1733">
        <v>0</v>
      </c>
      <c r="K1733">
        <v>8</v>
      </c>
    </row>
    <row r="1734" spans="1:11" x14ac:dyDescent="0.35">
      <c r="A1734" t="s">
        <v>1771</v>
      </c>
      <c r="B1734">
        <v>58</v>
      </c>
      <c r="C1734" t="s">
        <v>12</v>
      </c>
      <c r="D1734" t="s">
        <v>21</v>
      </c>
      <c r="E1734">
        <v>35</v>
      </c>
      <c r="F1734" t="s">
        <v>31</v>
      </c>
      <c r="G1734" t="s">
        <v>34</v>
      </c>
      <c r="H1734" s="1">
        <v>109.82</v>
      </c>
      <c r="I1734" t="s">
        <v>43</v>
      </c>
      <c r="J1734">
        <v>2</v>
      </c>
      <c r="K1734">
        <v>2</v>
      </c>
    </row>
    <row r="1735" spans="1:11" x14ac:dyDescent="0.35">
      <c r="A1735" t="s">
        <v>1772</v>
      </c>
      <c r="B1735">
        <v>51</v>
      </c>
      <c r="C1735" t="s">
        <v>12</v>
      </c>
      <c r="D1735" t="s">
        <v>19</v>
      </c>
      <c r="E1735">
        <v>6</v>
      </c>
      <c r="F1735" t="s">
        <v>22</v>
      </c>
      <c r="G1735" t="s">
        <v>37</v>
      </c>
      <c r="H1735" s="1">
        <v>156.33000000000001</v>
      </c>
      <c r="I1735" t="s">
        <v>24</v>
      </c>
      <c r="J1735">
        <v>2</v>
      </c>
      <c r="K1735">
        <v>9</v>
      </c>
    </row>
    <row r="1736" spans="1:11" x14ac:dyDescent="0.35">
      <c r="A1736" t="s">
        <v>1773</v>
      </c>
      <c r="B1736">
        <v>63</v>
      </c>
      <c r="C1736" t="s">
        <v>12</v>
      </c>
      <c r="D1736" t="s">
        <v>19</v>
      </c>
      <c r="E1736">
        <v>11</v>
      </c>
      <c r="F1736" t="s">
        <v>31</v>
      </c>
      <c r="G1736" t="s">
        <v>15</v>
      </c>
      <c r="H1736" s="1">
        <v>318.94</v>
      </c>
      <c r="I1736" t="s">
        <v>43</v>
      </c>
      <c r="J1736">
        <v>1</v>
      </c>
      <c r="K1736">
        <v>8</v>
      </c>
    </row>
    <row r="1737" spans="1:11" x14ac:dyDescent="0.35">
      <c r="A1737" t="s">
        <v>1774</v>
      </c>
      <c r="B1737">
        <v>24</v>
      </c>
      <c r="C1737" t="s">
        <v>18</v>
      </c>
      <c r="D1737" t="s">
        <v>19</v>
      </c>
      <c r="E1737">
        <v>24</v>
      </c>
      <c r="F1737" t="s">
        <v>33</v>
      </c>
      <c r="G1737" t="s">
        <v>23</v>
      </c>
      <c r="H1737" s="1">
        <v>184.74</v>
      </c>
      <c r="I1737" t="s">
        <v>24</v>
      </c>
      <c r="J1737">
        <v>2</v>
      </c>
      <c r="K1737">
        <v>4</v>
      </c>
    </row>
    <row r="1738" spans="1:11" x14ac:dyDescent="0.35">
      <c r="A1738" t="s">
        <v>1775</v>
      </c>
      <c r="B1738">
        <v>29</v>
      </c>
      <c r="C1738" t="s">
        <v>12</v>
      </c>
      <c r="D1738" t="s">
        <v>21</v>
      </c>
      <c r="E1738">
        <v>33</v>
      </c>
      <c r="F1738" t="s">
        <v>26</v>
      </c>
      <c r="G1738" t="s">
        <v>23</v>
      </c>
      <c r="H1738" s="1">
        <v>477.14</v>
      </c>
      <c r="I1738" t="s">
        <v>24</v>
      </c>
      <c r="J1738">
        <v>2</v>
      </c>
      <c r="K1738">
        <v>2</v>
      </c>
    </row>
    <row r="1739" spans="1:11" x14ac:dyDescent="0.35">
      <c r="A1739" t="s">
        <v>1776</v>
      </c>
      <c r="B1739">
        <v>67</v>
      </c>
      <c r="C1739" t="s">
        <v>12</v>
      </c>
      <c r="D1739" t="s">
        <v>13</v>
      </c>
      <c r="E1739">
        <v>8</v>
      </c>
      <c r="F1739" t="s">
        <v>22</v>
      </c>
      <c r="G1739" t="s">
        <v>23</v>
      </c>
      <c r="H1739" s="1">
        <v>191.49</v>
      </c>
      <c r="I1739" t="s">
        <v>24</v>
      </c>
      <c r="J1739">
        <v>0</v>
      </c>
      <c r="K1739">
        <v>10</v>
      </c>
    </row>
    <row r="1740" spans="1:11" x14ac:dyDescent="0.35">
      <c r="A1740" t="s">
        <v>1777</v>
      </c>
      <c r="B1740">
        <v>41</v>
      </c>
      <c r="C1740" t="s">
        <v>18</v>
      </c>
      <c r="D1740" t="s">
        <v>57</v>
      </c>
      <c r="E1740">
        <v>41</v>
      </c>
      <c r="F1740" t="s">
        <v>22</v>
      </c>
      <c r="G1740" t="s">
        <v>23</v>
      </c>
      <c r="H1740" s="1">
        <v>495.67</v>
      </c>
      <c r="I1740" t="s">
        <v>28</v>
      </c>
      <c r="J1740">
        <v>2</v>
      </c>
      <c r="K1740">
        <v>2</v>
      </c>
    </row>
    <row r="1741" spans="1:11" x14ac:dyDescent="0.35">
      <c r="A1741" t="s">
        <v>1778</v>
      </c>
      <c r="B1741">
        <v>58</v>
      </c>
      <c r="C1741" t="s">
        <v>12</v>
      </c>
      <c r="D1741" t="s">
        <v>13</v>
      </c>
      <c r="E1741">
        <v>7</v>
      </c>
      <c r="F1741" t="s">
        <v>22</v>
      </c>
      <c r="G1741" t="s">
        <v>27</v>
      </c>
      <c r="H1741" s="1">
        <v>138.94999999999999</v>
      </c>
      <c r="I1741" t="s">
        <v>24</v>
      </c>
      <c r="J1741">
        <v>0</v>
      </c>
      <c r="K1741">
        <v>10</v>
      </c>
    </row>
    <row r="1742" spans="1:11" x14ac:dyDescent="0.35">
      <c r="A1742" t="s">
        <v>1779</v>
      </c>
      <c r="B1742">
        <v>55</v>
      </c>
      <c r="C1742" t="s">
        <v>18</v>
      </c>
      <c r="D1742" t="s">
        <v>21</v>
      </c>
      <c r="E1742">
        <v>12</v>
      </c>
      <c r="F1742" t="s">
        <v>33</v>
      </c>
      <c r="G1742" t="s">
        <v>37</v>
      </c>
      <c r="H1742" s="1">
        <v>219.56</v>
      </c>
      <c r="I1742" t="s">
        <v>24</v>
      </c>
      <c r="J1742">
        <v>2</v>
      </c>
      <c r="K1742">
        <v>5</v>
      </c>
    </row>
    <row r="1743" spans="1:11" x14ac:dyDescent="0.35">
      <c r="A1743" t="s">
        <v>1780</v>
      </c>
      <c r="B1743">
        <v>81</v>
      </c>
      <c r="C1743" t="s">
        <v>12</v>
      </c>
      <c r="D1743" t="s">
        <v>13</v>
      </c>
      <c r="E1743">
        <v>19</v>
      </c>
      <c r="F1743" t="s">
        <v>26</v>
      </c>
      <c r="G1743" t="s">
        <v>34</v>
      </c>
      <c r="H1743" s="1">
        <v>208.32</v>
      </c>
      <c r="I1743" t="s">
        <v>24</v>
      </c>
      <c r="J1743">
        <v>1</v>
      </c>
      <c r="K1743">
        <v>4</v>
      </c>
    </row>
    <row r="1744" spans="1:11" x14ac:dyDescent="0.35">
      <c r="A1744" t="s">
        <v>1781</v>
      </c>
      <c r="B1744">
        <v>22</v>
      </c>
      <c r="C1744" t="s">
        <v>12</v>
      </c>
      <c r="D1744" t="s">
        <v>19</v>
      </c>
      <c r="E1744">
        <v>6</v>
      </c>
      <c r="F1744" t="s">
        <v>22</v>
      </c>
      <c r="G1744" t="s">
        <v>27</v>
      </c>
      <c r="H1744" s="1">
        <v>52.31</v>
      </c>
      <c r="I1744" t="s">
        <v>24</v>
      </c>
      <c r="J1744">
        <v>0</v>
      </c>
      <c r="K1744">
        <v>10</v>
      </c>
    </row>
    <row r="1745" spans="1:11" x14ac:dyDescent="0.35">
      <c r="A1745" t="s">
        <v>1782</v>
      </c>
      <c r="B1745">
        <v>18</v>
      </c>
      <c r="C1745" t="s">
        <v>18</v>
      </c>
      <c r="D1745" t="s">
        <v>19</v>
      </c>
      <c r="E1745">
        <v>16</v>
      </c>
      <c r="F1745" t="s">
        <v>22</v>
      </c>
      <c r="G1745" t="s">
        <v>34</v>
      </c>
      <c r="H1745" s="1">
        <v>179.55</v>
      </c>
      <c r="I1745" t="s">
        <v>43</v>
      </c>
      <c r="J1745">
        <v>1</v>
      </c>
      <c r="K1745">
        <v>4</v>
      </c>
    </row>
    <row r="1746" spans="1:11" x14ac:dyDescent="0.35">
      <c r="A1746" t="s">
        <v>1783</v>
      </c>
      <c r="B1746">
        <v>35</v>
      </c>
      <c r="C1746" t="s">
        <v>18</v>
      </c>
      <c r="D1746" t="s">
        <v>21</v>
      </c>
      <c r="E1746">
        <v>27</v>
      </c>
      <c r="F1746" t="s">
        <v>33</v>
      </c>
      <c r="G1746" t="s">
        <v>15</v>
      </c>
      <c r="H1746" s="1">
        <v>212.93</v>
      </c>
      <c r="I1746" t="s">
        <v>28</v>
      </c>
      <c r="J1746">
        <v>1</v>
      </c>
      <c r="K1746">
        <v>4</v>
      </c>
    </row>
    <row r="1747" spans="1:11" x14ac:dyDescent="0.35">
      <c r="A1747" t="s">
        <v>1784</v>
      </c>
      <c r="B1747">
        <v>37</v>
      </c>
      <c r="C1747" t="s">
        <v>12</v>
      </c>
      <c r="D1747" t="s">
        <v>21</v>
      </c>
      <c r="E1747">
        <v>24</v>
      </c>
      <c r="F1747" t="s">
        <v>31</v>
      </c>
      <c r="G1747" t="s">
        <v>15</v>
      </c>
      <c r="H1747" s="1">
        <v>236.12</v>
      </c>
      <c r="I1747" t="s">
        <v>24</v>
      </c>
      <c r="J1747">
        <v>1</v>
      </c>
      <c r="K1747">
        <v>5</v>
      </c>
    </row>
    <row r="1748" spans="1:11" x14ac:dyDescent="0.35">
      <c r="A1748" t="s">
        <v>1785</v>
      </c>
      <c r="B1748">
        <v>52</v>
      </c>
      <c r="C1748" t="s">
        <v>18</v>
      </c>
      <c r="D1748" t="s">
        <v>19</v>
      </c>
      <c r="E1748">
        <v>6</v>
      </c>
      <c r="F1748" t="s">
        <v>33</v>
      </c>
      <c r="G1748" t="s">
        <v>15</v>
      </c>
      <c r="H1748" s="1">
        <v>337.89</v>
      </c>
      <c r="I1748" t="s">
        <v>24</v>
      </c>
      <c r="J1748">
        <v>2</v>
      </c>
      <c r="K1748">
        <v>8</v>
      </c>
    </row>
    <row r="1749" spans="1:11" x14ac:dyDescent="0.35">
      <c r="A1749" t="s">
        <v>1786</v>
      </c>
      <c r="B1749">
        <v>76</v>
      </c>
      <c r="C1749" t="s">
        <v>12</v>
      </c>
      <c r="D1749" t="s">
        <v>19</v>
      </c>
      <c r="E1749">
        <v>23</v>
      </c>
      <c r="F1749" t="s">
        <v>33</v>
      </c>
      <c r="G1749" t="s">
        <v>27</v>
      </c>
      <c r="H1749" s="1">
        <v>76.47</v>
      </c>
      <c r="I1749" t="s">
        <v>28</v>
      </c>
      <c r="J1749">
        <v>2</v>
      </c>
      <c r="K1749">
        <v>1</v>
      </c>
    </row>
    <row r="1750" spans="1:11" x14ac:dyDescent="0.35">
      <c r="A1750" t="s">
        <v>1787</v>
      </c>
      <c r="B1750">
        <v>27</v>
      </c>
      <c r="C1750" t="s">
        <v>12</v>
      </c>
      <c r="D1750" t="s">
        <v>30</v>
      </c>
      <c r="E1750">
        <v>8</v>
      </c>
      <c r="F1750" t="s">
        <v>31</v>
      </c>
      <c r="G1750" t="s">
        <v>34</v>
      </c>
      <c r="H1750" s="1">
        <v>160.46</v>
      </c>
      <c r="I1750" t="s">
        <v>24</v>
      </c>
      <c r="J1750">
        <v>0</v>
      </c>
      <c r="K1750">
        <v>7</v>
      </c>
    </row>
    <row r="1751" spans="1:11" x14ac:dyDescent="0.35">
      <c r="A1751" t="s">
        <v>1788</v>
      </c>
      <c r="B1751">
        <v>53</v>
      </c>
      <c r="C1751" t="s">
        <v>18</v>
      </c>
      <c r="D1751" t="s">
        <v>30</v>
      </c>
      <c r="E1751">
        <v>6</v>
      </c>
      <c r="F1751" t="s">
        <v>33</v>
      </c>
      <c r="G1751" t="s">
        <v>23</v>
      </c>
      <c r="H1751" s="1">
        <v>92.22</v>
      </c>
      <c r="I1751" t="s">
        <v>24</v>
      </c>
      <c r="J1751">
        <v>2</v>
      </c>
      <c r="K1751">
        <v>10</v>
      </c>
    </row>
    <row r="1752" spans="1:11" x14ac:dyDescent="0.35">
      <c r="A1752" t="s">
        <v>1789</v>
      </c>
      <c r="B1752">
        <v>20</v>
      </c>
      <c r="C1752" t="s">
        <v>18</v>
      </c>
      <c r="D1752" t="s">
        <v>21</v>
      </c>
      <c r="E1752">
        <v>41</v>
      </c>
      <c r="F1752" t="s">
        <v>31</v>
      </c>
      <c r="G1752" t="s">
        <v>34</v>
      </c>
      <c r="H1752" s="1">
        <v>195.88</v>
      </c>
      <c r="I1752" t="s">
        <v>24</v>
      </c>
      <c r="J1752">
        <v>1</v>
      </c>
      <c r="K1752">
        <v>3</v>
      </c>
    </row>
    <row r="1753" spans="1:11" x14ac:dyDescent="0.35">
      <c r="A1753" t="s">
        <v>1790</v>
      </c>
      <c r="B1753">
        <v>48</v>
      </c>
      <c r="C1753" t="s">
        <v>12</v>
      </c>
      <c r="D1753" t="s">
        <v>21</v>
      </c>
      <c r="E1753">
        <v>22</v>
      </c>
      <c r="F1753" t="s">
        <v>31</v>
      </c>
      <c r="G1753" t="s">
        <v>15</v>
      </c>
      <c r="H1753" s="1">
        <v>159.09</v>
      </c>
      <c r="I1753" t="s">
        <v>28</v>
      </c>
      <c r="J1753">
        <v>1</v>
      </c>
      <c r="K1753">
        <v>5</v>
      </c>
    </row>
    <row r="1754" spans="1:11" x14ac:dyDescent="0.35">
      <c r="A1754" t="s">
        <v>1791</v>
      </c>
      <c r="B1754">
        <v>18</v>
      </c>
      <c r="C1754" t="s">
        <v>12</v>
      </c>
      <c r="D1754" t="s">
        <v>21</v>
      </c>
      <c r="E1754">
        <v>46</v>
      </c>
      <c r="F1754" t="s">
        <v>33</v>
      </c>
      <c r="G1754" t="s">
        <v>23</v>
      </c>
      <c r="H1754" s="1">
        <v>292.31</v>
      </c>
      <c r="I1754" t="s">
        <v>28</v>
      </c>
      <c r="J1754">
        <v>2</v>
      </c>
      <c r="K1754">
        <v>2</v>
      </c>
    </row>
    <row r="1755" spans="1:11" x14ac:dyDescent="0.35">
      <c r="A1755" t="s">
        <v>1792</v>
      </c>
      <c r="B1755">
        <v>72</v>
      </c>
      <c r="C1755" t="s">
        <v>12</v>
      </c>
      <c r="D1755" t="s">
        <v>57</v>
      </c>
      <c r="E1755">
        <v>15</v>
      </c>
      <c r="F1755" t="s">
        <v>26</v>
      </c>
      <c r="G1755" t="s">
        <v>27</v>
      </c>
      <c r="H1755" s="1">
        <v>142.43</v>
      </c>
      <c r="I1755" t="s">
        <v>28</v>
      </c>
      <c r="J1755">
        <v>3</v>
      </c>
      <c r="K1755">
        <v>5</v>
      </c>
    </row>
    <row r="1756" spans="1:11" x14ac:dyDescent="0.35">
      <c r="A1756" t="s">
        <v>1793</v>
      </c>
      <c r="B1756">
        <v>45</v>
      </c>
      <c r="C1756" t="s">
        <v>12</v>
      </c>
      <c r="D1756" t="s">
        <v>21</v>
      </c>
      <c r="E1756">
        <v>29</v>
      </c>
      <c r="F1756" t="s">
        <v>26</v>
      </c>
      <c r="G1756" t="s">
        <v>23</v>
      </c>
      <c r="H1756" s="1">
        <v>323.17</v>
      </c>
      <c r="I1756" t="s">
        <v>43</v>
      </c>
      <c r="J1756">
        <v>2</v>
      </c>
      <c r="K1756">
        <v>1</v>
      </c>
    </row>
    <row r="1757" spans="1:11" x14ac:dyDescent="0.35">
      <c r="A1757" t="s">
        <v>1794</v>
      </c>
      <c r="B1757">
        <v>34</v>
      </c>
      <c r="C1757" t="s">
        <v>18</v>
      </c>
      <c r="D1757" t="s">
        <v>13</v>
      </c>
      <c r="E1757">
        <v>8</v>
      </c>
      <c r="F1757" t="s">
        <v>31</v>
      </c>
      <c r="G1757" t="s">
        <v>37</v>
      </c>
      <c r="H1757" s="1">
        <v>99.19</v>
      </c>
      <c r="I1757" t="s">
        <v>24</v>
      </c>
      <c r="J1757">
        <v>0</v>
      </c>
      <c r="K1757">
        <v>8</v>
      </c>
    </row>
    <row r="1758" spans="1:11" x14ac:dyDescent="0.35">
      <c r="A1758" t="s">
        <v>1795</v>
      </c>
      <c r="B1758">
        <v>53</v>
      </c>
      <c r="C1758" t="s">
        <v>18</v>
      </c>
      <c r="D1758" t="s">
        <v>19</v>
      </c>
      <c r="E1758">
        <v>21</v>
      </c>
      <c r="F1758" t="s">
        <v>31</v>
      </c>
      <c r="G1758" t="s">
        <v>27</v>
      </c>
      <c r="H1758" s="1">
        <v>139.19</v>
      </c>
      <c r="I1758" t="s">
        <v>28</v>
      </c>
      <c r="J1758">
        <v>4</v>
      </c>
      <c r="K1758">
        <v>4</v>
      </c>
    </row>
    <row r="1759" spans="1:11" x14ac:dyDescent="0.35">
      <c r="A1759" t="s">
        <v>1796</v>
      </c>
      <c r="B1759">
        <v>44</v>
      </c>
      <c r="C1759" t="s">
        <v>18</v>
      </c>
      <c r="D1759" t="s">
        <v>30</v>
      </c>
      <c r="E1759">
        <v>11</v>
      </c>
      <c r="F1759" t="s">
        <v>22</v>
      </c>
      <c r="G1759" t="s">
        <v>23</v>
      </c>
      <c r="H1759" s="1">
        <v>319.10000000000002</v>
      </c>
      <c r="I1759" t="s">
        <v>28</v>
      </c>
      <c r="J1759">
        <v>1</v>
      </c>
      <c r="K1759">
        <v>5</v>
      </c>
    </row>
    <row r="1760" spans="1:11" x14ac:dyDescent="0.35">
      <c r="A1760" t="s">
        <v>1797</v>
      </c>
      <c r="B1760">
        <v>32</v>
      </c>
      <c r="C1760" t="s">
        <v>12</v>
      </c>
      <c r="D1760" t="s">
        <v>21</v>
      </c>
      <c r="E1760">
        <v>13</v>
      </c>
      <c r="F1760" t="s">
        <v>26</v>
      </c>
      <c r="G1760" t="s">
        <v>34</v>
      </c>
      <c r="H1760" s="1">
        <v>201.73</v>
      </c>
      <c r="I1760" t="s">
        <v>24</v>
      </c>
      <c r="J1760">
        <v>3</v>
      </c>
      <c r="K1760">
        <v>4</v>
      </c>
    </row>
    <row r="1761" spans="1:11" x14ac:dyDescent="0.35">
      <c r="A1761" t="s">
        <v>1798</v>
      </c>
      <c r="B1761">
        <v>23</v>
      </c>
      <c r="C1761" t="s">
        <v>12</v>
      </c>
      <c r="D1761" t="s">
        <v>19</v>
      </c>
      <c r="E1761">
        <v>17</v>
      </c>
      <c r="F1761" t="s">
        <v>31</v>
      </c>
      <c r="G1761" t="s">
        <v>15</v>
      </c>
      <c r="H1761" s="1">
        <v>220.25</v>
      </c>
      <c r="I1761" t="s">
        <v>28</v>
      </c>
      <c r="J1761">
        <v>1</v>
      </c>
      <c r="K1761">
        <v>4</v>
      </c>
    </row>
    <row r="1762" spans="1:11" x14ac:dyDescent="0.35">
      <c r="A1762" t="s">
        <v>1799</v>
      </c>
      <c r="B1762">
        <v>37</v>
      </c>
      <c r="C1762" t="s">
        <v>18</v>
      </c>
      <c r="D1762" t="s">
        <v>19</v>
      </c>
      <c r="E1762">
        <v>9</v>
      </c>
      <c r="F1762" t="s">
        <v>22</v>
      </c>
      <c r="G1762" t="s">
        <v>27</v>
      </c>
      <c r="H1762" s="1">
        <v>79.849999999999994</v>
      </c>
      <c r="I1762" t="s">
        <v>43</v>
      </c>
      <c r="J1762">
        <v>1</v>
      </c>
      <c r="K1762">
        <v>7</v>
      </c>
    </row>
    <row r="1763" spans="1:11" x14ac:dyDescent="0.35">
      <c r="A1763" t="s">
        <v>1800</v>
      </c>
      <c r="B1763">
        <v>71</v>
      </c>
      <c r="C1763" t="s">
        <v>18</v>
      </c>
      <c r="D1763" t="s">
        <v>13</v>
      </c>
      <c r="E1763">
        <v>10</v>
      </c>
      <c r="F1763" t="s">
        <v>22</v>
      </c>
      <c r="G1763" t="s">
        <v>27</v>
      </c>
      <c r="H1763" s="1">
        <v>48.54</v>
      </c>
      <c r="I1763" t="s">
        <v>24</v>
      </c>
      <c r="J1763">
        <v>0</v>
      </c>
      <c r="K1763">
        <v>8</v>
      </c>
    </row>
    <row r="1764" spans="1:11" x14ac:dyDescent="0.35">
      <c r="A1764" t="s">
        <v>1801</v>
      </c>
      <c r="B1764">
        <v>59</v>
      </c>
      <c r="C1764" t="s">
        <v>18</v>
      </c>
      <c r="D1764" t="s">
        <v>21</v>
      </c>
      <c r="E1764">
        <v>17</v>
      </c>
      <c r="F1764" t="s">
        <v>22</v>
      </c>
      <c r="G1764" t="s">
        <v>15</v>
      </c>
      <c r="H1764" s="1">
        <v>197.96</v>
      </c>
      <c r="I1764" t="s">
        <v>28</v>
      </c>
      <c r="J1764">
        <v>2</v>
      </c>
      <c r="K1764">
        <v>6</v>
      </c>
    </row>
    <row r="1765" spans="1:11" x14ac:dyDescent="0.35">
      <c r="A1765" t="s">
        <v>1802</v>
      </c>
      <c r="B1765">
        <v>40</v>
      </c>
      <c r="C1765" t="s">
        <v>12</v>
      </c>
      <c r="D1765" t="s">
        <v>41</v>
      </c>
      <c r="E1765">
        <v>11</v>
      </c>
      <c r="F1765" t="s">
        <v>33</v>
      </c>
      <c r="G1765" t="s">
        <v>34</v>
      </c>
      <c r="H1765" s="1">
        <v>180.81</v>
      </c>
      <c r="I1765" t="s">
        <v>24</v>
      </c>
      <c r="J1765">
        <v>0</v>
      </c>
      <c r="K1765">
        <v>6</v>
      </c>
    </row>
    <row r="1766" spans="1:11" x14ac:dyDescent="0.35">
      <c r="A1766" t="s">
        <v>1803</v>
      </c>
      <c r="B1766">
        <v>72</v>
      </c>
      <c r="C1766" t="s">
        <v>12</v>
      </c>
      <c r="D1766" t="s">
        <v>19</v>
      </c>
      <c r="E1766">
        <v>14</v>
      </c>
      <c r="F1766" t="s">
        <v>26</v>
      </c>
      <c r="G1766" t="s">
        <v>23</v>
      </c>
      <c r="H1766" s="1">
        <v>587.83000000000004</v>
      </c>
      <c r="I1766" t="s">
        <v>24</v>
      </c>
      <c r="J1766">
        <v>0</v>
      </c>
      <c r="K1766">
        <v>4</v>
      </c>
    </row>
    <row r="1767" spans="1:11" x14ac:dyDescent="0.35">
      <c r="A1767" t="s">
        <v>1804</v>
      </c>
      <c r="B1767">
        <v>28</v>
      </c>
      <c r="C1767" t="s">
        <v>18</v>
      </c>
      <c r="D1767" t="s">
        <v>21</v>
      </c>
      <c r="E1767">
        <v>43</v>
      </c>
      <c r="F1767" t="s">
        <v>33</v>
      </c>
      <c r="G1767" t="s">
        <v>34</v>
      </c>
      <c r="H1767" s="1">
        <v>173.06</v>
      </c>
      <c r="I1767" t="s">
        <v>24</v>
      </c>
      <c r="J1767">
        <v>1</v>
      </c>
      <c r="K1767">
        <v>2</v>
      </c>
    </row>
    <row r="1768" spans="1:11" x14ac:dyDescent="0.35">
      <c r="A1768" t="s">
        <v>1805</v>
      </c>
      <c r="B1768">
        <v>22</v>
      </c>
      <c r="C1768" t="s">
        <v>12</v>
      </c>
      <c r="D1768" t="s">
        <v>19</v>
      </c>
      <c r="E1768">
        <v>13</v>
      </c>
      <c r="F1768" t="s">
        <v>31</v>
      </c>
      <c r="G1768" t="s">
        <v>27</v>
      </c>
      <c r="H1768" s="1">
        <v>157.81</v>
      </c>
      <c r="I1768" t="s">
        <v>24</v>
      </c>
      <c r="J1768">
        <v>2</v>
      </c>
      <c r="K1768">
        <v>4</v>
      </c>
    </row>
    <row r="1769" spans="1:11" x14ac:dyDescent="0.35">
      <c r="A1769" t="s">
        <v>1806</v>
      </c>
      <c r="B1769">
        <v>77</v>
      </c>
      <c r="C1769" t="s">
        <v>18</v>
      </c>
      <c r="D1769" t="s">
        <v>21</v>
      </c>
      <c r="E1769">
        <v>22</v>
      </c>
      <c r="F1769" t="s">
        <v>22</v>
      </c>
      <c r="G1769" t="s">
        <v>23</v>
      </c>
      <c r="H1769" s="1">
        <v>445.49</v>
      </c>
      <c r="I1769" t="s">
        <v>24</v>
      </c>
      <c r="J1769">
        <v>4</v>
      </c>
      <c r="K1769">
        <v>2</v>
      </c>
    </row>
    <row r="1770" spans="1:11" x14ac:dyDescent="0.35">
      <c r="A1770" t="s">
        <v>1807</v>
      </c>
      <c r="B1770">
        <v>81</v>
      </c>
      <c r="C1770" t="s">
        <v>18</v>
      </c>
      <c r="D1770" t="s">
        <v>21</v>
      </c>
      <c r="E1770">
        <v>48</v>
      </c>
      <c r="F1770" t="s">
        <v>33</v>
      </c>
      <c r="G1770" t="s">
        <v>27</v>
      </c>
      <c r="H1770" s="1">
        <v>40.270000000000003</v>
      </c>
      <c r="I1770" t="s">
        <v>24</v>
      </c>
      <c r="J1770">
        <v>1</v>
      </c>
      <c r="K1770">
        <v>1</v>
      </c>
    </row>
    <row r="1771" spans="1:11" x14ac:dyDescent="0.35">
      <c r="A1771" t="s">
        <v>1808</v>
      </c>
      <c r="B1771">
        <v>63</v>
      </c>
      <c r="C1771" t="s">
        <v>12</v>
      </c>
      <c r="D1771" t="s">
        <v>30</v>
      </c>
      <c r="E1771">
        <v>4</v>
      </c>
      <c r="F1771" t="s">
        <v>33</v>
      </c>
      <c r="G1771" t="s">
        <v>37</v>
      </c>
      <c r="H1771" s="1">
        <v>114.88</v>
      </c>
      <c r="I1771" t="s">
        <v>24</v>
      </c>
      <c r="J1771">
        <v>1</v>
      </c>
      <c r="K1771">
        <v>7</v>
      </c>
    </row>
    <row r="1772" spans="1:11" x14ac:dyDescent="0.35">
      <c r="A1772" t="s">
        <v>1809</v>
      </c>
      <c r="B1772">
        <v>29</v>
      </c>
      <c r="C1772" t="s">
        <v>12</v>
      </c>
      <c r="D1772" t="s">
        <v>30</v>
      </c>
      <c r="E1772">
        <v>12</v>
      </c>
      <c r="F1772" t="s">
        <v>14</v>
      </c>
      <c r="G1772" t="s">
        <v>23</v>
      </c>
      <c r="H1772" s="1">
        <v>0</v>
      </c>
      <c r="I1772" t="s">
        <v>16</v>
      </c>
      <c r="J1772">
        <v>3</v>
      </c>
      <c r="K1772">
        <v>6</v>
      </c>
    </row>
    <row r="1773" spans="1:11" x14ac:dyDescent="0.35">
      <c r="A1773" t="s">
        <v>1810</v>
      </c>
      <c r="B1773">
        <v>22</v>
      </c>
      <c r="C1773" t="s">
        <v>18</v>
      </c>
      <c r="D1773" t="s">
        <v>47</v>
      </c>
      <c r="E1773">
        <v>11</v>
      </c>
      <c r="F1773" t="s">
        <v>22</v>
      </c>
      <c r="G1773" t="s">
        <v>23</v>
      </c>
      <c r="H1773" s="1">
        <v>255.23</v>
      </c>
      <c r="I1773" t="s">
        <v>24</v>
      </c>
      <c r="J1773">
        <v>0</v>
      </c>
      <c r="K1773">
        <v>6</v>
      </c>
    </row>
    <row r="1774" spans="1:11" x14ac:dyDescent="0.35">
      <c r="A1774" t="s">
        <v>1811</v>
      </c>
      <c r="B1774">
        <v>40</v>
      </c>
      <c r="C1774" t="s">
        <v>12</v>
      </c>
      <c r="D1774" t="s">
        <v>30</v>
      </c>
      <c r="E1774">
        <v>10</v>
      </c>
      <c r="F1774" t="s">
        <v>33</v>
      </c>
      <c r="G1774" t="s">
        <v>34</v>
      </c>
      <c r="H1774" s="1">
        <v>174.92</v>
      </c>
      <c r="I1774" t="s">
        <v>24</v>
      </c>
      <c r="J1774">
        <v>1</v>
      </c>
      <c r="K1774">
        <v>5</v>
      </c>
    </row>
    <row r="1775" spans="1:11" x14ac:dyDescent="0.35">
      <c r="A1775" t="s">
        <v>1812</v>
      </c>
      <c r="B1775">
        <v>37</v>
      </c>
      <c r="C1775" t="s">
        <v>12</v>
      </c>
      <c r="D1775" t="s">
        <v>21</v>
      </c>
      <c r="E1775">
        <v>33</v>
      </c>
      <c r="F1775" t="s">
        <v>22</v>
      </c>
      <c r="G1775" t="s">
        <v>37</v>
      </c>
      <c r="H1775" s="1">
        <v>171.64</v>
      </c>
      <c r="I1775" t="s">
        <v>24</v>
      </c>
      <c r="J1775">
        <v>1</v>
      </c>
      <c r="K1775">
        <v>2</v>
      </c>
    </row>
    <row r="1776" spans="1:11" x14ac:dyDescent="0.35">
      <c r="A1776" t="s">
        <v>1813</v>
      </c>
      <c r="B1776">
        <v>75</v>
      </c>
      <c r="C1776" t="s">
        <v>18</v>
      </c>
      <c r="D1776" t="s">
        <v>19</v>
      </c>
      <c r="E1776">
        <v>8</v>
      </c>
      <c r="F1776" t="s">
        <v>31</v>
      </c>
      <c r="G1776" t="s">
        <v>23</v>
      </c>
      <c r="H1776" s="1">
        <v>523.1</v>
      </c>
      <c r="I1776" t="s">
        <v>24</v>
      </c>
      <c r="J1776">
        <v>0</v>
      </c>
      <c r="K1776">
        <v>7</v>
      </c>
    </row>
    <row r="1777" spans="1:11" x14ac:dyDescent="0.35">
      <c r="A1777" t="s">
        <v>1814</v>
      </c>
      <c r="B1777">
        <v>38</v>
      </c>
      <c r="C1777" t="s">
        <v>12</v>
      </c>
      <c r="D1777" t="s">
        <v>120</v>
      </c>
      <c r="E1777">
        <v>38</v>
      </c>
      <c r="F1777" t="s">
        <v>22</v>
      </c>
      <c r="G1777" t="s">
        <v>23</v>
      </c>
      <c r="H1777" s="1">
        <v>63.53</v>
      </c>
      <c r="I1777" t="s">
        <v>28</v>
      </c>
      <c r="J1777">
        <v>1</v>
      </c>
      <c r="K1777">
        <v>3</v>
      </c>
    </row>
    <row r="1778" spans="1:11" x14ac:dyDescent="0.35">
      <c r="A1778" t="s">
        <v>1815</v>
      </c>
      <c r="B1778">
        <v>47</v>
      </c>
      <c r="C1778" t="s">
        <v>12</v>
      </c>
      <c r="D1778" t="s">
        <v>19</v>
      </c>
      <c r="E1778">
        <v>6</v>
      </c>
      <c r="F1778" t="s">
        <v>22</v>
      </c>
      <c r="G1778" t="s">
        <v>15</v>
      </c>
      <c r="H1778" s="1">
        <v>179.84</v>
      </c>
      <c r="I1778" t="s">
        <v>24</v>
      </c>
      <c r="J1778">
        <v>0</v>
      </c>
      <c r="K1778">
        <v>8</v>
      </c>
    </row>
    <row r="1779" spans="1:11" x14ac:dyDescent="0.35">
      <c r="A1779" t="s">
        <v>1816</v>
      </c>
      <c r="B1779">
        <v>72</v>
      </c>
      <c r="C1779" t="s">
        <v>12</v>
      </c>
      <c r="D1779" t="s">
        <v>21</v>
      </c>
      <c r="E1779">
        <v>35</v>
      </c>
      <c r="F1779" t="s">
        <v>22</v>
      </c>
      <c r="G1779" t="s">
        <v>27</v>
      </c>
      <c r="H1779" s="1">
        <v>99.14</v>
      </c>
      <c r="I1779" t="s">
        <v>24</v>
      </c>
      <c r="J1779">
        <v>1</v>
      </c>
      <c r="K1779">
        <v>3</v>
      </c>
    </row>
    <row r="1780" spans="1:11" x14ac:dyDescent="0.35">
      <c r="A1780" t="s">
        <v>1817</v>
      </c>
      <c r="B1780">
        <v>22</v>
      </c>
      <c r="C1780" t="s">
        <v>12</v>
      </c>
      <c r="D1780" t="s">
        <v>41</v>
      </c>
      <c r="E1780">
        <v>3</v>
      </c>
      <c r="F1780" t="s">
        <v>26</v>
      </c>
      <c r="G1780" t="s">
        <v>27</v>
      </c>
      <c r="H1780" s="1">
        <v>100.9</v>
      </c>
      <c r="I1780" t="s">
        <v>28</v>
      </c>
      <c r="J1780">
        <v>0</v>
      </c>
      <c r="K1780">
        <v>10</v>
      </c>
    </row>
    <row r="1781" spans="1:11" x14ac:dyDescent="0.35">
      <c r="A1781" t="s">
        <v>1818</v>
      </c>
      <c r="B1781">
        <v>32</v>
      </c>
      <c r="C1781" t="s">
        <v>12</v>
      </c>
      <c r="D1781" t="s">
        <v>19</v>
      </c>
      <c r="E1781">
        <v>9</v>
      </c>
      <c r="F1781" t="s">
        <v>33</v>
      </c>
      <c r="G1781" t="s">
        <v>15</v>
      </c>
      <c r="H1781" s="1">
        <v>108.24</v>
      </c>
      <c r="I1781" t="s">
        <v>24</v>
      </c>
      <c r="J1781">
        <v>1</v>
      </c>
      <c r="K1781">
        <v>7</v>
      </c>
    </row>
    <row r="1782" spans="1:11" x14ac:dyDescent="0.35">
      <c r="A1782" t="s">
        <v>1819</v>
      </c>
      <c r="B1782">
        <v>50</v>
      </c>
      <c r="C1782" t="s">
        <v>18</v>
      </c>
      <c r="D1782" t="s">
        <v>41</v>
      </c>
      <c r="E1782">
        <v>4</v>
      </c>
      <c r="F1782" t="s">
        <v>33</v>
      </c>
      <c r="G1782" t="s">
        <v>15</v>
      </c>
      <c r="H1782" s="1">
        <v>131.97</v>
      </c>
      <c r="I1782" t="s">
        <v>24</v>
      </c>
      <c r="J1782">
        <v>0</v>
      </c>
      <c r="K1782">
        <v>10</v>
      </c>
    </row>
    <row r="1783" spans="1:11" x14ac:dyDescent="0.35">
      <c r="A1783" t="s">
        <v>1820</v>
      </c>
      <c r="B1783">
        <v>75</v>
      </c>
      <c r="C1783" t="s">
        <v>18</v>
      </c>
      <c r="D1783" t="s">
        <v>57</v>
      </c>
      <c r="E1783">
        <v>12</v>
      </c>
      <c r="F1783" t="s">
        <v>31</v>
      </c>
      <c r="G1783" t="s">
        <v>15</v>
      </c>
      <c r="H1783" s="1">
        <v>112.43</v>
      </c>
      <c r="I1783" t="s">
        <v>24</v>
      </c>
      <c r="J1783">
        <v>1</v>
      </c>
      <c r="K1783">
        <v>8</v>
      </c>
    </row>
    <row r="1784" spans="1:11" x14ac:dyDescent="0.35">
      <c r="A1784" t="s">
        <v>1821</v>
      </c>
      <c r="B1784">
        <v>60</v>
      </c>
      <c r="C1784" t="s">
        <v>18</v>
      </c>
      <c r="D1784" t="s">
        <v>41</v>
      </c>
      <c r="E1784">
        <v>9</v>
      </c>
      <c r="F1784" t="s">
        <v>33</v>
      </c>
      <c r="G1784" t="s">
        <v>15</v>
      </c>
      <c r="H1784" s="1">
        <v>267.12</v>
      </c>
      <c r="I1784" t="s">
        <v>24</v>
      </c>
      <c r="J1784">
        <v>0</v>
      </c>
      <c r="K1784">
        <v>8</v>
      </c>
    </row>
    <row r="1785" spans="1:11" x14ac:dyDescent="0.35">
      <c r="A1785" t="s">
        <v>1822</v>
      </c>
      <c r="B1785">
        <v>57</v>
      </c>
      <c r="C1785" t="s">
        <v>12</v>
      </c>
      <c r="D1785" t="s">
        <v>41</v>
      </c>
      <c r="E1785">
        <v>5</v>
      </c>
      <c r="F1785" t="s">
        <v>22</v>
      </c>
      <c r="G1785" t="s">
        <v>34</v>
      </c>
      <c r="H1785" s="1">
        <v>180.43</v>
      </c>
      <c r="I1785" t="s">
        <v>24</v>
      </c>
      <c r="J1785">
        <v>0</v>
      </c>
      <c r="K1785">
        <v>9</v>
      </c>
    </row>
    <row r="1786" spans="1:11" x14ac:dyDescent="0.35">
      <c r="A1786" t="s">
        <v>1823</v>
      </c>
      <c r="B1786">
        <v>84</v>
      </c>
      <c r="C1786" t="s">
        <v>18</v>
      </c>
      <c r="D1786" t="s">
        <v>13</v>
      </c>
      <c r="E1786">
        <v>19</v>
      </c>
      <c r="F1786" t="s">
        <v>33</v>
      </c>
      <c r="G1786" t="s">
        <v>37</v>
      </c>
      <c r="H1786" s="1">
        <v>127.08</v>
      </c>
      <c r="I1786" t="s">
        <v>24</v>
      </c>
      <c r="J1786">
        <v>1</v>
      </c>
      <c r="K1786">
        <v>1</v>
      </c>
    </row>
    <row r="1787" spans="1:11" x14ac:dyDescent="0.35">
      <c r="A1787" t="s">
        <v>1824</v>
      </c>
      <c r="B1787">
        <v>79</v>
      </c>
      <c r="C1787" t="s">
        <v>12</v>
      </c>
      <c r="D1787" t="s">
        <v>13</v>
      </c>
      <c r="E1787">
        <v>6</v>
      </c>
      <c r="F1787" t="s">
        <v>33</v>
      </c>
      <c r="G1787" t="s">
        <v>23</v>
      </c>
      <c r="H1787" s="1">
        <v>488.66</v>
      </c>
      <c r="I1787" t="s">
        <v>24</v>
      </c>
      <c r="J1787">
        <v>0</v>
      </c>
      <c r="K1787">
        <v>7</v>
      </c>
    </row>
    <row r="1788" spans="1:11" x14ac:dyDescent="0.35">
      <c r="A1788" t="s">
        <v>1825</v>
      </c>
      <c r="B1788">
        <v>21</v>
      </c>
      <c r="C1788" t="s">
        <v>528</v>
      </c>
      <c r="D1788" t="s">
        <v>13</v>
      </c>
      <c r="E1788">
        <v>13</v>
      </c>
      <c r="F1788" t="s">
        <v>22</v>
      </c>
      <c r="G1788" t="s">
        <v>15</v>
      </c>
      <c r="H1788" s="1">
        <v>128.72999999999999</v>
      </c>
      <c r="I1788" t="s">
        <v>24</v>
      </c>
      <c r="J1788">
        <v>3</v>
      </c>
      <c r="K1788">
        <v>4</v>
      </c>
    </row>
    <row r="1789" spans="1:11" x14ac:dyDescent="0.35">
      <c r="A1789" t="s">
        <v>1826</v>
      </c>
      <c r="B1789">
        <v>20</v>
      </c>
      <c r="C1789" t="s">
        <v>18</v>
      </c>
      <c r="D1789" t="s">
        <v>19</v>
      </c>
      <c r="E1789">
        <v>12</v>
      </c>
      <c r="F1789" t="s">
        <v>22</v>
      </c>
      <c r="G1789" t="s">
        <v>15</v>
      </c>
      <c r="H1789" s="1">
        <v>226.01</v>
      </c>
      <c r="I1789" t="s">
        <v>24</v>
      </c>
      <c r="J1789">
        <v>2</v>
      </c>
      <c r="K1789">
        <v>5</v>
      </c>
    </row>
    <row r="1790" spans="1:11" x14ac:dyDescent="0.35">
      <c r="A1790" t="s">
        <v>1827</v>
      </c>
      <c r="B1790">
        <v>36</v>
      </c>
      <c r="C1790" t="s">
        <v>12</v>
      </c>
      <c r="D1790" t="s">
        <v>244</v>
      </c>
      <c r="E1790">
        <v>7</v>
      </c>
      <c r="F1790" t="s">
        <v>26</v>
      </c>
      <c r="G1790" t="s">
        <v>34</v>
      </c>
      <c r="H1790" s="1">
        <v>186.24</v>
      </c>
      <c r="I1790" t="s">
        <v>24</v>
      </c>
      <c r="J1790">
        <v>0</v>
      </c>
      <c r="K1790">
        <v>7</v>
      </c>
    </row>
    <row r="1791" spans="1:11" x14ac:dyDescent="0.35">
      <c r="A1791" t="s">
        <v>1828</v>
      </c>
      <c r="B1791">
        <v>47</v>
      </c>
      <c r="C1791" t="s">
        <v>18</v>
      </c>
      <c r="D1791" t="s">
        <v>21</v>
      </c>
      <c r="E1791">
        <v>40</v>
      </c>
      <c r="F1791" t="s">
        <v>22</v>
      </c>
      <c r="G1791" t="s">
        <v>37</v>
      </c>
      <c r="H1791" s="1">
        <v>156.9</v>
      </c>
      <c r="I1791" t="s">
        <v>43</v>
      </c>
      <c r="J1791">
        <v>0</v>
      </c>
      <c r="K1791">
        <v>2</v>
      </c>
    </row>
    <row r="1792" spans="1:11" x14ac:dyDescent="0.35">
      <c r="A1792" t="s">
        <v>1829</v>
      </c>
      <c r="B1792">
        <v>22</v>
      </c>
      <c r="C1792" t="s">
        <v>12</v>
      </c>
      <c r="D1792" t="s">
        <v>200</v>
      </c>
      <c r="E1792">
        <v>17</v>
      </c>
      <c r="F1792" t="s">
        <v>31</v>
      </c>
      <c r="G1792" t="s">
        <v>23</v>
      </c>
      <c r="H1792" s="1">
        <v>120.72</v>
      </c>
      <c r="I1792" t="s">
        <v>28</v>
      </c>
      <c r="J1792">
        <v>1</v>
      </c>
      <c r="K1792">
        <v>5</v>
      </c>
    </row>
    <row r="1793" spans="1:11" x14ac:dyDescent="0.35">
      <c r="A1793" t="s">
        <v>1830</v>
      </c>
      <c r="B1793">
        <v>44</v>
      </c>
      <c r="C1793" t="s">
        <v>12</v>
      </c>
      <c r="D1793" t="s">
        <v>19</v>
      </c>
      <c r="E1793">
        <v>22</v>
      </c>
      <c r="F1793" t="s">
        <v>22</v>
      </c>
      <c r="G1793" t="s">
        <v>15</v>
      </c>
      <c r="H1793" s="1">
        <v>356.81</v>
      </c>
      <c r="I1793" t="s">
        <v>24</v>
      </c>
      <c r="J1793">
        <v>2</v>
      </c>
      <c r="K1793">
        <v>4</v>
      </c>
    </row>
    <row r="1794" spans="1:11" x14ac:dyDescent="0.35">
      <c r="A1794" t="s">
        <v>1831</v>
      </c>
      <c r="B1794">
        <v>56</v>
      </c>
      <c r="C1794" t="s">
        <v>12</v>
      </c>
      <c r="D1794" t="s">
        <v>19</v>
      </c>
      <c r="E1794">
        <v>7</v>
      </c>
      <c r="F1794" t="s">
        <v>22</v>
      </c>
      <c r="G1794" t="s">
        <v>37</v>
      </c>
      <c r="H1794" s="1">
        <v>124.89</v>
      </c>
      <c r="I1794" t="s">
        <v>24</v>
      </c>
      <c r="J1794">
        <v>0</v>
      </c>
      <c r="K1794">
        <v>10</v>
      </c>
    </row>
    <row r="1795" spans="1:11" x14ac:dyDescent="0.35">
      <c r="A1795" t="s">
        <v>1832</v>
      </c>
      <c r="B1795">
        <v>35</v>
      </c>
      <c r="C1795" t="s">
        <v>18</v>
      </c>
      <c r="D1795" t="s">
        <v>13</v>
      </c>
      <c r="E1795">
        <v>18</v>
      </c>
      <c r="F1795" t="s">
        <v>22</v>
      </c>
      <c r="G1795" t="s">
        <v>37</v>
      </c>
      <c r="H1795" s="1">
        <v>165.49</v>
      </c>
      <c r="I1795" t="s">
        <v>24</v>
      </c>
      <c r="J1795">
        <v>3</v>
      </c>
      <c r="K1795">
        <v>7</v>
      </c>
    </row>
    <row r="1796" spans="1:11" x14ac:dyDescent="0.35">
      <c r="A1796" t="s">
        <v>1833</v>
      </c>
      <c r="B1796">
        <v>20</v>
      </c>
      <c r="C1796" t="s">
        <v>12</v>
      </c>
      <c r="D1796" t="s">
        <v>21</v>
      </c>
      <c r="E1796">
        <v>38</v>
      </c>
      <c r="F1796" t="s">
        <v>31</v>
      </c>
      <c r="G1796" t="s">
        <v>34</v>
      </c>
      <c r="H1796" s="1">
        <v>94.57</v>
      </c>
      <c r="I1796" t="s">
        <v>28</v>
      </c>
      <c r="J1796">
        <v>1</v>
      </c>
      <c r="K1796">
        <v>1</v>
      </c>
    </row>
    <row r="1797" spans="1:11" x14ac:dyDescent="0.35">
      <c r="A1797" t="s">
        <v>1834</v>
      </c>
      <c r="B1797">
        <v>78</v>
      </c>
      <c r="C1797" t="s">
        <v>18</v>
      </c>
      <c r="D1797" t="s">
        <v>19</v>
      </c>
      <c r="E1797">
        <v>11</v>
      </c>
      <c r="F1797" t="s">
        <v>33</v>
      </c>
      <c r="G1797" t="s">
        <v>15</v>
      </c>
      <c r="H1797" s="1">
        <v>266.94</v>
      </c>
      <c r="I1797" t="s">
        <v>24</v>
      </c>
      <c r="J1797">
        <v>2</v>
      </c>
      <c r="K1797">
        <v>6</v>
      </c>
    </row>
    <row r="1798" spans="1:11" x14ac:dyDescent="0.35">
      <c r="A1798" t="s">
        <v>1835</v>
      </c>
      <c r="B1798">
        <v>84</v>
      </c>
      <c r="C1798" t="s">
        <v>12</v>
      </c>
      <c r="D1798" t="s">
        <v>21</v>
      </c>
      <c r="E1798">
        <v>20</v>
      </c>
      <c r="F1798" t="s">
        <v>33</v>
      </c>
      <c r="G1798" t="s">
        <v>23</v>
      </c>
      <c r="H1798" s="1">
        <v>531.65</v>
      </c>
      <c r="I1798" t="s">
        <v>24</v>
      </c>
      <c r="J1798">
        <v>0</v>
      </c>
      <c r="K1798">
        <v>4</v>
      </c>
    </row>
    <row r="1799" spans="1:11" x14ac:dyDescent="0.35">
      <c r="A1799" t="s">
        <v>1836</v>
      </c>
      <c r="B1799">
        <v>28</v>
      </c>
      <c r="C1799" t="s">
        <v>12</v>
      </c>
      <c r="D1799" t="s">
        <v>13</v>
      </c>
      <c r="E1799">
        <v>7</v>
      </c>
      <c r="F1799" t="s">
        <v>22</v>
      </c>
      <c r="G1799" t="s">
        <v>15</v>
      </c>
      <c r="H1799" s="1">
        <v>408.83</v>
      </c>
      <c r="I1799" t="s">
        <v>24</v>
      </c>
      <c r="J1799">
        <v>2</v>
      </c>
      <c r="K1799">
        <v>10</v>
      </c>
    </row>
    <row r="1800" spans="1:11" x14ac:dyDescent="0.35">
      <c r="A1800" t="s">
        <v>1837</v>
      </c>
      <c r="B1800">
        <v>82</v>
      </c>
      <c r="C1800" t="s">
        <v>12</v>
      </c>
      <c r="D1800" t="s">
        <v>19</v>
      </c>
      <c r="E1800">
        <v>22</v>
      </c>
      <c r="F1800" t="s">
        <v>33</v>
      </c>
      <c r="G1800" t="s">
        <v>34</v>
      </c>
      <c r="H1800" s="1">
        <v>175.59</v>
      </c>
      <c r="I1800" t="s">
        <v>28</v>
      </c>
      <c r="J1800">
        <v>1</v>
      </c>
      <c r="K1800">
        <v>3</v>
      </c>
    </row>
    <row r="1801" spans="1:11" x14ac:dyDescent="0.35">
      <c r="A1801" t="s">
        <v>1838</v>
      </c>
      <c r="B1801">
        <v>85</v>
      </c>
      <c r="C1801" t="s">
        <v>12</v>
      </c>
      <c r="D1801" t="s">
        <v>19</v>
      </c>
      <c r="E1801">
        <v>9</v>
      </c>
      <c r="F1801" t="s">
        <v>26</v>
      </c>
      <c r="G1801" t="s">
        <v>23</v>
      </c>
      <c r="H1801" s="1">
        <v>209.82</v>
      </c>
      <c r="I1801" t="s">
        <v>24</v>
      </c>
      <c r="J1801">
        <v>2</v>
      </c>
      <c r="K1801">
        <v>4</v>
      </c>
    </row>
    <row r="1802" spans="1:11" x14ac:dyDescent="0.35">
      <c r="A1802" t="s">
        <v>1839</v>
      </c>
      <c r="B1802">
        <v>77</v>
      </c>
      <c r="C1802" t="s">
        <v>18</v>
      </c>
      <c r="D1802" t="s">
        <v>47</v>
      </c>
      <c r="E1802">
        <v>11</v>
      </c>
      <c r="F1802" t="s">
        <v>22</v>
      </c>
      <c r="G1802" t="s">
        <v>15</v>
      </c>
      <c r="H1802" s="1">
        <v>134.96</v>
      </c>
      <c r="I1802" t="s">
        <v>28</v>
      </c>
      <c r="J1802">
        <v>2</v>
      </c>
      <c r="K1802">
        <v>8</v>
      </c>
    </row>
    <row r="1803" spans="1:11" x14ac:dyDescent="0.35">
      <c r="A1803" t="s">
        <v>1840</v>
      </c>
      <c r="B1803">
        <v>52</v>
      </c>
      <c r="C1803" t="s">
        <v>12</v>
      </c>
      <c r="D1803" t="s">
        <v>30</v>
      </c>
      <c r="E1803">
        <v>3</v>
      </c>
      <c r="F1803" t="s">
        <v>31</v>
      </c>
      <c r="G1803" t="s">
        <v>34</v>
      </c>
      <c r="H1803" s="1">
        <v>147.61000000000001</v>
      </c>
      <c r="I1803" t="s">
        <v>24</v>
      </c>
      <c r="J1803">
        <v>2</v>
      </c>
      <c r="K1803">
        <v>8</v>
      </c>
    </row>
    <row r="1804" spans="1:11" x14ac:dyDescent="0.35">
      <c r="A1804" t="s">
        <v>1841</v>
      </c>
      <c r="B1804">
        <v>36</v>
      </c>
      <c r="C1804" t="s">
        <v>12</v>
      </c>
      <c r="D1804" t="s">
        <v>21</v>
      </c>
      <c r="E1804">
        <v>15</v>
      </c>
      <c r="F1804" t="s">
        <v>22</v>
      </c>
      <c r="G1804" t="s">
        <v>23</v>
      </c>
      <c r="H1804" s="1">
        <v>95.99</v>
      </c>
      <c r="I1804" t="s">
        <v>24</v>
      </c>
      <c r="J1804">
        <v>3</v>
      </c>
      <c r="K1804">
        <v>7</v>
      </c>
    </row>
    <row r="1805" spans="1:11" x14ac:dyDescent="0.35">
      <c r="A1805" t="s">
        <v>1842</v>
      </c>
      <c r="B1805">
        <v>75</v>
      </c>
      <c r="C1805" t="s">
        <v>12</v>
      </c>
      <c r="D1805" t="s">
        <v>19</v>
      </c>
      <c r="E1805">
        <v>10</v>
      </c>
      <c r="F1805" t="s">
        <v>33</v>
      </c>
      <c r="G1805" t="s">
        <v>27</v>
      </c>
      <c r="H1805" s="1">
        <v>15.12</v>
      </c>
      <c r="I1805" t="s">
        <v>24</v>
      </c>
      <c r="J1805">
        <v>3</v>
      </c>
      <c r="K1805">
        <v>8</v>
      </c>
    </row>
    <row r="1806" spans="1:11" x14ac:dyDescent="0.35">
      <c r="A1806" t="s">
        <v>1843</v>
      </c>
      <c r="B1806">
        <v>55</v>
      </c>
      <c r="C1806" t="s">
        <v>18</v>
      </c>
      <c r="D1806" t="s">
        <v>19</v>
      </c>
      <c r="E1806">
        <v>24</v>
      </c>
      <c r="F1806" t="s">
        <v>22</v>
      </c>
      <c r="G1806" t="s">
        <v>23</v>
      </c>
      <c r="H1806" s="1">
        <v>298.98</v>
      </c>
      <c r="I1806" t="s">
        <v>24</v>
      </c>
      <c r="J1806">
        <v>2</v>
      </c>
      <c r="K1806">
        <v>5</v>
      </c>
    </row>
    <row r="1807" spans="1:11" x14ac:dyDescent="0.35">
      <c r="A1807" t="s">
        <v>1844</v>
      </c>
      <c r="B1807">
        <v>78</v>
      </c>
      <c r="C1807" t="s">
        <v>528</v>
      </c>
      <c r="D1807" t="s">
        <v>19</v>
      </c>
      <c r="E1807">
        <v>22</v>
      </c>
      <c r="F1807" t="s">
        <v>33</v>
      </c>
      <c r="G1807" t="s">
        <v>15</v>
      </c>
      <c r="H1807" s="1">
        <v>329.42</v>
      </c>
      <c r="I1807" t="s">
        <v>24</v>
      </c>
      <c r="J1807">
        <v>0</v>
      </c>
      <c r="K1807">
        <v>2</v>
      </c>
    </row>
    <row r="1808" spans="1:11" x14ac:dyDescent="0.35">
      <c r="A1808" t="s">
        <v>1845</v>
      </c>
      <c r="B1808">
        <v>80</v>
      </c>
      <c r="C1808" t="s">
        <v>18</v>
      </c>
      <c r="D1808" t="s">
        <v>19</v>
      </c>
      <c r="E1808">
        <v>7</v>
      </c>
      <c r="F1808" t="s">
        <v>33</v>
      </c>
      <c r="G1808" t="s">
        <v>15</v>
      </c>
      <c r="H1808" s="1">
        <v>338.93</v>
      </c>
      <c r="I1808" t="s">
        <v>24</v>
      </c>
      <c r="J1808">
        <v>0</v>
      </c>
      <c r="K1808">
        <v>10</v>
      </c>
    </row>
    <row r="1809" spans="1:11" x14ac:dyDescent="0.35">
      <c r="A1809" t="s">
        <v>1846</v>
      </c>
      <c r="B1809">
        <v>24</v>
      </c>
      <c r="C1809" t="s">
        <v>18</v>
      </c>
      <c r="D1809" t="s">
        <v>19</v>
      </c>
      <c r="E1809">
        <v>9</v>
      </c>
      <c r="F1809" t="s">
        <v>33</v>
      </c>
      <c r="G1809" t="s">
        <v>15</v>
      </c>
      <c r="H1809" s="1">
        <v>229.44</v>
      </c>
      <c r="I1809" t="s">
        <v>24</v>
      </c>
      <c r="J1809">
        <v>3</v>
      </c>
      <c r="K1809">
        <v>8</v>
      </c>
    </row>
    <row r="1810" spans="1:11" x14ac:dyDescent="0.35">
      <c r="A1810" t="s">
        <v>1847</v>
      </c>
      <c r="B1810">
        <v>32</v>
      </c>
      <c r="C1810" t="s">
        <v>12</v>
      </c>
      <c r="D1810" t="s">
        <v>30</v>
      </c>
      <c r="E1810">
        <v>11</v>
      </c>
      <c r="F1810" t="s">
        <v>31</v>
      </c>
      <c r="G1810" t="s">
        <v>15</v>
      </c>
      <c r="H1810" s="1">
        <v>159.78</v>
      </c>
      <c r="I1810" t="s">
        <v>43</v>
      </c>
      <c r="J1810">
        <v>1</v>
      </c>
      <c r="K1810">
        <v>4</v>
      </c>
    </row>
    <row r="1811" spans="1:11" x14ac:dyDescent="0.35">
      <c r="A1811" t="s">
        <v>1848</v>
      </c>
      <c r="B1811">
        <v>50</v>
      </c>
      <c r="C1811" t="s">
        <v>18</v>
      </c>
      <c r="D1811" t="s">
        <v>30</v>
      </c>
      <c r="E1811">
        <v>2</v>
      </c>
      <c r="F1811" t="s">
        <v>22</v>
      </c>
      <c r="G1811" t="s">
        <v>23</v>
      </c>
      <c r="H1811" s="1">
        <v>384.44</v>
      </c>
      <c r="I1811" t="s">
        <v>24</v>
      </c>
      <c r="J1811">
        <v>1</v>
      </c>
      <c r="K1811">
        <v>9</v>
      </c>
    </row>
    <row r="1812" spans="1:11" x14ac:dyDescent="0.35">
      <c r="A1812" t="s">
        <v>1849</v>
      </c>
      <c r="B1812">
        <v>73</v>
      </c>
      <c r="C1812" t="s">
        <v>18</v>
      </c>
      <c r="D1812" t="s">
        <v>19</v>
      </c>
      <c r="E1812">
        <v>8</v>
      </c>
      <c r="F1812" t="s">
        <v>33</v>
      </c>
      <c r="G1812" t="s">
        <v>15</v>
      </c>
      <c r="H1812" s="1">
        <v>154.41999999999999</v>
      </c>
      <c r="I1812" t="s">
        <v>24</v>
      </c>
      <c r="J1812">
        <v>2</v>
      </c>
      <c r="K1812">
        <v>10</v>
      </c>
    </row>
    <row r="1813" spans="1:11" x14ac:dyDescent="0.35">
      <c r="A1813" t="s">
        <v>1850</v>
      </c>
      <c r="B1813">
        <v>62</v>
      </c>
      <c r="C1813" t="s">
        <v>18</v>
      </c>
      <c r="D1813" t="s">
        <v>19</v>
      </c>
      <c r="E1813">
        <v>6</v>
      </c>
      <c r="F1813" t="s">
        <v>26</v>
      </c>
      <c r="G1813" t="s">
        <v>27</v>
      </c>
      <c r="H1813" s="1">
        <v>56.3</v>
      </c>
      <c r="I1813" t="s">
        <v>24</v>
      </c>
      <c r="J1813">
        <v>0</v>
      </c>
      <c r="K1813">
        <v>7</v>
      </c>
    </row>
    <row r="1814" spans="1:11" x14ac:dyDescent="0.35">
      <c r="A1814" t="s">
        <v>1851</v>
      </c>
      <c r="B1814">
        <v>21</v>
      </c>
      <c r="C1814" t="s">
        <v>12</v>
      </c>
      <c r="D1814" t="s">
        <v>19</v>
      </c>
      <c r="E1814">
        <v>21</v>
      </c>
      <c r="F1814" t="s">
        <v>22</v>
      </c>
      <c r="G1814" t="s">
        <v>27</v>
      </c>
      <c r="H1814" s="1">
        <v>53.79</v>
      </c>
      <c r="I1814" t="s">
        <v>24</v>
      </c>
      <c r="J1814">
        <v>3</v>
      </c>
      <c r="K1814">
        <v>2</v>
      </c>
    </row>
    <row r="1815" spans="1:11" x14ac:dyDescent="0.35">
      <c r="A1815" t="s">
        <v>1852</v>
      </c>
      <c r="B1815">
        <v>35</v>
      </c>
      <c r="C1815" t="s">
        <v>12</v>
      </c>
      <c r="D1815" t="s">
        <v>13</v>
      </c>
      <c r="E1815">
        <v>8</v>
      </c>
      <c r="F1815" t="s">
        <v>26</v>
      </c>
      <c r="G1815" t="s">
        <v>37</v>
      </c>
      <c r="H1815" s="1">
        <v>109.24</v>
      </c>
      <c r="I1815" t="s">
        <v>24</v>
      </c>
      <c r="J1815">
        <v>1</v>
      </c>
      <c r="K1815">
        <v>7</v>
      </c>
    </row>
    <row r="1816" spans="1:11" x14ac:dyDescent="0.35">
      <c r="A1816" t="s">
        <v>1853</v>
      </c>
      <c r="B1816">
        <v>60</v>
      </c>
      <c r="C1816" t="s">
        <v>18</v>
      </c>
      <c r="D1816" t="s">
        <v>21</v>
      </c>
      <c r="E1816">
        <v>45</v>
      </c>
      <c r="F1816" t="s">
        <v>31</v>
      </c>
      <c r="G1816" t="s">
        <v>37</v>
      </c>
      <c r="H1816" s="1">
        <v>197.22</v>
      </c>
      <c r="I1816" t="s">
        <v>28</v>
      </c>
      <c r="J1816">
        <v>2</v>
      </c>
      <c r="K1816">
        <v>2</v>
      </c>
    </row>
    <row r="1817" spans="1:11" x14ac:dyDescent="0.35">
      <c r="A1817" t="s">
        <v>1854</v>
      </c>
      <c r="B1817">
        <v>81</v>
      </c>
      <c r="C1817" t="s">
        <v>12</v>
      </c>
      <c r="D1817" t="s">
        <v>13</v>
      </c>
      <c r="E1817">
        <v>20</v>
      </c>
      <c r="F1817" t="s">
        <v>31</v>
      </c>
      <c r="G1817" t="s">
        <v>15</v>
      </c>
      <c r="H1817" s="1">
        <v>356.48</v>
      </c>
      <c r="I1817" t="s">
        <v>24</v>
      </c>
      <c r="J1817">
        <v>1</v>
      </c>
      <c r="K1817">
        <v>4</v>
      </c>
    </row>
    <row r="1818" spans="1:11" x14ac:dyDescent="0.35">
      <c r="A1818" t="s">
        <v>1855</v>
      </c>
      <c r="B1818">
        <v>79</v>
      </c>
      <c r="C1818" t="s">
        <v>12</v>
      </c>
      <c r="D1818" t="s">
        <v>13</v>
      </c>
      <c r="E1818">
        <v>14</v>
      </c>
      <c r="F1818" t="s">
        <v>31</v>
      </c>
      <c r="G1818" t="s">
        <v>23</v>
      </c>
      <c r="H1818" s="1">
        <v>260.60000000000002</v>
      </c>
      <c r="I1818" t="s">
        <v>24</v>
      </c>
      <c r="J1818">
        <v>1</v>
      </c>
      <c r="K1818">
        <v>5</v>
      </c>
    </row>
    <row r="1819" spans="1:11" x14ac:dyDescent="0.35">
      <c r="A1819" t="s">
        <v>1856</v>
      </c>
      <c r="B1819">
        <v>40</v>
      </c>
      <c r="C1819" t="s">
        <v>18</v>
      </c>
      <c r="D1819" t="s">
        <v>13</v>
      </c>
      <c r="E1819">
        <v>16</v>
      </c>
      <c r="F1819" t="s">
        <v>33</v>
      </c>
      <c r="G1819" t="s">
        <v>37</v>
      </c>
      <c r="H1819" s="1">
        <v>156.30000000000001</v>
      </c>
      <c r="I1819" t="s">
        <v>24</v>
      </c>
      <c r="J1819">
        <v>0</v>
      </c>
      <c r="K1819">
        <v>4</v>
      </c>
    </row>
    <row r="1820" spans="1:11" x14ac:dyDescent="0.35">
      <c r="A1820" t="s">
        <v>1857</v>
      </c>
      <c r="B1820">
        <v>46</v>
      </c>
      <c r="C1820" t="s">
        <v>18</v>
      </c>
      <c r="D1820" t="s">
        <v>21</v>
      </c>
      <c r="E1820">
        <v>45</v>
      </c>
      <c r="F1820" t="s">
        <v>14</v>
      </c>
      <c r="G1820" t="s">
        <v>23</v>
      </c>
      <c r="H1820" s="1">
        <v>0</v>
      </c>
      <c r="I1820" t="s">
        <v>16</v>
      </c>
      <c r="J1820">
        <v>0</v>
      </c>
      <c r="K1820">
        <v>1</v>
      </c>
    </row>
    <row r="1821" spans="1:11" x14ac:dyDescent="0.35">
      <c r="A1821" t="s">
        <v>1858</v>
      </c>
      <c r="B1821">
        <v>18</v>
      </c>
      <c r="C1821" t="s">
        <v>12</v>
      </c>
      <c r="D1821" t="s">
        <v>41</v>
      </c>
      <c r="E1821">
        <v>7</v>
      </c>
      <c r="F1821" t="s">
        <v>31</v>
      </c>
      <c r="G1821" t="s">
        <v>34</v>
      </c>
      <c r="H1821" s="1">
        <v>184.96</v>
      </c>
      <c r="I1821" t="s">
        <v>24</v>
      </c>
      <c r="J1821">
        <v>0</v>
      </c>
      <c r="K1821">
        <v>9</v>
      </c>
    </row>
    <row r="1822" spans="1:11" x14ac:dyDescent="0.35">
      <c r="A1822" t="s">
        <v>1859</v>
      </c>
      <c r="B1822">
        <v>36</v>
      </c>
      <c r="C1822" t="s">
        <v>18</v>
      </c>
      <c r="D1822" t="s">
        <v>19</v>
      </c>
      <c r="E1822">
        <v>17</v>
      </c>
      <c r="F1822" t="s">
        <v>33</v>
      </c>
      <c r="G1822" t="s">
        <v>34</v>
      </c>
      <c r="H1822" s="1">
        <v>189.59</v>
      </c>
      <c r="I1822" t="s">
        <v>24</v>
      </c>
      <c r="J1822">
        <v>0</v>
      </c>
      <c r="K1822">
        <v>7</v>
      </c>
    </row>
    <row r="1823" spans="1:11" x14ac:dyDescent="0.35">
      <c r="A1823" t="s">
        <v>1860</v>
      </c>
      <c r="B1823">
        <v>33</v>
      </c>
      <c r="C1823" t="s">
        <v>12</v>
      </c>
      <c r="D1823" t="s">
        <v>19</v>
      </c>
      <c r="E1823">
        <v>20</v>
      </c>
      <c r="F1823" t="s">
        <v>22</v>
      </c>
      <c r="G1823" t="s">
        <v>37</v>
      </c>
      <c r="H1823" s="1">
        <v>151.33000000000001</v>
      </c>
      <c r="I1823" t="s">
        <v>43</v>
      </c>
      <c r="J1823">
        <v>2</v>
      </c>
      <c r="K1823">
        <v>1</v>
      </c>
    </row>
    <row r="1824" spans="1:11" x14ac:dyDescent="0.35">
      <c r="A1824" t="s">
        <v>1861</v>
      </c>
      <c r="B1824">
        <v>81</v>
      </c>
      <c r="C1824" t="s">
        <v>18</v>
      </c>
      <c r="D1824" t="s">
        <v>19</v>
      </c>
      <c r="E1824">
        <v>12</v>
      </c>
      <c r="F1824" t="s">
        <v>33</v>
      </c>
      <c r="G1824" t="s">
        <v>34</v>
      </c>
      <c r="H1824" s="1">
        <v>179.47</v>
      </c>
      <c r="I1824" t="s">
        <v>24</v>
      </c>
      <c r="J1824">
        <v>3</v>
      </c>
      <c r="K1824">
        <v>5</v>
      </c>
    </row>
    <row r="1825" spans="1:11" x14ac:dyDescent="0.35">
      <c r="A1825" t="s">
        <v>1862</v>
      </c>
      <c r="B1825">
        <v>81</v>
      </c>
      <c r="C1825" t="s">
        <v>18</v>
      </c>
      <c r="D1825" t="s">
        <v>21</v>
      </c>
      <c r="E1825">
        <v>26</v>
      </c>
      <c r="F1825" t="s">
        <v>33</v>
      </c>
      <c r="G1825" t="s">
        <v>15</v>
      </c>
      <c r="H1825" s="1">
        <v>301.58999999999997</v>
      </c>
      <c r="I1825" t="s">
        <v>28</v>
      </c>
      <c r="J1825">
        <v>1</v>
      </c>
      <c r="K1825">
        <v>3</v>
      </c>
    </row>
    <row r="1826" spans="1:11" x14ac:dyDescent="0.35">
      <c r="A1826" t="s">
        <v>1863</v>
      </c>
      <c r="B1826">
        <v>85</v>
      </c>
      <c r="C1826" t="s">
        <v>12</v>
      </c>
      <c r="D1826" t="s">
        <v>21</v>
      </c>
      <c r="E1826">
        <v>14</v>
      </c>
      <c r="F1826" t="s">
        <v>31</v>
      </c>
      <c r="G1826" t="s">
        <v>15</v>
      </c>
      <c r="H1826" s="1">
        <v>305.29000000000002</v>
      </c>
      <c r="I1826" t="s">
        <v>24</v>
      </c>
      <c r="J1826">
        <v>1</v>
      </c>
      <c r="K1826">
        <v>6</v>
      </c>
    </row>
    <row r="1827" spans="1:11" x14ac:dyDescent="0.35">
      <c r="A1827" t="s">
        <v>1864</v>
      </c>
      <c r="B1827">
        <v>64</v>
      </c>
      <c r="C1827" t="s">
        <v>18</v>
      </c>
      <c r="D1827" t="s">
        <v>19</v>
      </c>
      <c r="E1827">
        <v>18</v>
      </c>
      <c r="F1827" t="s">
        <v>22</v>
      </c>
      <c r="G1827" t="s">
        <v>27</v>
      </c>
      <c r="H1827" s="1">
        <v>63.71</v>
      </c>
      <c r="I1827" t="s">
        <v>28</v>
      </c>
      <c r="J1827">
        <v>1</v>
      </c>
      <c r="K1827">
        <v>7</v>
      </c>
    </row>
    <row r="1828" spans="1:11" x14ac:dyDescent="0.35">
      <c r="A1828" t="s">
        <v>1865</v>
      </c>
      <c r="B1828">
        <v>48</v>
      </c>
      <c r="C1828" t="s">
        <v>18</v>
      </c>
      <c r="D1828" t="s">
        <v>21</v>
      </c>
      <c r="E1828">
        <v>36</v>
      </c>
      <c r="F1828" t="s">
        <v>33</v>
      </c>
      <c r="G1828" t="s">
        <v>15</v>
      </c>
      <c r="H1828" s="1">
        <v>144.33000000000001</v>
      </c>
      <c r="I1828" t="s">
        <v>24</v>
      </c>
      <c r="J1828">
        <v>1</v>
      </c>
      <c r="K1828">
        <v>4</v>
      </c>
    </row>
    <row r="1829" spans="1:11" x14ac:dyDescent="0.35">
      <c r="A1829" t="s">
        <v>1866</v>
      </c>
      <c r="B1829">
        <v>30</v>
      </c>
      <c r="C1829" t="s">
        <v>12</v>
      </c>
      <c r="D1829" t="s">
        <v>19</v>
      </c>
      <c r="E1829">
        <v>22</v>
      </c>
      <c r="F1829" t="s">
        <v>22</v>
      </c>
      <c r="G1829" t="s">
        <v>27</v>
      </c>
      <c r="H1829" s="1">
        <v>25.84</v>
      </c>
      <c r="I1829" t="s">
        <v>24</v>
      </c>
      <c r="J1829">
        <v>1</v>
      </c>
      <c r="K1829">
        <v>3</v>
      </c>
    </row>
    <row r="1830" spans="1:11" x14ac:dyDescent="0.35">
      <c r="A1830" t="s">
        <v>1867</v>
      </c>
      <c r="B1830">
        <v>49</v>
      </c>
      <c r="C1830" t="s">
        <v>12</v>
      </c>
      <c r="D1830" t="s">
        <v>21</v>
      </c>
      <c r="E1830">
        <v>48</v>
      </c>
      <c r="F1830" t="s">
        <v>14</v>
      </c>
      <c r="G1830" t="s">
        <v>34</v>
      </c>
      <c r="H1830" s="1">
        <v>0</v>
      </c>
      <c r="I1830" t="s">
        <v>16</v>
      </c>
      <c r="J1830">
        <v>2</v>
      </c>
      <c r="K1830">
        <v>1</v>
      </c>
    </row>
    <row r="1831" spans="1:11" x14ac:dyDescent="0.35">
      <c r="A1831" t="s">
        <v>1868</v>
      </c>
      <c r="B1831">
        <v>57</v>
      </c>
      <c r="C1831" t="s">
        <v>18</v>
      </c>
      <c r="D1831" t="s">
        <v>41</v>
      </c>
      <c r="E1831">
        <v>9</v>
      </c>
      <c r="F1831" t="s">
        <v>22</v>
      </c>
      <c r="G1831" t="s">
        <v>37</v>
      </c>
      <c r="H1831" s="1">
        <v>117.56</v>
      </c>
      <c r="I1831" t="s">
        <v>43</v>
      </c>
      <c r="J1831">
        <v>1</v>
      </c>
      <c r="K1831">
        <v>4</v>
      </c>
    </row>
    <row r="1832" spans="1:11" x14ac:dyDescent="0.35">
      <c r="A1832" t="s">
        <v>1869</v>
      </c>
      <c r="B1832">
        <v>18</v>
      </c>
      <c r="C1832" t="s">
        <v>12</v>
      </c>
      <c r="D1832" t="s">
        <v>19</v>
      </c>
      <c r="E1832">
        <v>23</v>
      </c>
      <c r="F1832" t="s">
        <v>26</v>
      </c>
      <c r="G1832" t="s">
        <v>37</v>
      </c>
      <c r="H1832" s="1">
        <v>196.09</v>
      </c>
      <c r="I1832" t="s">
        <v>24</v>
      </c>
      <c r="J1832">
        <v>4</v>
      </c>
      <c r="K1832">
        <v>2</v>
      </c>
    </row>
    <row r="1833" spans="1:11" x14ac:dyDescent="0.35">
      <c r="A1833" t="s">
        <v>1870</v>
      </c>
      <c r="B1833">
        <v>42</v>
      </c>
      <c r="C1833" t="s">
        <v>18</v>
      </c>
      <c r="D1833" t="s">
        <v>19</v>
      </c>
      <c r="E1833">
        <v>24</v>
      </c>
      <c r="F1833" t="s">
        <v>33</v>
      </c>
      <c r="G1833" t="s">
        <v>23</v>
      </c>
      <c r="H1833" s="1">
        <v>546.82000000000005</v>
      </c>
      <c r="I1833" t="s">
        <v>24</v>
      </c>
      <c r="J1833">
        <v>3</v>
      </c>
      <c r="K1833">
        <v>2</v>
      </c>
    </row>
    <row r="1834" spans="1:11" x14ac:dyDescent="0.35">
      <c r="A1834" t="s">
        <v>1871</v>
      </c>
      <c r="B1834">
        <v>30</v>
      </c>
      <c r="C1834" t="s">
        <v>12</v>
      </c>
      <c r="D1834" t="s">
        <v>19</v>
      </c>
      <c r="E1834">
        <v>16</v>
      </c>
      <c r="F1834" t="s">
        <v>22</v>
      </c>
      <c r="G1834" t="s">
        <v>34</v>
      </c>
      <c r="H1834" s="1">
        <v>216.46</v>
      </c>
      <c r="I1834" t="s">
        <v>24</v>
      </c>
      <c r="J1834">
        <v>1</v>
      </c>
      <c r="K1834">
        <v>7</v>
      </c>
    </row>
    <row r="1835" spans="1:11" x14ac:dyDescent="0.35">
      <c r="A1835" t="s">
        <v>1872</v>
      </c>
      <c r="B1835">
        <v>45</v>
      </c>
      <c r="C1835" t="s">
        <v>12</v>
      </c>
      <c r="D1835" t="s">
        <v>19</v>
      </c>
      <c r="E1835">
        <v>14</v>
      </c>
      <c r="F1835" t="s">
        <v>31</v>
      </c>
      <c r="G1835" t="s">
        <v>37</v>
      </c>
      <c r="H1835" s="1">
        <v>164.1</v>
      </c>
      <c r="I1835" t="s">
        <v>24</v>
      </c>
      <c r="J1835">
        <v>0</v>
      </c>
      <c r="K1835">
        <v>7</v>
      </c>
    </row>
    <row r="1836" spans="1:11" x14ac:dyDescent="0.35">
      <c r="A1836" t="s">
        <v>1873</v>
      </c>
      <c r="B1836">
        <v>29</v>
      </c>
      <c r="C1836" t="s">
        <v>12</v>
      </c>
      <c r="D1836" t="s">
        <v>19</v>
      </c>
      <c r="E1836">
        <v>9</v>
      </c>
      <c r="F1836" t="s">
        <v>26</v>
      </c>
      <c r="G1836" t="s">
        <v>15</v>
      </c>
      <c r="H1836" s="1">
        <v>365.36</v>
      </c>
      <c r="I1836" t="s">
        <v>24</v>
      </c>
      <c r="J1836">
        <v>0</v>
      </c>
      <c r="K1836">
        <v>5</v>
      </c>
    </row>
    <row r="1837" spans="1:11" x14ac:dyDescent="0.35">
      <c r="A1837" t="s">
        <v>1874</v>
      </c>
      <c r="B1837">
        <v>33</v>
      </c>
      <c r="C1837" t="s">
        <v>18</v>
      </c>
      <c r="D1837" t="s">
        <v>21</v>
      </c>
      <c r="E1837">
        <v>36</v>
      </c>
      <c r="F1837" t="s">
        <v>31</v>
      </c>
      <c r="G1837" t="s">
        <v>23</v>
      </c>
      <c r="H1837" s="1">
        <v>381.58</v>
      </c>
      <c r="I1837" t="s">
        <v>24</v>
      </c>
      <c r="J1837">
        <v>0</v>
      </c>
      <c r="K1837">
        <v>3</v>
      </c>
    </row>
    <row r="1838" spans="1:11" x14ac:dyDescent="0.35">
      <c r="A1838" t="s">
        <v>1875</v>
      </c>
      <c r="B1838">
        <v>49</v>
      </c>
      <c r="C1838" t="s">
        <v>18</v>
      </c>
      <c r="D1838" t="s">
        <v>19</v>
      </c>
      <c r="E1838">
        <v>23</v>
      </c>
      <c r="F1838" t="s">
        <v>33</v>
      </c>
      <c r="G1838" t="s">
        <v>27</v>
      </c>
      <c r="H1838" s="1">
        <v>108.66</v>
      </c>
      <c r="I1838" t="s">
        <v>24</v>
      </c>
      <c r="J1838">
        <v>0</v>
      </c>
      <c r="K1838">
        <v>2</v>
      </c>
    </row>
    <row r="1839" spans="1:11" x14ac:dyDescent="0.35">
      <c r="A1839" t="s">
        <v>1876</v>
      </c>
      <c r="B1839">
        <v>21</v>
      </c>
      <c r="C1839" t="s">
        <v>18</v>
      </c>
      <c r="D1839" t="s">
        <v>13</v>
      </c>
      <c r="E1839">
        <v>10</v>
      </c>
      <c r="F1839" t="s">
        <v>33</v>
      </c>
      <c r="G1839" t="s">
        <v>23</v>
      </c>
      <c r="H1839" s="1">
        <v>197.37</v>
      </c>
      <c r="I1839" t="s">
        <v>28</v>
      </c>
      <c r="J1839">
        <v>3</v>
      </c>
      <c r="K1839">
        <v>5</v>
      </c>
    </row>
    <row r="1840" spans="1:11" x14ac:dyDescent="0.35">
      <c r="A1840" t="s">
        <v>1877</v>
      </c>
      <c r="B1840">
        <v>24</v>
      </c>
      <c r="C1840" t="s">
        <v>12</v>
      </c>
      <c r="D1840" t="s">
        <v>21</v>
      </c>
      <c r="E1840">
        <v>33</v>
      </c>
      <c r="F1840" t="s">
        <v>33</v>
      </c>
      <c r="G1840" t="s">
        <v>27</v>
      </c>
      <c r="H1840" s="1">
        <v>63.79</v>
      </c>
      <c r="I1840" t="s">
        <v>24</v>
      </c>
      <c r="J1840">
        <v>1</v>
      </c>
      <c r="K1840">
        <v>2</v>
      </c>
    </row>
    <row r="1841" spans="1:11" x14ac:dyDescent="0.35">
      <c r="A1841" t="s">
        <v>1878</v>
      </c>
      <c r="B1841">
        <v>45</v>
      </c>
      <c r="C1841" t="s">
        <v>12</v>
      </c>
      <c r="D1841" t="s">
        <v>47</v>
      </c>
      <c r="E1841">
        <v>4</v>
      </c>
      <c r="F1841" t="s">
        <v>22</v>
      </c>
      <c r="G1841" t="s">
        <v>23</v>
      </c>
      <c r="H1841" s="1">
        <v>126.36</v>
      </c>
      <c r="I1841" t="s">
        <v>28</v>
      </c>
      <c r="J1841">
        <v>0</v>
      </c>
      <c r="K1841">
        <v>7</v>
      </c>
    </row>
    <row r="1842" spans="1:11" x14ac:dyDescent="0.35">
      <c r="A1842" t="s">
        <v>1879</v>
      </c>
      <c r="B1842">
        <v>40</v>
      </c>
      <c r="C1842" t="s">
        <v>12</v>
      </c>
      <c r="D1842" t="s">
        <v>21</v>
      </c>
      <c r="E1842">
        <v>17</v>
      </c>
      <c r="F1842" t="s">
        <v>26</v>
      </c>
      <c r="G1842" t="s">
        <v>15</v>
      </c>
      <c r="H1842" s="1">
        <v>86.17</v>
      </c>
      <c r="I1842" t="s">
        <v>28</v>
      </c>
      <c r="J1842">
        <v>2</v>
      </c>
      <c r="K1842">
        <v>8</v>
      </c>
    </row>
    <row r="1843" spans="1:11" x14ac:dyDescent="0.35">
      <c r="A1843" t="s">
        <v>1880</v>
      </c>
      <c r="B1843">
        <v>62</v>
      </c>
      <c r="C1843" t="s">
        <v>12</v>
      </c>
      <c r="D1843" t="s">
        <v>21</v>
      </c>
      <c r="E1843">
        <v>20</v>
      </c>
      <c r="F1843" t="s">
        <v>14</v>
      </c>
      <c r="G1843" t="s">
        <v>15</v>
      </c>
      <c r="H1843" s="1">
        <v>0</v>
      </c>
      <c r="I1843" t="s">
        <v>16</v>
      </c>
      <c r="J1843">
        <v>2</v>
      </c>
      <c r="K1843">
        <v>5</v>
      </c>
    </row>
    <row r="1844" spans="1:11" x14ac:dyDescent="0.35">
      <c r="A1844" t="s">
        <v>1881</v>
      </c>
      <c r="B1844">
        <v>30</v>
      </c>
      <c r="C1844" t="s">
        <v>12</v>
      </c>
      <c r="D1844" t="s">
        <v>41</v>
      </c>
      <c r="E1844">
        <v>11</v>
      </c>
      <c r="F1844" t="s">
        <v>26</v>
      </c>
      <c r="G1844" t="s">
        <v>23</v>
      </c>
      <c r="H1844" s="1">
        <v>213.05</v>
      </c>
      <c r="I1844" t="s">
        <v>24</v>
      </c>
      <c r="J1844">
        <v>1</v>
      </c>
      <c r="K1844">
        <v>6</v>
      </c>
    </row>
    <row r="1845" spans="1:11" x14ac:dyDescent="0.35">
      <c r="A1845" t="s">
        <v>1882</v>
      </c>
      <c r="B1845">
        <v>50</v>
      </c>
      <c r="C1845" t="s">
        <v>12</v>
      </c>
      <c r="D1845" t="s">
        <v>19</v>
      </c>
      <c r="E1845">
        <v>14</v>
      </c>
      <c r="F1845" t="s">
        <v>22</v>
      </c>
      <c r="G1845" t="s">
        <v>15</v>
      </c>
      <c r="H1845" s="1">
        <v>389.73</v>
      </c>
      <c r="I1845" t="s">
        <v>43</v>
      </c>
      <c r="J1845">
        <v>0</v>
      </c>
      <c r="K1845">
        <v>4</v>
      </c>
    </row>
    <row r="1846" spans="1:11" x14ac:dyDescent="0.35">
      <c r="A1846" t="s">
        <v>1883</v>
      </c>
      <c r="B1846">
        <v>61</v>
      </c>
      <c r="C1846" t="s">
        <v>12</v>
      </c>
      <c r="D1846" t="s">
        <v>30</v>
      </c>
      <c r="E1846">
        <v>6</v>
      </c>
      <c r="F1846" t="s">
        <v>26</v>
      </c>
      <c r="G1846" t="s">
        <v>34</v>
      </c>
      <c r="H1846" s="1">
        <v>97.51</v>
      </c>
      <c r="I1846" t="s">
        <v>24</v>
      </c>
      <c r="J1846">
        <v>0</v>
      </c>
      <c r="K1846">
        <v>8</v>
      </c>
    </row>
    <row r="1847" spans="1:11" x14ac:dyDescent="0.35">
      <c r="A1847" t="s">
        <v>1884</v>
      </c>
      <c r="B1847">
        <v>61</v>
      </c>
      <c r="C1847" t="s">
        <v>18</v>
      </c>
      <c r="D1847" t="s">
        <v>13</v>
      </c>
      <c r="E1847">
        <v>17</v>
      </c>
      <c r="F1847" t="s">
        <v>31</v>
      </c>
      <c r="G1847" t="s">
        <v>23</v>
      </c>
      <c r="H1847" s="1">
        <v>256.10000000000002</v>
      </c>
      <c r="I1847" t="s">
        <v>24</v>
      </c>
      <c r="J1847">
        <v>1</v>
      </c>
      <c r="K1847">
        <v>5</v>
      </c>
    </row>
    <row r="1848" spans="1:11" x14ac:dyDescent="0.35">
      <c r="A1848" t="s">
        <v>1885</v>
      </c>
      <c r="B1848">
        <v>37</v>
      </c>
      <c r="C1848" t="s">
        <v>12</v>
      </c>
      <c r="D1848" t="s">
        <v>120</v>
      </c>
      <c r="E1848">
        <v>41</v>
      </c>
      <c r="F1848" t="s">
        <v>33</v>
      </c>
      <c r="G1848" t="s">
        <v>37</v>
      </c>
      <c r="H1848" s="1">
        <v>114.54</v>
      </c>
      <c r="I1848" t="s">
        <v>24</v>
      </c>
      <c r="J1848">
        <v>3</v>
      </c>
      <c r="K1848">
        <v>4</v>
      </c>
    </row>
    <row r="1849" spans="1:11" x14ac:dyDescent="0.35">
      <c r="A1849" t="s">
        <v>1886</v>
      </c>
      <c r="B1849">
        <v>43</v>
      </c>
      <c r="C1849" t="s">
        <v>12</v>
      </c>
      <c r="D1849" t="s">
        <v>47</v>
      </c>
      <c r="E1849">
        <v>9</v>
      </c>
      <c r="F1849" t="s">
        <v>22</v>
      </c>
      <c r="G1849" t="s">
        <v>34</v>
      </c>
      <c r="H1849" s="1">
        <v>201.37</v>
      </c>
      <c r="I1849" t="s">
        <v>43</v>
      </c>
      <c r="J1849">
        <v>2</v>
      </c>
      <c r="K1849">
        <v>6</v>
      </c>
    </row>
    <row r="1850" spans="1:11" x14ac:dyDescent="0.35">
      <c r="A1850" t="s">
        <v>1887</v>
      </c>
      <c r="B1850">
        <v>60</v>
      </c>
      <c r="C1850" t="s">
        <v>12</v>
      </c>
      <c r="D1850" t="s">
        <v>19</v>
      </c>
      <c r="E1850">
        <v>13</v>
      </c>
      <c r="F1850" t="s">
        <v>33</v>
      </c>
      <c r="G1850" t="s">
        <v>23</v>
      </c>
      <c r="H1850" s="1">
        <v>326.5</v>
      </c>
      <c r="I1850" t="s">
        <v>24</v>
      </c>
      <c r="J1850">
        <v>3</v>
      </c>
      <c r="K1850">
        <v>4</v>
      </c>
    </row>
    <row r="1851" spans="1:11" x14ac:dyDescent="0.35">
      <c r="A1851" t="s">
        <v>1888</v>
      </c>
      <c r="B1851">
        <v>83</v>
      </c>
      <c r="C1851" t="s">
        <v>18</v>
      </c>
      <c r="D1851" t="s">
        <v>13</v>
      </c>
      <c r="E1851">
        <v>17</v>
      </c>
      <c r="F1851" t="s">
        <v>22</v>
      </c>
      <c r="G1851" t="s">
        <v>37</v>
      </c>
      <c r="H1851" s="1">
        <v>128.88</v>
      </c>
      <c r="I1851" t="s">
        <v>28</v>
      </c>
      <c r="J1851">
        <v>1</v>
      </c>
      <c r="K1851">
        <v>5</v>
      </c>
    </row>
    <row r="1852" spans="1:11" x14ac:dyDescent="0.35">
      <c r="A1852" t="s">
        <v>1889</v>
      </c>
      <c r="B1852">
        <v>83</v>
      </c>
      <c r="C1852" t="s">
        <v>18</v>
      </c>
      <c r="D1852" t="s">
        <v>19</v>
      </c>
      <c r="E1852">
        <v>17</v>
      </c>
      <c r="F1852" t="s">
        <v>33</v>
      </c>
      <c r="G1852" t="s">
        <v>34</v>
      </c>
      <c r="H1852" s="1">
        <v>218.5</v>
      </c>
      <c r="I1852" t="s">
        <v>28</v>
      </c>
      <c r="J1852">
        <v>3</v>
      </c>
      <c r="K1852">
        <v>6</v>
      </c>
    </row>
    <row r="1853" spans="1:11" x14ac:dyDescent="0.35">
      <c r="A1853" t="s">
        <v>1890</v>
      </c>
      <c r="B1853">
        <v>58</v>
      </c>
      <c r="C1853" t="s">
        <v>12</v>
      </c>
      <c r="D1853" t="s">
        <v>19</v>
      </c>
      <c r="E1853">
        <v>21</v>
      </c>
      <c r="F1853" t="s">
        <v>31</v>
      </c>
      <c r="G1853" t="s">
        <v>34</v>
      </c>
      <c r="H1853" s="1">
        <v>142.91999999999999</v>
      </c>
      <c r="I1853" t="s">
        <v>24</v>
      </c>
      <c r="J1853">
        <v>2</v>
      </c>
      <c r="K1853">
        <v>3</v>
      </c>
    </row>
    <row r="1854" spans="1:11" x14ac:dyDescent="0.35">
      <c r="A1854" t="s">
        <v>1891</v>
      </c>
      <c r="B1854">
        <v>67</v>
      </c>
      <c r="C1854" t="s">
        <v>12</v>
      </c>
      <c r="D1854" t="s">
        <v>30</v>
      </c>
      <c r="E1854">
        <v>3</v>
      </c>
      <c r="F1854" t="s">
        <v>26</v>
      </c>
      <c r="G1854" t="s">
        <v>27</v>
      </c>
      <c r="H1854" s="1">
        <v>40.54</v>
      </c>
      <c r="I1854" t="s">
        <v>24</v>
      </c>
      <c r="J1854">
        <v>0</v>
      </c>
      <c r="K1854">
        <v>8</v>
      </c>
    </row>
    <row r="1855" spans="1:11" x14ac:dyDescent="0.35">
      <c r="A1855" t="s">
        <v>1892</v>
      </c>
      <c r="B1855">
        <v>36</v>
      </c>
      <c r="C1855" t="s">
        <v>18</v>
      </c>
      <c r="D1855" t="s">
        <v>19</v>
      </c>
      <c r="E1855">
        <v>10</v>
      </c>
      <c r="F1855" t="s">
        <v>22</v>
      </c>
      <c r="G1855" t="s">
        <v>34</v>
      </c>
      <c r="H1855" s="1">
        <v>164.07</v>
      </c>
      <c r="I1855" t="s">
        <v>28</v>
      </c>
      <c r="J1855">
        <v>1</v>
      </c>
      <c r="K1855">
        <v>6</v>
      </c>
    </row>
    <row r="1856" spans="1:11" x14ac:dyDescent="0.35">
      <c r="A1856" t="s">
        <v>1893</v>
      </c>
      <c r="B1856">
        <v>45</v>
      </c>
      <c r="C1856" t="s">
        <v>12</v>
      </c>
      <c r="D1856" t="s">
        <v>21</v>
      </c>
      <c r="E1856">
        <v>22</v>
      </c>
      <c r="F1856" t="s">
        <v>33</v>
      </c>
      <c r="G1856" t="s">
        <v>34</v>
      </c>
      <c r="H1856" s="1">
        <v>129.77000000000001</v>
      </c>
      <c r="I1856" t="s">
        <v>24</v>
      </c>
      <c r="J1856">
        <v>1</v>
      </c>
      <c r="K1856">
        <v>2</v>
      </c>
    </row>
    <row r="1857" spans="1:11" x14ac:dyDescent="0.35">
      <c r="A1857" t="s">
        <v>1894</v>
      </c>
      <c r="B1857">
        <v>67</v>
      </c>
      <c r="C1857" t="s">
        <v>12</v>
      </c>
      <c r="D1857" t="s">
        <v>30</v>
      </c>
      <c r="E1857">
        <v>8</v>
      </c>
      <c r="F1857" t="s">
        <v>22</v>
      </c>
      <c r="G1857" t="s">
        <v>23</v>
      </c>
      <c r="H1857" s="1">
        <v>73.510000000000005</v>
      </c>
      <c r="I1857" t="s">
        <v>24</v>
      </c>
      <c r="J1857">
        <v>0</v>
      </c>
      <c r="K1857">
        <v>8</v>
      </c>
    </row>
    <row r="1858" spans="1:11" x14ac:dyDescent="0.35">
      <c r="A1858" t="s">
        <v>1895</v>
      </c>
      <c r="B1858">
        <v>45</v>
      </c>
      <c r="C1858" t="s">
        <v>18</v>
      </c>
      <c r="D1858" t="s">
        <v>19</v>
      </c>
      <c r="E1858">
        <v>15</v>
      </c>
      <c r="F1858" t="s">
        <v>22</v>
      </c>
      <c r="G1858" t="s">
        <v>27</v>
      </c>
      <c r="H1858" s="1">
        <v>114.16</v>
      </c>
      <c r="I1858" t="s">
        <v>43</v>
      </c>
      <c r="J1858">
        <v>3</v>
      </c>
      <c r="K1858">
        <v>4</v>
      </c>
    </row>
    <row r="1859" spans="1:11" x14ac:dyDescent="0.35">
      <c r="A1859" t="s">
        <v>1896</v>
      </c>
      <c r="B1859">
        <v>63</v>
      </c>
      <c r="C1859" t="s">
        <v>12</v>
      </c>
      <c r="D1859" t="s">
        <v>19</v>
      </c>
      <c r="E1859">
        <v>19</v>
      </c>
      <c r="F1859" t="s">
        <v>33</v>
      </c>
      <c r="G1859" t="s">
        <v>27</v>
      </c>
      <c r="H1859" s="1">
        <v>132.18</v>
      </c>
      <c r="I1859" t="s">
        <v>24</v>
      </c>
      <c r="J1859">
        <v>1</v>
      </c>
      <c r="K1859">
        <v>1</v>
      </c>
    </row>
    <row r="1860" spans="1:11" x14ac:dyDescent="0.35">
      <c r="A1860" t="s">
        <v>1897</v>
      </c>
      <c r="B1860">
        <v>81</v>
      </c>
      <c r="C1860" t="s">
        <v>12</v>
      </c>
      <c r="D1860" t="s">
        <v>13</v>
      </c>
      <c r="E1860">
        <v>18</v>
      </c>
      <c r="F1860" t="s">
        <v>31</v>
      </c>
      <c r="G1860" t="s">
        <v>27</v>
      </c>
      <c r="H1860" s="1">
        <v>98.95</v>
      </c>
      <c r="I1860" t="s">
        <v>24</v>
      </c>
      <c r="J1860">
        <v>0</v>
      </c>
      <c r="K1860">
        <v>6</v>
      </c>
    </row>
    <row r="1861" spans="1:11" x14ac:dyDescent="0.35">
      <c r="A1861" t="s">
        <v>1898</v>
      </c>
      <c r="B1861">
        <v>80</v>
      </c>
      <c r="C1861" t="s">
        <v>12</v>
      </c>
      <c r="D1861" t="s">
        <v>19</v>
      </c>
      <c r="E1861">
        <v>20</v>
      </c>
      <c r="F1861" t="s">
        <v>33</v>
      </c>
      <c r="G1861" t="s">
        <v>15</v>
      </c>
      <c r="H1861" s="1">
        <v>341.63</v>
      </c>
      <c r="I1861" t="s">
        <v>28</v>
      </c>
      <c r="J1861">
        <v>3</v>
      </c>
      <c r="K1861">
        <v>3</v>
      </c>
    </row>
    <row r="1862" spans="1:11" x14ac:dyDescent="0.35">
      <c r="A1862" t="s">
        <v>1899</v>
      </c>
      <c r="B1862">
        <v>75</v>
      </c>
      <c r="C1862" t="s">
        <v>18</v>
      </c>
      <c r="D1862" t="s">
        <v>21</v>
      </c>
      <c r="E1862">
        <v>32</v>
      </c>
      <c r="F1862" t="s">
        <v>22</v>
      </c>
      <c r="G1862" t="s">
        <v>23</v>
      </c>
      <c r="H1862" s="1">
        <v>414.83</v>
      </c>
      <c r="I1862" t="s">
        <v>24</v>
      </c>
      <c r="J1862">
        <v>1</v>
      </c>
      <c r="K1862">
        <v>2</v>
      </c>
    </row>
    <row r="1863" spans="1:11" x14ac:dyDescent="0.35">
      <c r="A1863" t="s">
        <v>1900</v>
      </c>
      <c r="B1863">
        <v>39</v>
      </c>
      <c r="C1863" t="s">
        <v>12</v>
      </c>
      <c r="D1863" t="s">
        <v>47</v>
      </c>
      <c r="E1863">
        <v>11</v>
      </c>
      <c r="F1863" t="s">
        <v>33</v>
      </c>
      <c r="G1863" t="s">
        <v>15</v>
      </c>
      <c r="H1863" s="1">
        <v>376.48</v>
      </c>
      <c r="I1863" t="s">
        <v>24</v>
      </c>
      <c r="J1863">
        <v>0</v>
      </c>
      <c r="K1863">
        <v>6</v>
      </c>
    </row>
    <row r="1864" spans="1:11" x14ac:dyDescent="0.35">
      <c r="A1864" t="s">
        <v>1901</v>
      </c>
      <c r="B1864">
        <v>84</v>
      </c>
      <c r="C1864" t="s">
        <v>12</v>
      </c>
      <c r="D1864" t="s">
        <v>19</v>
      </c>
      <c r="E1864">
        <v>23</v>
      </c>
      <c r="F1864" t="s">
        <v>26</v>
      </c>
      <c r="G1864" t="s">
        <v>34</v>
      </c>
      <c r="H1864" s="1">
        <v>121.05</v>
      </c>
      <c r="I1864" t="s">
        <v>24</v>
      </c>
      <c r="J1864">
        <v>1</v>
      </c>
      <c r="K1864">
        <v>4</v>
      </c>
    </row>
    <row r="1865" spans="1:11" x14ac:dyDescent="0.35">
      <c r="A1865" t="s">
        <v>1902</v>
      </c>
      <c r="B1865">
        <v>78</v>
      </c>
      <c r="C1865" t="s">
        <v>18</v>
      </c>
      <c r="D1865" t="s">
        <v>13</v>
      </c>
      <c r="E1865">
        <v>23</v>
      </c>
      <c r="F1865" t="s">
        <v>14</v>
      </c>
      <c r="G1865" t="s">
        <v>34</v>
      </c>
      <c r="H1865" s="1">
        <v>0</v>
      </c>
      <c r="I1865" t="s">
        <v>16</v>
      </c>
      <c r="J1865">
        <v>3</v>
      </c>
      <c r="K1865">
        <v>4</v>
      </c>
    </row>
    <row r="1866" spans="1:11" x14ac:dyDescent="0.35">
      <c r="A1866" t="s">
        <v>1903</v>
      </c>
      <c r="B1866">
        <v>35</v>
      </c>
      <c r="C1866" t="s">
        <v>18</v>
      </c>
      <c r="D1866" t="s">
        <v>120</v>
      </c>
      <c r="E1866">
        <v>38</v>
      </c>
      <c r="F1866" t="s">
        <v>33</v>
      </c>
      <c r="G1866" t="s">
        <v>37</v>
      </c>
      <c r="H1866" s="1">
        <v>207.27</v>
      </c>
      <c r="I1866" t="s">
        <v>24</v>
      </c>
      <c r="J1866">
        <v>3</v>
      </c>
      <c r="K1866">
        <v>5</v>
      </c>
    </row>
    <row r="1867" spans="1:11" x14ac:dyDescent="0.35">
      <c r="A1867" t="s">
        <v>1904</v>
      </c>
      <c r="B1867">
        <v>71</v>
      </c>
      <c r="C1867" t="s">
        <v>12</v>
      </c>
      <c r="D1867" t="s">
        <v>30</v>
      </c>
      <c r="E1867">
        <v>2</v>
      </c>
      <c r="F1867" t="s">
        <v>31</v>
      </c>
      <c r="G1867" t="s">
        <v>27</v>
      </c>
      <c r="H1867" s="1">
        <v>25.07</v>
      </c>
      <c r="I1867" t="s">
        <v>24</v>
      </c>
      <c r="J1867">
        <v>0</v>
      </c>
      <c r="K1867">
        <v>9</v>
      </c>
    </row>
    <row r="1868" spans="1:11" x14ac:dyDescent="0.35">
      <c r="A1868" t="s">
        <v>1905</v>
      </c>
      <c r="B1868">
        <v>51</v>
      </c>
      <c r="C1868" t="s">
        <v>12</v>
      </c>
      <c r="D1868" t="s">
        <v>47</v>
      </c>
      <c r="E1868">
        <v>13</v>
      </c>
      <c r="F1868" t="s">
        <v>33</v>
      </c>
      <c r="G1868" t="s">
        <v>15</v>
      </c>
      <c r="H1868" s="1">
        <v>433.08</v>
      </c>
      <c r="I1868" t="s">
        <v>24</v>
      </c>
      <c r="J1868">
        <v>0</v>
      </c>
      <c r="K1868">
        <v>6</v>
      </c>
    </row>
    <row r="1869" spans="1:11" x14ac:dyDescent="0.35">
      <c r="A1869" t="s">
        <v>1906</v>
      </c>
      <c r="B1869">
        <v>50</v>
      </c>
      <c r="C1869" t="s">
        <v>12</v>
      </c>
      <c r="D1869" t="s">
        <v>21</v>
      </c>
      <c r="E1869">
        <v>43</v>
      </c>
      <c r="F1869" t="s">
        <v>26</v>
      </c>
      <c r="G1869" t="s">
        <v>27</v>
      </c>
      <c r="H1869" s="1">
        <v>89.98</v>
      </c>
      <c r="I1869" t="s">
        <v>24</v>
      </c>
      <c r="J1869">
        <v>2</v>
      </c>
      <c r="K1869">
        <v>3</v>
      </c>
    </row>
    <row r="1870" spans="1:11" x14ac:dyDescent="0.35">
      <c r="A1870" t="s">
        <v>1907</v>
      </c>
      <c r="B1870">
        <v>52</v>
      </c>
      <c r="C1870" t="s">
        <v>12</v>
      </c>
      <c r="D1870" t="s">
        <v>30</v>
      </c>
      <c r="E1870">
        <v>4</v>
      </c>
      <c r="F1870" t="s">
        <v>31</v>
      </c>
      <c r="G1870" t="s">
        <v>34</v>
      </c>
      <c r="H1870" s="1">
        <v>153.53</v>
      </c>
      <c r="I1870" t="s">
        <v>24</v>
      </c>
      <c r="J1870">
        <v>2</v>
      </c>
      <c r="K1870">
        <v>10</v>
      </c>
    </row>
    <row r="1871" spans="1:11" x14ac:dyDescent="0.35">
      <c r="A1871" t="s">
        <v>1908</v>
      </c>
      <c r="B1871">
        <v>54</v>
      </c>
      <c r="C1871" t="s">
        <v>12</v>
      </c>
      <c r="D1871" t="s">
        <v>120</v>
      </c>
      <c r="E1871">
        <v>26</v>
      </c>
      <c r="F1871" t="s">
        <v>22</v>
      </c>
      <c r="G1871" t="s">
        <v>37</v>
      </c>
      <c r="H1871" s="1">
        <v>217.46</v>
      </c>
      <c r="I1871" t="s">
        <v>24</v>
      </c>
      <c r="J1871">
        <v>2</v>
      </c>
      <c r="K1871">
        <v>4</v>
      </c>
    </row>
    <row r="1872" spans="1:11" x14ac:dyDescent="0.35">
      <c r="A1872" t="s">
        <v>1909</v>
      </c>
      <c r="B1872">
        <v>27</v>
      </c>
      <c r="C1872" t="s">
        <v>528</v>
      </c>
      <c r="D1872" t="s">
        <v>19</v>
      </c>
      <c r="E1872">
        <v>14</v>
      </c>
      <c r="F1872" t="s">
        <v>22</v>
      </c>
      <c r="G1872" t="s">
        <v>34</v>
      </c>
      <c r="H1872" s="1">
        <v>127.27</v>
      </c>
      <c r="I1872" t="s">
        <v>24</v>
      </c>
      <c r="J1872">
        <v>1</v>
      </c>
      <c r="K1872">
        <v>8</v>
      </c>
    </row>
    <row r="1873" spans="1:11" x14ac:dyDescent="0.35">
      <c r="A1873" t="s">
        <v>1910</v>
      </c>
      <c r="B1873">
        <v>81</v>
      </c>
      <c r="C1873" t="s">
        <v>12</v>
      </c>
      <c r="D1873" t="s">
        <v>19</v>
      </c>
      <c r="E1873">
        <v>21</v>
      </c>
      <c r="F1873" t="s">
        <v>22</v>
      </c>
      <c r="G1873" t="s">
        <v>34</v>
      </c>
      <c r="H1873" s="1">
        <v>146.94</v>
      </c>
      <c r="I1873" t="s">
        <v>43</v>
      </c>
      <c r="J1873">
        <v>2</v>
      </c>
      <c r="K1873">
        <v>5</v>
      </c>
    </row>
    <row r="1874" spans="1:11" x14ac:dyDescent="0.35">
      <c r="A1874" t="s">
        <v>1911</v>
      </c>
      <c r="B1874">
        <v>26</v>
      </c>
      <c r="C1874" t="s">
        <v>18</v>
      </c>
      <c r="D1874" t="s">
        <v>21</v>
      </c>
      <c r="E1874">
        <v>39</v>
      </c>
      <c r="F1874" t="s">
        <v>14</v>
      </c>
      <c r="G1874" t="s">
        <v>27</v>
      </c>
      <c r="H1874" s="1">
        <v>0</v>
      </c>
      <c r="I1874" t="s">
        <v>16</v>
      </c>
      <c r="J1874">
        <v>0</v>
      </c>
      <c r="K1874">
        <v>3</v>
      </c>
    </row>
    <row r="1875" spans="1:11" x14ac:dyDescent="0.35">
      <c r="A1875" t="s">
        <v>1912</v>
      </c>
      <c r="B1875">
        <v>25</v>
      </c>
      <c r="C1875" t="s">
        <v>18</v>
      </c>
      <c r="D1875" t="s">
        <v>21</v>
      </c>
      <c r="E1875">
        <v>41</v>
      </c>
      <c r="F1875" t="s">
        <v>33</v>
      </c>
      <c r="G1875" t="s">
        <v>27</v>
      </c>
      <c r="H1875" s="1">
        <v>50.31</v>
      </c>
      <c r="I1875" t="s">
        <v>24</v>
      </c>
      <c r="J1875">
        <v>2</v>
      </c>
      <c r="K1875">
        <v>5</v>
      </c>
    </row>
    <row r="1876" spans="1:11" x14ac:dyDescent="0.35">
      <c r="A1876" t="s">
        <v>1913</v>
      </c>
      <c r="B1876">
        <v>47</v>
      </c>
      <c r="C1876" t="s">
        <v>18</v>
      </c>
      <c r="D1876" t="s">
        <v>19</v>
      </c>
      <c r="E1876">
        <v>6</v>
      </c>
      <c r="F1876" t="s">
        <v>33</v>
      </c>
      <c r="G1876" t="s">
        <v>15</v>
      </c>
      <c r="H1876" s="1">
        <v>341.76</v>
      </c>
      <c r="I1876" t="s">
        <v>24</v>
      </c>
      <c r="J1876">
        <v>0</v>
      </c>
      <c r="K1876">
        <v>9</v>
      </c>
    </row>
    <row r="1877" spans="1:11" x14ac:dyDescent="0.35">
      <c r="A1877" t="s">
        <v>1914</v>
      </c>
      <c r="B1877">
        <v>22</v>
      </c>
      <c r="C1877" t="s">
        <v>12</v>
      </c>
      <c r="D1877" t="s">
        <v>19</v>
      </c>
      <c r="E1877">
        <v>10</v>
      </c>
      <c r="F1877" t="s">
        <v>31</v>
      </c>
      <c r="G1877" t="s">
        <v>15</v>
      </c>
      <c r="H1877" s="1">
        <v>261.04000000000002</v>
      </c>
      <c r="I1877" t="s">
        <v>24</v>
      </c>
      <c r="J1877">
        <v>0</v>
      </c>
      <c r="K1877">
        <v>8</v>
      </c>
    </row>
    <row r="1878" spans="1:11" x14ac:dyDescent="0.35">
      <c r="A1878" t="s">
        <v>1915</v>
      </c>
      <c r="B1878">
        <v>40</v>
      </c>
      <c r="C1878" t="s">
        <v>12</v>
      </c>
      <c r="D1878" t="s">
        <v>19</v>
      </c>
      <c r="E1878">
        <v>20</v>
      </c>
      <c r="F1878" t="s">
        <v>22</v>
      </c>
      <c r="G1878" t="s">
        <v>27</v>
      </c>
      <c r="H1878" s="1">
        <v>26.98</v>
      </c>
      <c r="I1878" t="s">
        <v>24</v>
      </c>
      <c r="J1878">
        <v>1</v>
      </c>
      <c r="K1878">
        <v>1</v>
      </c>
    </row>
    <row r="1879" spans="1:11" x14ac:dyDescent="0.35">
      <c r="A1879" t="s">
        <v>1916</v>
      </c>
      <c r="B1879">
        <v>41</v>
      </c>
      <c r="C1879" t="s">
        <v>18</v>
      </c>
      <c r="D1879" t="s">
        <v>19</v>
      </c>
      <c r="E1879">
        <v>20</v>
      </c>
      <c r="F1879" t="s">
        <v>26</v>
      </c>
      <c r="G1879" t="s">
        <v>15</v>
      </c>
      <c r="H1879" s="1">
        <v>167.86</v>
      </c>
      <c r="I1879" t="s">
        <v>24</v>
      </c>
      <c r="J1879">
        <v>1</v>
      </c>
      <c r="K1879">
        <v>2</v>
      </c>
    </row>
    <row r="1880" spans="1:11" x14ac:dyDescent="0.35">
      <c r="A1880" t="s">
        <v>1917</v>
      </c>
      <c r="B1880">
        <v>39</v>
      </c>
      <c r="C1880" t="s">
        <v>18</v>
      </c>
      <c r="D1880" t="s">
        <v>19</v>
      </c>
      <c r="E1880">
        <v>20</v>
      </c>
      <c r="F1880" t="s">
        <v>14</v>
      </c>
      <c r="G1880" t="s">
        <v>27</v>
      </c>
      <c r="H1880" s="1">
        <v>0</v>
      </c>
      <c r="I1880" t="s">
        <v>16</v>
      </c>
      <c r="J1880">
        <v>2</v>
      </c>
      <c r="K1880">
        <v>2</v>
      </c>
    </row>
    <row r="1881" spans="1:11" x14ac:dyDescent="0.35">
      <c r="A1881" t="s">
        <v>1918</v>
      </c>
      <c r="B1881">
        <v>34</v>
      </c>
      <c r="C1881" t="s">
        <v>12</v>
      </c>
      <c r="D1881" t="s">
        <v>21</v>
      </c>
      <c r="E1881">
        <v>47</v>
      </c>
      <c r="F1881" t="s">
        <v>22</v>
      </c>
      <c r="G1881" t="s">
        <v>34</v>
      </c>
      <c r="H1881" s="1">
        <v>100.35</v>
      </c>
      <c r="I1881" t="s">
        <v>24</v>
      </c>
      <c r="J1881">
        <v>2</v>
      </c>
      <c r="K1881">
        <v>4</v>
      </c>
    </row>
    <row r="1882" spans="1:11" x14ac:dyDescent="0.35">
      <c r="A1882" t="s">
        <v>1919</v>
      </c>
      <c r="B1882">
        <v>79</v>
      </c>
      <c r="C1882" t="s">
        <v>18</v>
      </c>
      <c r="D1882" t="s">
        <v>21</v>
      </c>
      <c r="E1882">
        <v>29</v>
      </c>
      <c r="F1882" t="s">
        <v>31</v>
      </c>
      <c r="G1882" t="s">
        <v>15</v>
      </c>
      <c r="H1882" s="1">
        <v>248.97</v>
      </c>
      <c r="I1882" t="s">
        <v>24</v>
      </c>
      <c r="J1882">
        <v>3</v>
      </c>
      <c r="K1882">
        <v>4</v>
      </c>
    </row>
    <row r="1883" spans="1:11" x14ac:dyDescent="0.35">
      <c r="A1883" t="s">
        <v>1920</v>
      </c>
      <c r="B1883">
        <v>24</v>
      </c>
      <c r="C1883" t="s">
        <v>12</v>
      </c>
      <c r="D1883" t="s">
        <v>21</v>
      </c>
      <c r="E1883">
        <v>27</v>
      </c>
      <c r="F1883" t="s">
        <v>14</v>
      </c>
      <c r="G1883" t="s">
        <v>23</v>
      </c>
      <c r="H1883" s="1">
        <v>0</v>
      </c>
      <c r="I1883" t="s">
        <v>16</v>
      </c>
      <c r="J1883">
        <v>2</v>
      </c>
      <c r="K1883">
        <v>3</v>
      </c>
    </row>
    <row r="1884" spans="1:11" x14ac:dyDescent="0.35">
      <c r="A1884" t="s">
        <v>1921</v>
      </c>
      <c r="B1884">
        <v>32</v>
      </c>
      <c r="C1884" t="s">
        <v>12</v>
      </c>
      <c r="D1884" t="s">
        <v>13</v>
      </c>
      <c r="E1884">
        <v>11</v>
      </c>
      <c r="F1884" t="s">
        <v>22</v>
      </c>
      <c r="G1884" t="s">
        <v>23</v>
      </c>
      <c r="H1884" s="1">
        <v>510.08</v>
      </c>
      <c r="I1884" t="s">
        <v>28</v>
      </c>
      <c r="J1884">
        <v>1</v>
      </c>
      <c r="K1884">
        <v>8</v>
      </c>
    </row>
    <row r="1885" spans="1:11" x14ac:dyDescent="0.35">
      <c r="A1885" t="s">
        <v>1922</v>
      </c>
      <c r="B1885">
        <v>51</v>
      </c>
      <c r="C1885" t="s">
        <v>12</v>
      </c>
      <c r="D1885" t="s">
        <v>21</v>
      </c>
      <c r="E1885">
        <v>42</v>
      </c>
      <c r="F1885" t="s">
        <v>33</v>
      </c>
      <c r="G1885" t="s">
        <v>27</v>
      </c>
      <c r="H1885" s="1">
        <v>128.76</v>
      </c>
      <c r="I1885" t="s">
        <v>24</v>
      </c>
      <c r="J1885">
        <v>2</v>
      </c>
      <c r="K1885">
        <v>3</v>
      </c>
    </row>
    <row r="1886" spans="1:11" x14ac:dyDescent="0.35">
      <c r="A1886" t="s">
        <v>1923</v>
      </c>
      <c r="B1886">
        <v>75</v>
      </c>
      <c r="C1886" t="s">
        <v>12</v>
      </c>
      <c r="D1886" t="s">
        <v>47</v>
      </c>
      <c r="E1886">
        <v>5</v>
      </c>
      <c r="F1886" t="s">
        <v>22</v>
      </c>
      <c r="G1886" t="s">
        <v>15</v>
      </c>
      <c r="H1886" s="1">
        <v>168.64</v>
      </c>
      <c r="I1886" t="s">
        <v>24</v>
      </c>
      <c r="J1886">
        <v>0</v>
      </c>
      <c r="K1886">
        <v>7</v>
      </c>
    </row>
    <row r="1887" spans="1:11" x14ac:dyDescent="0.35">
      <c r="A1887" t="s">
        <v>1924</v>
      </c>
      <c r="B1887">
        <v>62</v>
      </c>
      <c r="C1887" t="s">
        <v>18</v>
      </c>
      <c r="D1887" t="s">
        <v>41</v>
      </c>
      <c r="E1887">
        <v>3</v>
      </c>
      <c r="F1887" t="s">
        <v>33</v>
      </c>
      <c r="G1887" t="s">
        <v>23</v>
      </c>
      <c r="H1887" s="1">
        <v>140.31</v>
      </c>
      <c r="I1887" t="s">
        <v>28</v>
      </c>
      <c r="J1887">
        <v>1</v>
      </c>
      <c r="K1887">
        <v>9</v>
      </c>
    </row>
    <row r="1888" spans="1:11" x14ac:dyDescent="0.35">
      <c r="A1888" t="s">
        <v>1925</v>
      </c>
      <c r="B1888">
        <v>25</v>
      </c>
      <c r="C1888" t="s">
        <v>18</v>
      </c>
      <c r="D1888" t="s">
        <v>30</v>
      </c>
      <c r="E1888">
        <v>10</v>
      </c>
      <c r="F1888" t="s">
        <v>22</v>
      </c>
      <c r="G1888" t="s">
        <v>37</v>
      </c>
      <c r="H1888" s="1">
        <v>143.69999999999999</v>
      </c>
      <c r="I1888" t="s">
        <v>24</v>
      </c>
      <c r="J1888">
        <v>0</v>
      </c>
      <c r="K1888">
        <v>6</v>
      </c>
    </row>
    <row r="1889" spans="1:11" x14ac:dyDescent="0.35">
      <c r="A1889" t="s">
        <v>1926</v>
      </c>
      <c r="B1889">
        <v>24</v>
      </c>
      <c r="C1889" t="s">
        <v>18</v>
      </c>
      <c r="D1889" t="s">
        <v>19</v>
      </c>
      <c r="E1889">
        <v>18</v>
      </c>
      <c r="F1889" t="s">
        <v>22</v>
      </c>
      <c r="G1889" t="s">
        <v>27</v>
      </c>
      <c r="H1889" s="1">
        <v>68.459999999999994</v>
      </c>
      <c r="I1889" t="s">
        <v>43</v>
      </c>
      <c r="J1889">
        <v>0</v>
      </c>
      <c r="K1889">
        <v>7</v>
      </c>
    </row>
    <row r="1890" spans="1:11" x14ac:dyDescent="0.35">
      <c r="A1890" t="s">
        <v>1927</v>
      </c>
      <c r="B1890">
        <v>48</v>
      </c>
      <c r="C1890" t="s">
        <v>12</v>
      </c>
      <c r="D1890" t="s">
        <v>21</v>
      </c>
      <c r="E1890">
        <v>27</v>
      </c>
      <c r="F1890" t="s">
        <v>31</v>
      </c>
      <c r="G1890" t="s">
        <v>37</v>
      </c>
      <c r="H1890" s="1">
        <v>94.48</v>
      </c>
      <c r="I1890" t="s">
        <v>24</v>
      </c>
      <c r="J1890">
        <v>2</v>
      </c>
      <c r="K1890">
        <v>3</v>
      </c>
    </row>
    <row r="1891" spans="1:11" x14ac:dyDescent="0.35">
      <c r="A1891" t="s">
        <v>1928</v>
      </c>
      <c r="B1891">
        <v>30</v>
      </c>
      <c r="C1891" t="s">
        <v>18</v>
      </c>
      <c r="D1891" t="s">
        <v>41</v>
      </c>
      <c r="E1891">
        <v>3</v>
      </c>
      <c r="F1891" t="s">
        <v>26</v>
      </c>
      <c r="G1891" t="s">
        <v>27</v>
      </c>
      <c r="H1891" s="1">
        <v>103.51</v>
      </c>
      <c r="I1891" t="s">
        <v>24</v>
      </c>
      <c r="J1891">
        <v>1</v>
      </c>
      <c r="K1891">
        <v>9</v>
      </c>
    </row>
    <row r="1892" spans="1:11" x14ac:dyDescent="0.35">
      <c r="A1892" t="s">
        <v>1929</v>
      </c>
      <c r="B1892">
        <v>85</v>
      </c>
      <c r="C1892" t="s">
        <v>18</v>
      </c>
      <c r="D1892" t="s">
        <v>21</v>
      </c>
      <c r="E1892">
        <v>27</v>
      </c>
      <c r="F1892" t="s">
        <v>33</v>
      </c>
      <c r="G1892" t="s">
        <v>34</v>
      </c>
      <c r="H1892" s="1">
        <v>152.31</v>
      </c>
      <c r="I1892" t="s">
        <v>24</v>
      </c>
      <c r="J1892">
        <v>1</v>
      </c>
      <c r="K1892">
        <v>4</v>
      </c>
    </row>
    <row r="1893" spans="1:11" x14ac:dyDescent="0.35">
      <c r="A1893" t="s">
        <v>1930</v>
      </c>
      <c r="B1893">
        <v>25</v>
      </c>
      <c r="C1893" t="s">
        <v>12</v>
      </c>
      <c r="D1893" t="s">
        <v>41</v>
      </c>
      <c r="E1893">
        <v>6</v>
      </c>
      <c r="F1893" t="s">
        <v>22</v>
      </c>
      <c r="G1893" t="s">
        <v>37</v>
      </c>
      <c r="H1893" s="1">
        <v>196.83</v>
      </c>
      <c r="I1893" t="s">
        <v>24</v>
      </c>
      <c r="J1893">
        <v>1</v>
      </c>
      <c r="K1893">
        <v>9</v>
      </c>
    </row>
    <row r="1894" spans="1:11" x14ac:dyDescent="0.35">
      <c r="A1894" t="s">
        <v>1931</v>
      </c>
      <c r="B1894">
        <v>24</v>
      </c>
      <c r="C1894" t="s">
        <v>18</v>
      </c>
      <c r="D1894" t="s">
        <v>19</v>
      </c>
      <c r="E1894">
        <v>18</v>
      </c>
      <c r="F1894" t="s">
        <v>33</v>
      </c>
      <c r="G1894" t="s">
        <v>15</v>
      </c>
      <c r="H1894" s="1">
        <v>199.27</v>
      </c>
      <c r="I1894" t="s">
        <v>24</v>
      </c>
      <c r="J1894">
        <v>1</v>
      </c>
      <c r="K1894">
        <v>6</v>
      </c>
    </row>
    <row r="1895" spans="1:11" x14ac:dyDescent="0.35">
      <c r="A1895" t="s">
        <v>1932</v>
      </c>
      <c r="B1895">
        <v>21</v>
      </c>
      <c r="C1895" t="s">
        <v>18</v>
      </c>
      <c r="D1895" t="s">
        <v>19</v>
      </c>
      <c r="E1895">
        <v>8</v>
      </c>
      <c r="F1895" t="s">
        <v>14</v>
      </c>
      <c r="G1895" t="s">
        <v>37</v>
      </c>
      <c r="H1895" s="1">
        <v>0</v>
      </c>
      <c r="I1895" t="s">
        <v>16</v>
      </c>
      <c r="J1895">
        <v>1</v>
      </c>
      <c r="K1895">
        <v>7</v>
      </c>
    </row>
    <row r="1896" spans="1:11" x14ac:dyDescent="0.35">
      <c r="A1896" t="s">
        <v>1933</v>
      </c>
      <c r="B1896">
        <v>30</v>
      </c>
      <c r="C1896" t="s">
        <v>12</v>
      </c>
      <c r="D1896" t="s">
        <v>13</v>
      </c>
      <c r="E1896">
        <v>18</v>
      </c>
      <c r="F1896" t="s">
        <v>33</v>
      </c>
      <c r="G1896" t="s">
        <v>27</v>
      </c>
      <c r="H1896" s="1">
        <v>152.83000000000001</v>
      </c>
      <c r="I1896" t="s">
        <v>28</v>
      </c>
      <c r="J1896">
        <v>2</v>
      </c>
      <c r="K1896">
        <v>8</v>
      </c>
    </row>
    <row r="1897" spans="1:11" x14ac:dyDescent="0.35">
      <c r="A1897" t="s">
        <v>1934</v>
      </c>
      <c r="B1897">
        <v>69</v>
      </c>
      <c r="C1897" t="s">
        <v>18</v>
      </c>
      <c r="D1897" t="s">
        <v>13</v>
      </c>
      <c r="E1897">
        <v>12</v>
      </c>
      <c r="F1897" t="s">
        <v>22</v>
      </c>
      <c r="G1897" t="s">
        <v>27</v>
      </c>
      <c r="H1897" s="1">
        <v>34.840000000000003</v>
      </c>
      <c r="I1897" t="s">
        <v>24</v>
      </c>
      <c r="J1897">
        <v>2</v>
      </c>
      <c r="K1897">
        <v>4</v>
      </c>
    </row>
    <row r="1898" spans="1:11" x14ac:dyDescent="0.35">
      <c r="A1898" t="s">
        <v>1935</v>
      </c>
      <c r="B1898">
        <v>77</v>
      </c>
      <c r="C1898" t="s">
        <v>12</v>
      </c>
      <c r="D1898" t="s">
        <v>19</v>
      </c>
      <c r="E1898">
        <v>9</v>
      </c>
      <c r="F1898" t="s">
        <v>31</v>
      </c>
      <c r="G1898" t="s">
        <v>23</v>
      </c>
      <c r="H1898" s="1">
        <v>369.87</v>
      </c>
      <c r="I1898" t="s">
        <v>24</v>
      </c>
      <c r="J1898">
        <v>1</v>
      </c>
      <c r="K1898">
        <v>5</v>
      </c>
    </row>
    <row r="1899" spans="1:11" x14ac:dyDescent="0.35">
      <c r="A1899" t="s">
        <v>1936</v>
      </c>
      <c r="B1899">
        <v>30</v>
      </c>
      <c r="C1899" t="s">
        <v>18</v>
      </c>
      <c r="D1899" t="s">
        <v>30</v>
      </c>
      <c r="E1899">
        <v>11</v>
      </c>
      <c r="F1899" t="s">
        <v>33</v>
      </c>
      <c r="G1899" t="s">
        <v>15</v>
      </c>
      <c r="H1899" s="1">
        <v>293.04000000000002</v>
      </c>
      <c r="I1899" t="s">
        <v>28</v>
      </c>
      <c r="J1899">
        <v>1</v>
      </c>
      <c r="K1899">
        <v>4</v>
      </c>
    </row>
    <row r="1900" spans="1:11" x14ac:dyDescent="0.35">
      <c r="A1900" t="s">
        <v>1937</v>
      </c>
      <c r="B1900">
        <v>27</v>
      </c>
      <c r="C1900" t="s">
        <v>18</v>
      </c>
      <c r="D1900" t="s">
        <v>13</v>
      </c>
      <c r="E1900">
        <v>10</v>
      </c>
      <c r="F1900" t="s">
        <v>31</v>
      </c>
      <c r="G1900" t="s">
        <v>27</v>
      </c>
      <c r="H1900" s="1">
        <v>120.27</v>
      </c>
      <c r="I1900" t="s">
        <v>28</v>
      </c>
      <c r="J1900">
        <v>0</v>
      </c>
      <c r="K1900">
        <v>8</v>
      </c>
    </row>
    <row r="1901" spans="1:11" x14ac:dyDescent="0.35">
      <c r="A1901" t="s">
        <v>1938</v>
      </c>
      <c r="B1901">
        <v>61</v>
      </c>
      <c r="C1901" t="s">
        <v>12</v>
      </c>
      <c r="D1901" t="s">
        <v>47</v>
      </c>
      <c r="E1901">
        <v>2</v>
      </c>
      <c r="F1901" t="s">
        <v>14</v>
      </c>
      <c r="G1901" t="s">
        <v>37</v>
      </c>
      <c r="H1901" s="1">
        <v>0</v>
      </c>
      <c r="I1901" t="s">
        <v>16</v>
      </c>
      <c r="J1901">
        <v>1</v>
      </c>
      <c r="K1901">
        <v>8</v>
      </c>
    </row>
    <row r="1902" spans="1:11" x14ac:dyDescent="0.35">
      <c r="A1902" t="s">
        <v>1939</v>
      </c>
      <c r="B1902">
        <v>37</v>
      </c>
      <c r="C1902" t="s">
        <v>12</v>
      </c>
      <c r="D1902" t="s">
        <v>21</v>
      </c>
      <c r="E1902">
        <v>24</v>
      </c>
      <c r="F1902" t="s">
        <v>22</v>
      </c>
      <c r="G1902" t="s">
        <v>27</v>
      </c>
      <c r="H1902" s="1">
        <v>172.57</v>
      </c>
      <c r="I1902" t="s">
        <v>24</v>
      </c>
      <c r="J1902">
        <v>0</v>
      </c>
      <c r="K1902">
        <v>4</v>
      </c>
    </row>
    <row r="1903" spans="1:11" x14ac:dyDescent="0.35">
      <c r="A1903" t="s">
        <v>1940</v>
      </c>
      <c r="B1903">
        <v>68</v>
      </c>
      <c r="C1903" t="s">
        <v>12</v>
      </c>
      <c r="D1903" t="s">
        <v>21</v>
      </c>
      <c r="E1903">
        <v>32</v>
      </c>
      <c r="F1903" t="s">
        <v>31</v>
      </c>
      <c r="G1903" t="s">
        <v>37</v>
      </c>
      <c r="H1903" s="1">
        <v>139.79</v>
      </c>
      <c r="I1903" t="s">
        <v>24</v>
      </c>
      <c r="J1903">
        <v>0</v>
      </c>
      <c r="K1903">
        <v>2</v>
      </c>
    </row>
    <row r="1904" spans="1:11" x14ac:dyDescent="0.35">
      <c r="A1904" t="s">
        <v>1941</v>
      </c>
      <c r="B1904">
        <v>72</v>
      </c>
      <c r="C1904" t="s">
        <v>18</v>
      </c>
      <c r="D1904" t="s">
        <v>21</v>
      </c>
      <c r="E1904">
        <v>36</v>
      </c>
      <c r="F1904" t="s">
        <v>31</v>
      </c>
      <c r="G1904" t="s">
        <v>15</v>
      </c>
      <c r="H1904" s="1">
        <v>273.91000000000003</v>
      </c>
      <c r="I1904" t="s">
        <v>24</v>
      </c>
      <c r="J1904">
        <v>2</v>
      </c>
      <c r="K1904">
        <v>2</v>
      </c>
    </row>
    <row r="1905" spans="1:11" x14ac:dyDescent="0.35">
      <c r="A1905" t="s">
        <v>1942</v>
      </c>
      <c r="B1905">
        <v>67</v>
      </c>
      <c r="C1905" t="s">
        <v>12</v>
      </c>
      <c r="D1905" t="s">
        <v>19</v>
      </c>
      <c r="E1905">
        <v>6</v>
      </c>
      <c r="F1905" t="s">
        <v>26</v>
      </c>
      <c r="G1905" t="s">
        <v>34</v>
      </c>
      <c r="H1905" s="1">
        <v>149.08000000000001</v>
      </c>
      <c r="I1905" t="s">
        <v>24</v>
      </c>
      <c r="J1905">
        <v>0</v>
      </c>
      <c r="K1905">
        <v>10</v>
      </c>
    </row>
    <row r="1906" spans="1:11" x14ac:dyDescent="0.35">
      <c r="A1906" t="s">
        <v>1943</v>
      </c>
      <c r="B1906">
        <v>64</v>
      </c>
      <c r="C1906" t="s">
        <v>18</v>
      </c>
      <c r="D1906" t="s">
        <v>41</v>
      </c>
      <c r="E1906">
        <v>8</v>
      </c>
      <c r="F1906" t="s">
        <v>33</v>
      </c>
      <c r="G1906" t="s">
        <v>23</v>
      </c>
      <c r="H1906" s="1">
        <v>438.34</v>
      </c>
      <c r="I1906" t="s">
        <v>24</v>
      </c>
      <c r="J1906">
        <v>2</v>
      </c>
      <c r="K1906">
        <v>8</v>
      </c>
    </row>
    <row r="1907" spans="1:11" x14ac:dyDescent="0.35">
      <c r="A1907" t="s">
        <v>1944</v>
      </c>
      <c r="B1907">
        <v>56</v>
      </c>
      <c r="C1907" t="s">
        <v>12</v>
      </c>
      <c r="D1907" t="s">
        <v>19</v>
      </c>
      <c r="E1907">
        <v>14</v>
      </c>
      <c r="F1907" t="s">
        <v>14</v>
      </c>
      <c r="G1907" t="s">
        <v>27</v>
      </c>
      <c r="H1907" s="1">
        <v>0</v>
      </c>
      <c r="I1907" t="s">
        <v>16</v>
      </c>
      <c r="J1907">
        <v>0</v>
      </c>
      <c r="K1907">
        <v>8</v>
      </c>
    </row>
    <row r="1908" spans="1:11" x14ac:dyDescent="0.35">
      <c r="A1908" t="s">
        <v>1945</v>
      </c>
      <c r="B1908">
        <v>82</v>
      </c>
      <c r="C1908" t="s">
        <v>18</v>
      </c>
      <c r="D1908" t="s">
        <v>21</v>
      </c>
      <c r="E1908">
        <v>18</v>
      </c>
      <c r="F1908" t="s">
        <v>26</v>
      </c>
      <c r="G1908" t="s">
        <v>37</v>
      </c>
      <c r="H1908" s="1">
        <v>158.04</v>
      </c>
      <c r="I1908" t="s">
        <v>28</v>
      </c>
      <c r="J1908">
        <v>2</v>
      </c>
      <c r="K1908">
        <v>7</v>
      </c>
    </row>
    <row r="1909" spans="1:11" x14ac:dyDescent="0.35">
      <c r="A1909" t="s">
        <v>1946</v>
      </c>
      <c r="B1909">
        <v>22</v>
      </c>
      <c r="C1909" t="s">
        <v>12</v>
      </c>
      <c r="D1909" t="s">
        <v>19</v>
      </c>
      <c r="E1909">
        <v>9</v>
      </c>
      <c r="F1909" t="s">
        <v>33</v>
      </c>
      <c r="G1909" t="s">
        <v>23</v>
      </c>
      <c r="H1909" s="1">
        <v>255.14</v>
      </c>
      <c r="I1909" t="s">
        <v>24</v>
      </c>
      <c r="J1909">
        <v>0</v>
      </c>
      <c r="K1909">
        <v>7</v>
      </c>
    </row>
    <row r="1910" spans="1:11" x14ac:dyDescent="0.35">
      <c r="A1910" t="s">
        <v>1947</v>
      </c>
      <c r="B1910">
        <v>50</v>
      </c>
      <c r="C1910" t="s">
        <v>18</v>
      </c>
      <c r="D1910" t="s">
        <v>19</v>
      </c>
      <c r="E1910">
        <v>24</v>
      </c>
      <c r="F1910" t="s">
        <v>22</v>
      </c>
      <c r="G1910" t="s">
        <v>34</v>
      </c>
      <c r="H1910" s="1">
        <v>132.02000000000001</v>
      </c>
      <c r="I1910" t="s">
        <v>24</v>
      </c>
      <c r="J1910">
        <v>0</v>
      </c>
      <c r="K1910">
        <v>4</v>
      </c>
    </row>
    <row r="1911" spans="1:11" x14ac:dyDescent="0.35">
      <c r="A1911" t="s">
        <v>1948</v>
      </c>
      <c r="B1911">
        <v>62</v>
      </c>
      <c r="C1911" t="s">
        <v>18</v>
      </c>
      <c r="D1911" t="s">
        <v>30</v>
      </c>
      <c r="E1911">
        <v>4</v>
      </c>
      <c r="F1911" t="s">
        <v>22</v>
      </c>
      <c r="G1911" t="s">
        <v>15</v>
      </c>
      <c r="H1911" s="1">
        <v>81.459999999999994</v>
      </c>
      <c r="I1911" t="s">
        <v>24</v>
      </c>
      <c r="J1911">
        <v>0</v>
      </c>
      <c r="K1911">
        <v>10</v>
      </c>
    </row>
    <row r="1912" spans="1:11" x14ac:dyDescent="0.35">
      <c r="A1912" t="s">
        <v>1949</v>
      </c>
      <c r="B1912">
        <v>65</v>
      </c>
      <c r="C1912" t="s">
        <v>528</v>
      </c>
      <c r="D1912" t="s">
        <v>19</v>
      </c>
      <c r="E1912">
        <v>19</v>
      </c>
      <c r="F1912" t="s">
        <v>26</v>
      </c>
      <c r="G1912" t="s">
        <v>15</v>
      </c>
      <c r="H1912" s="1">
        <v>365.94</v>
      </c>
      <c r="I1912" t="s">
        <v>24</v>
      </c>
      <c r="J1912">
        <v>0</v>
      </c>
      <c r="K1912">
        <v>4</v>
      </c>
    </row>
    <row r="1913" spans="1:11" x14ac:dyDescent="0.35">
      <c r="A1913" t="s">
        <v>1950</v>
      </c>
      <c r="B1913">
        <v>66</v>
      </c>
      <c r="C1913" t="s">
        <v>18</v>
      </c>
      <c r="D1913" t="s">
        <v>19</v>
      </c>
      <c r="E1913">
        <v>14</v>
      </c>
      <c r="F1913" t="s">
        <v>22</v>
      </c>
      <c r="G1913" t="s">
        <v>27</v>
      </c>
      <c r="H1913" s="1">
        <v>44.04</v>
      </c>
      <c r="I1913" t="s">
        <v>24</v>
      </c>
      <c r="J1913">
        <v>0</v>
      </c>
      <c r="K1913">
        <v>7</v>
      </c>
    </row>
    <row r="1914" spans="1:11" x14ac:dyDescent="0.35">
      <c r="A1914" t="s">
        <v>1951</v>
      </c>
      <c r="B1914">
        <v>21</v>
      </c>
      <c r="C1914" t="s">
        <v>12</v>
      </c>
      <c r="D1914" t="s">
        <v>19</v>
      </c>
      <c r="E1914">
        <v>19</v>
      </c>
      <c r="F1914" t="s">
        <v>31</v>
      </c>
      <c r="G1914" t="s">
        <v>27</v>
      </c>
      <c r="H1914" s="1">
        <v>160.41999999999999</v>
      </c>
      <c r="I1914" t="s">
        <v>24</v>
      </c>
      <c r="J1914">
        <v>3</v>
      </c>
      <c r="K1914">
        <v>2</v>
      </c>
    </row>
    <row r="1915" spans="1:11" x14ac:dyDescent="0.35">
      <c r="A1915" t="s">
        <v>1952</v>
      </c>
      <c r="B1915">
        <v>32</v>
      </c>
      <c r="C1915" t="s">
        <v>18</v>
      </c>
      <c r="D1915" t="s">
        <v>19</v>
      </c>
      <c r="E1915">
        <v>6</v>
      </c>
      <c r="F1915" t="s">
        <v>22</v>
      </c>
      <c r="G1915" t="s">
        <v>27</v>
      </c>
      <c r="H1915" s="1">
        <v>73.86</v>
      </c>
      <c r="I1915" t="s">
        <v>24</v>
      </c>
      <c r="J1915">
        <v>0</v>
      </c>
      <c r="K1915">
        <v>9</v>
      </c>
    </row>
    <row r="1916" spans="1:11" x14ac:dyDescent="0.35">
      <c r="A1916" t="s">
        <v>1953</v>
      </c>
      <c r="B1916">
        <v>74</v>
      </c>
      <c r="C1916" t="s">
        <v>18</v>
      </c>
      <c r="D1916" t="s">
        <v>13</v>
      </c>
      <c r="E1916">
        <v>22</v>
      </c>
      <c r="F1916" t="s">
        <v>22</v>
      </c>
      <c r="G1916" t="s">
        <v>34</v>
      </c>
      <c r="H1916" s="1">
        <v>163.91</v>
      </c>
      <c r="I1916" t="s">
        <v>24</v>
      </c>
      <c r="J1916">
        <v>3</v>
      </c>
      <c r="K1916">
        <v>4</v>
      </c>
    </row>
    <row r="1917" spans="1:11" x14ac:dyDescent="0.35">
      <c r="A1917" t="s">
        <v>1954</v>
      </c>
      <c r="B1917">
        <v>31</v>
      </c>
      <c r="C1917" t="s">
        <v>12</v>
      </c>
      <c r="D1917" t="s">
        <v>19</v>
      </c>
      <c r="E1917">
        <v>15</v>
      </c>
      <c r="F1917" t="s">
        <v>22</v>
      </c>
      <c r="G1917" t="s">
        <v>37</v>
      </c>
      <c r="H1917" s="1">
        <v>205.1</v>
      </c>
      <c r="I1917" t="s">
        <v>24</v>
      </c>
      <c r="J1917">
        <v>0</v>
      </c>
      <c r="K1917">
        <v>8</v>
      </c>
    </row>
    <row r="1918" spans="1:11" x14ac:dyDescent="0.35">
      <c r="A1918" t="s">
        <v>1955</v>
      </c>
      <c r="B1918">
        <v>36</v>
      </c>
      <c r="C1918" t="s">
        <v>18</v>
      </c>
      <c r="D1918" t="s">
        <v>21</v>
      </c>
      <c r="E1918">
        <v>13</v>
      </c>
      <c r="F1918" t="s">
        <v>31</v>
      </c>
      <c r="G1918" t="s">
        <v>15</v>
      </c>
      <c r="H1918" s="1">
        <v>318.05</v>
      </c>
      <c r="I1918" t="s">
        <v>43</v>
      </c>
      <c r="J1918">
        <v>1</v>
      </c>
      <c r="K1918">
        <v>4</v>
      </c>
    </row>
    <row r="1919" spans="1:11" x14ac:dyDescent="0.35">
      <c r="A1919" t="s">
        <v>1956</v>
      </c>
      <c r="B1919">
        <v>72</v>
      </c>
      <c r="C1919" t="s">
        <v>18</v>
      </c>
      <c r="D1919" t="s">
        <v>41</v>
      </c>
      <c r="E1919">
        <v>4</v>
      </c>
      <c r="F1919" t="s">
        <v>26</v>
      </c>
      <c r="G1919" t="s">
        <v>23</v>
      </c>
      <c r="H1919" s="1">
        <v>82.05</v>
      </c>
      <c r="I1919" t="s">
        <v>28</v>
      </c>
      <c r="J1919">
        <v>0</v>
      </c>
      <c r="K1919">
        <v>9</v>
      </c>
    </row>
    <row r="1920" spans="1:11" x14ac:dyDescent="0.35">
      <c r="A1920" t="s">
        <v>1957</v>
      </c>
      <c r="B1920">
        <v>53</v>
      </c>
      <c r="C1920" t="s">
        <v>18</v>
      </c>
      <c r="D1920" t="s">
        <v>21</v>
      </c>
      <c r="E1920">
        <v>22</v>
      </c>
      <c r="F1920" t="s">
        <v>14</v>
      </c>
      <c r="G1920" t="s">
        <v>27</v>
      </c>
      <c r="H1920" s="1">
        <v>0</v>
      </c>
      <c r="I1920" t="s">
        <v>16</v>
      </c>
      <c r="J1920">
        <v>4</v>
      </c>
      <c r="K1920">
        <v>5</v>
      </c>
    </row>
    <row r="1921" spans="1:11" x14ac:dyDescent="0.35">
      <c r="A1921" t="s">
        <v>1958</v>
      </c>
      <c r="B1921">
        <v>64</v>
      </c>
      <c r="C1921" t="s">
        <v>12</v>
      </c>
      <c r="D1921" t="s">
        <v>13</v>
      </c>
      <c r="E1921">
        <v>14</v>
      </c>
      <c r="F1921" t="s">
        <v>14</v>
      </c>
      <c r="G1921" t="s">
        <v>15</v>
      </c>
      <c r="H1921" s="1">
        <v>0</v>
      </c>
      <c r="I1921" t="s">
        <v>16</v>
      </c>
      <c r="J1921">
        <v>3</v>
      </c>
      <c r="K1921">
        <v>6</v>
      </c>
    </row>
    <row r="1922" spans="1:11" x14ac:dyDescent="0.35">
      <c r="A1922" t="s">
        <v>1959</v>
      </c>
      <c r="B1922">
        <v>33</v>
      </c>
      <c r="C1922" t="s">
        <v>18</v>
      </c>
      <c r="D1922" t="s">
        <v>30</v>
      </c>
      <c r="E1922">
        <v>2</v>
      </c>
      <c r="F1922" t="s">
        <v>22</v>
      </c>
      <c r="G1922" t="s">
        <v>15</v>
      </c>
      <c r="H1922" s="1">
        <v>136.13999999999999</v>
      </c>
      <c r="I1922" t="s">
        <v>24</v>
      </c>
      <c r="J1922">
        <v>0</v>
      </c>
      <c r="K1922">
        <v>10</v>
      </c>
    </row>
    <row r="1923" spans="1:11" x14ac:dyDescent="0.35">
      <c r="A1923" t="s">
        <v>1960</v>
      </c>
      <c r="B1923">
        <v>56</v>
      </c>
      <c r="C1923" t="s">
        <v>18</v>
      </c>
      <c r="D1923" t="s">
        <v>21</v>
      </c>
      <c r="E1923">
        <v>45</v>
      </c>
      <c r="F1923" t="s">
        <v>26</v>
      </c>
      <c r="G1923" t="s">
        <v>15</v>
      </c>
      <c r="H1923" s="1">
        <v>347.13</v>
      </c>
      <c r="I1923" t="s">
        <v>24</v>
      </c>
      <c r="J1923">
        <v>2</v>
      </c>
      <c r="K1923">
        <v>5</v>
      </c>
    </row>
    <row r="1924" spans="1:11" x14ac:dyDescent="0.35">
      <c r="A1924" t="s">
        <v>1961</v>
      </c>
      <c r="B1924">
        <v>57</v>
      </c>
      <c r="C1924" t="s">
        <v>18</v>
      </c>
      <c r="D1924" t="s">
        <v>21</v>
      </c>
      <c r="E1924">
        <v>33</v>
      </c>
      <c r="F1924" t="s">
        <v>26</v>
      </c>
      <c r="G1924" t="s">
        <v>23</v>
      </c>
      <c r="H1924" s="1">
        <v>506.85</v>
      </c>
      <c r="I1924" t="s">
        <v>24</v>
      </c>
      <c r="J1924">
        <v>2</v>
      </c>
      <c r="K1924">
        <v>3</v>
      </c>
    </row>
    <row r="1925" spans="1:11" x14ac:dyDescent="0.35">
      <c r="A1925" t="s">
        <v>1962</v>
      </c>
      <c r="B1925">
        <v>84</v>
      </c>
      <c r="C1925" t="s">
        <v>12</v>
      </c>
      <c r="D1925" t="s">
        <v>19</v>
      </c>
      <c r="E1925">
        <v>13</v>
      </c>
      <c r="F1925" t="s">
        <v>26</v>
      </c>
      <c r="G1925" t="s">
        <v>37</v>
      </c>
      <c r="H1925" s="1">
        <v>201.74</v>
      </c>
      <c r="I1925" t="s">
        <v>24</v>
      </c>
      <c r="J1925">
        <v>2</v>
      </c>
      <c r="K1925">
        <v>4</v>
      </c>
    </row>
    <row r="1926" spans="1:11" x14ac:dyDescent="0.35">
      <c r="A1926" t="s">
        <v>1963</v>
      </c>
      <c r="B1926">
        <v>37</v>
      </c>
      <c r="C1926" t="s">
        <v>18</v>
      </c>
      <c r="D1926" t="s">
        <v>19</v>
      </c>
      <c r="E1926">
        <v>16</v>
      </c>
      <c r="F1926" t="s">
        <v>26</v>
      </c>
      <c r="G1926" t="s">
        <v>15</v>
      </c>
      <c r="H1926" s="1">
        <v>319.91000000000003</v>
      </c>
      <c r="I1926" t="s">
        <v>24</v>
      </c>
      <c r="J1926">
        <v>1</v>
      </c>
      <c r="K1926">
        <v>4</v>
      </c>
    </row>
    <row r="1927" spans="1:11" x14ac:dyDescent="0.35">
      <c r="A1927" t="s">
        <v>1964</v>
      </c>
      <c r="B1927">
        <v>30</v>
      </c>
      <c r="C1927" t="s">
        <v>12</v>
      </c>
      <c r="D1927" t="s">
        <v>21</v>
      </c>
      <c r="E1927">
        <v>22</v>
      </c>
      <c r="F1927" t="s">
        <v>31</v>
      </c>
      <c r="G1927" t="s">
        <v>27</v>
      </c>
      <c r="H1927" s="1">
        <v>56.85</v>
      </c>
      <c r="I1927" t="s">
        <v>24</v>
      </c>
      <c r="J1927">
        <v>4</v>
      </c>
      <c r="K1927">
        <v>3</v>
      </c>
    </row>
    <row r="1928" spans="1:11" x14ac:dyDescent="0.35">
      <c r="A1928" t="s">
        <v>1965</v>
      </c>
      <c r="B1928">
        <v>63</v>
      </c>
      <c r="C1928" t="s">
        <v>18</v>
      </c>
      <c r="D1928" t="s">
        <v>47</v>
      </c>
      <c r="E1928">
        <v>9</v>
      </c>
      <c r="F1928" t="s">
        <v>22</v>
      </c>
      <c r="G1928" t="s">
        <v>37</v>
      </c>
      <c r="H1928" s="1">
        <v>107.16</v>
      </c>
      <c r="I1928" t="s">
        <v>24</v>
      </c>
      <c r="J1928">
        <v>1</v>
      </c>
      <c r="K1928">
        <v>4</v>
      </c>
    </row>
    <row r="1929" spans="1:11" x14ac:dyDescent="0.35">
      <c r="A1929" t="s">
        <v>1966</v>
      </c>
      <c r="B1929">
        <v>54</v>
      </c>
      <c r="C1929" t="s">
        <v>12</v>
      </c>
      <c r="D1929" t="s">
        <v>57</v>
      </c>
      <c r="E1929">
        <v>19</v>
      </c>
      <c r="F1929" t="s">
        <v>14</v>
      </c>
      <c r="G1929" t="s">
        <v>34</v>
      </c>
      <c r="H1929" s="1">
        <v>0</v>
      </c>
      <c r="I1929" t="s">
        <v>16</v>
      </c>
      <c r="J1929">
        <v>1</v>
      </c>
      <c r="K1929">
        <v>2</v>
      </c>
    </row>
    <row r="1930" spans="1:11" x14ac:dyDescent="0.35">
      <c r="A1930" t="s">
        <v>1967</v>
      </c>
      <c r="B1930">
        <v>81</v>
      </c>
      <c r="C1930" t="s">
        <v>18</v>
      </c>
      <c r="D1930" t="s">
        <v>21</v>
      </c>
      <c r="E1930">
        <v>40</v>
      </c>
      <c r="F1930" t="s">
        <v>26</v>
      </c>
      <c r="G1930" t="s">
        <v>15</v>
      </c>
      <c r="H1930" s="1">
        <v>293.42</v>
      </c>
      <c r="I1930" t="s">
        <v>24</v>
      </c>
      <c r="J1930">
        <v>2</v>
      </c>
      <c r="K1930">
        <v>5</v>
      </c>
    </row>
    <row r="1931" spans="1:11" x14ac:dyDescent="0.35">
      <c r="A1931" t="s">
        <v>1968</v>
      </c>
      <c r="B1931">
        <v>75</v>
      </c>
      <c r="C1931" t="s">
        <v>18</v>
      </c>
      <c r="D1931" t="s">
        <v>21</v>
      </c>
      <c r="E1931">
        <v>46</v>
      </c>
      <c r="F1931" t="s">
        <v>31</v>
      </c>
      <c r="G1931" t="s">
        <v>37</v>
      </c>
      <c r="H1931" s="1">
        <v>107.38</v>
      </c>
      <c r="I1931" t="s">
        <v>24</v>
      </c>
      <c r="J1931">
        <v>1</v>
      </c>
      <c r="K1931">
        <v>5</v>
      </c>
    </row>
    <row r="1932" spans="1:11" x14ac:dyDescent="0.35">
      <c r="A1932" t="s">
        <v>1969</v>
      </c>
      <c r="B1932">
        <v>20</v>
      </c>
      <c r="C1932" t="s">
        <v>18</v>
      </c>
      <c r="D1932" t="s">
        <v>21</v>
      </c>
      <c r="E1932">
        <v>16</v>
      </c>
      <c r="F1932" t="s">
        <v>33</v>
      </c>
      <c r="G1932" t="s">
        <v>23</v>
      </c>
      <c r="H1932" s="1">
        <v>280.77</v>
      </c>
      <c r="I1932" t="s">
        <v>24</v>
      </c>
      <c r="J1932">
        <v>0</v>
      </c>
      <c r="K1932">
        <v>6</v>
      </c>
    </row>
    <row r="1933" spans="1:11" x14ac:dyDescent="0.35">
      <c r="A1933" t="s">
        <v>1970</v>
      </c>
      <c r="B1933">
        <v>78</v>
      </c>
      <c r="C1933" t="s">
        <v>12</v>
      </c>
      <c r="D1933" t="s">
        <v>19</v>
      </c>
      <c r="E1933">
        <v>15</v>
      </c>
      <c r="F1933" t="s">
        <v>22</v>
      </c>
      <c r="G1933" t="s">
        <v>37</v>
      </c>
      <c r="H1933" s="1">
        <v>213.21</v>
      </c>
      <c r="I1933" t="s">
        <v>24</v>
      </c>
      <c r="J1933">
        <v>1</v>
      </c>
      <c r="K1933">
        <v>4</v>
      </c>
    </row>
    <row r="1934" spans="1:11" x14ac:dyDescent="0.35">
      <c r="A1934" t="s">
        <v>1971</v>
      </c>
      <c r="B1934">
        <v>66</v>
      </c>
      <c r="C1934" t="s">
        <v>12</v>
      </c>
      <c r="D1934" t="s">
        <v>19</v>
      </c>
      <c r="E1934">
        <v>6</v>
      </c>
      <c r="F1934" t="s">
        <v>22</v>
      </c>
      <c r="G1934" t="s">
        <v>27</v>
      </c>
      <c r="H1934" s="1">
        <v>40.17</v>
      </c>
      <c r="I1934" t="s">
        <v>28</v>
      </c>
      <c r="J1934">
        <v>2</v>
      </c>
      <c r="K1934">
        <v>10</v>
      </c>
    </row>
    <row r="1935" spans="1:11" x14ac:dyDescent="0.35">
      <c r="A1935" t="s">
        <v>1972</v>
      </c>
      <c r="B1935">
        <v>73</v>
      </c>
      <c r="C1935" t="s">
        <v>12</v>
      </c>
      <c r="D1935" t="s">
        <v>41</v>
      </c>
      <c r="E1935">
        <v>14</v>
      </c>
      <c r="F1935" t="s">
        <v>33</v>
      </c>
      <c r="G1935" t="s">
        <v>15</v>
      </c>
      <c r="H1935" s="1">
        <v>301.07</v>
      </c>
      <c r="I1935" t="s">
        <v>24</v>
      </c>
      <c r="J1935">
        <v>1</v>
      </c>
      <c r="K1935">
        <v>7</v>
      </c>
    </row>
    <row r="1936" spans="1:11" x14ac:dyDescent="0.35">
      <c r="A1936" t="s">
        <v>1973</v>
      </c>
      <c r="B1936">
        <v>77</v>
      </c>
      <c r="C1936" t="s">
        <v>18</v>
      </c>
      <c r="D1936" t="s">
        <v>19</v>
      </c>
      <c r="E1936">
        <v>21</v>
      </c>
      <c r="F1936" t="s">
        <v>22</v>
      </c>
      <c r="G1936" t="s">
        <v>37</v>
      </c>
      <c r="H1936" s="1">
        <v>213.59</v>
      </c>
      <c r="I1936" t="s">
        <v>24</v>
      </c>
      <c r="J1936">
        <v>2</v>
      </c>
      <c r="K1936">
        <v>1</v>
      </c>
    </row>
    <row r="1937" spans="1:11" x14ac:dyDescent="0.35">
      <c r="A1937" t="s">
        <v>1974</v>
      </c>
      <c r="B1937">
        <v>45</v>
      </c>
      <c r="C1937" t="s">
        <v>12</v>
      </c>
      <c r="D1937" t="s">
        <v>41</v>
      </c>
      <c r="E1937">
        <v>11</v>
      </c>
      <c r="F1937" t="s">
        <v>22</v>
      </c>
      <c r="G1937" t="s">
        <v>37</v>
      </c>
      <c r="H1937" s="1">
        <v>160.19999999999999</v>
      </c>
      <c r="I1937" t="s">
        <v>24</v>
      </c>
      <c r="J1937">
        <v>1</v>
      </c>
      <c r="K1937">
        <v>7</v>
      </c>
    </row>
    <row r="1938" spans="1:11" x14ac:dyDescent="0.35">
      <c r="A1938" t="s">
        <v>1975</v>
      </c>
      <c r="B1938">
        <v>27</v>
      </c>
      <c r="C1938" t="s">
        <v>18</v>
      </c>
      <c r="D1938" t="s">
        <v>19</v>
      </c>
      <c r="E1938">
        <v>13</v>
      </c>
      <c r="F1938" t="s">
        <v>26</v>
      </c>
      <c r="G1938" t="s">
        <v>15</v>
      </c>
      <c r="H1938" s="1">
        <v>234.14</v>
      </c>
      <c r="I1938" t="s">
        <v>24</v>
      </c>
      <c r="J1938">
        <v>1</v>
      </c>
      <c r="K1938">
        <v>5</v>
      </c>
    </row>
    <row r="1939" spans="1:11" x14ac:dyDescent="0.35">
      <c r="A1939" t="s">
        <v>1976</v>
      </c>
      <c r="B1939">
        <v>41</v>
      </c>
      <c r="C1939" t="s">
        <v>18</v>
      </c>
      <c r="D1939" t="s">
        <v>21</v>
      </c>
      <c r="E1939">
        <v>22</v>
      </c>
      <c r="F1939" t="s">
        <v>22</v>
      </c>
      <c r="G1939" t="s">
        <v>23</v>
      </c>
      <c r="H1939" s="1">
        <v>406.96</v>
      </c>
      <c r="I1939" t="s">
        <v>28</v>
      </c>
      <c r="J1939">
        <v>0</v>
      </c>
      <c r="K1939">
        <v>3</v>
      </c>
    </row>
    <row r="1940" spans="1:11" x14ac:dyDescent="0.35">
      <c r="A1940" t="s">
        <v>1977</v>
      </c>
      <c r="B1940">
        <v>76</v>
      </c>
      <c r="C1940" t="s">
        <v>18</v>
      </c>
      <c r="D1940" t="s">
        <v>21</v>
      </c>
      <c r="E1940">
        <v>18</v>
      </c>
      <c r="F1940" t="s">
        <v>22</v>
      </c>
      <c r="G1940" t="s">
        <v>37</v>
      </c>
      <c r="H1940" s="1">
        <v>160.38999999999999</v>
      </c>
      <c r="I1940" t="s">
        <v>28</v>
      </c>
      <c r="J1940">
        <v>3</v>
      </c>
      <c r="K1940">
        <v>8</v>
      </c>
    </row>
    <row r="1941" spans="1:11" x14ac:dyDescent="0.35">
      <c r="A1941" t="s">
        <v>1978</v>
      </c>
      <c r="B1941">
        <v>62</v>
      </c>
      <c r="C1941" t="s">
        <v>18</v>
      </c>
      <c r="D1941" t="s">
        <v>13</v>
      </c>
      <c r="E1941">
        <v>13</v>
      </c>
      <c r="F1941" t="s">
        <v>31</v>
      </c>
      <c r="G1941" t="s">
        <v>34</v>
      </c>
      <c r="H1941" s="1">
        <v>118.15</v>
      </c>
      <c r="I1941" t="s">
        <v>24</v>
      </c>
      <c r="J1941">
        <v>2</v>
      </c>
      <c r="K1941">
        <v>8</v>
      </c>
    </row>
    <row r="1942" spans="1:11" x14ac:dyDescent="0.35">
      <c r="A1942" t="s">
        <v>1979</v>
      </c>
      <c r="B1942">
        <v>68</v>
      </c>
      <c r="C1942" t="s">
        <v>18</v>
      </c>
      <c r="D1942" t="s">
        <v>30</v>
      </c>
      <c r="E1942">
        <v>9</v>
      </c>
      <c r="F1942" t="s">
        <v>22</v>
      </c>
      <c r="G1942" t="s">
        <v>37</v>
      </c>
      <c r="H1942" s="1">
        <v>90.64</v>
      </c>
      <c r="I1942" t="s">
        <v>24</v>
      </c>
      <c r="J1942">
        <v>0</v>
      </c>
      <c r="K1942">
        <v>7</v>
      </c>
    </row>
    <row r="1943" spans="1:11" x14ac:dyDescent="0.35">
      <c r="A1943" t="s">
        <v>1980</v>
      </c>
      <c r="B1943">
        <v>21</v>
      </c>
      <c r="C1943" t="s">
        <v>12</v>
      </c>
      <c r="D1943" t="s">
        <v>13</v>
      </c>
      <c r="E1943">
        <v>24</v>
      </c>
      <c r="F1943" t="s">
        <v>22</v>
      </c>
      <c r="G1943" t="s">
        <v>37</v>
      </c>
      <c r="H1943" s="1">
        <v>137.15</v>
      </c>
      <c r="I1943" t="s">
        <v>28</v>
      </c>
      <c r="J1943">
        <v>2</v>
      </c>
      <c r="K1943">
        <v>2</v>
      </c>
    </row>
    <row r="1944" spans="1:11" x14ac:dyDescent="0.35">
      <c r="A1944" t="s">
        <v>1981</v>
      </c>
      <c r="B1944">
        <v>40</v>
      </c>
      <c r="C1944" t="s">
        <v>18</v>
      </c>
      <c r="D1944" t="s">
        <v>19</v>
      </c>
      <c r="E1944">
        <v>18</v>
      </c>
      <c r="F1944" t="s">
        <v>33</v>
      </c>
      <c r="G1944" t="s">
        <v>27</v>
      </c>
      <c r="H1944" s="1">
        <v>126.75</v>
      </c>
      <c r="I1944" t="s">
        <v>28</v>
      </c>
      <c r="J1944">
        <v>2</v>
      </c>
      <c r="K1944">
        <v>5</v>
      </c>
    </row>
    <row r="1945" spans="1:11" x14ac:dyDescent="0.35">
      <c r="A1945" t="s">
        <v>1982</v>
      </c>
      <c r="B1945">
        <v>18</v>
      </c>
      <c r="C1945" t="s">
        <v>12</v>
      </c>
      <c r="D1945" t="s">
        <v>21</v>
      </c>
      <c r="E1945">
        <v>28</v>
      </c>
      <c r="F1945" t="s">
        <v>33</v>
      </c>
      <c r="G1945" t="s">
        <v>34</v>
      </c>
      <c r="H1945" s="1">
        <v>128.16999999999999</v>
      </c>
      <c r="I1945" t="s">
        <v>24</v>
      </c>
      <c r="J1945">
        <v>1</v>
      </c>
      <c r="K1945">
        <v>2</v>
      </c>
    </row>
    <row r="1946" spans="1:11" x14ac:dyDescent="0.35">
      <c r="A1946" t="s">
        <v>1983</v>
      </c>
      <c r="B1946">
        <v>32</v>
      </c>
      <c r="C1946" t="s">
        <v>18</v>
      </c>
      <c r="D1946" t="s">
        <v>19</v>
      </c>
      <c r="E1946">
        <v>17</v>
      </c>
      <c r="F1946" t="s">
        <v>33</v>
      </c>
      <c r="G1946" t="s">
        <v>23</v>
      </c>
      <c r="H1946" s="1">
        <v>442.47</v>
      </c>
      <c r="I1946" t="s">
        <v>24</v>
      </c>
      <c r="J1946">
        <v>1</v>
      </c>
      <c r="K1946">
        <v>4</v>
      </c>
    </row>
    <row r="1947" spans="1:11" x14ac:dyDescent="0.35">
      <c r="A1947" t="s">
        <v>1984</v>
      </c>
      <c r="B1947">
        <v>28</v>
      </c>
      <c r="C1947" t="s">
        <v>12</v>
      </c>
      <c r="D1947" t="s">
        <v>41</v>
      </c>
      <c r="E1947">
        <v>10</v>
      </c>
      <c r="F1947" t="s">
        <v>14</v>
      </c>
      <c r="G1947" t="s">
        <v>23</v>
      </c>
      <c r="H1947" s="1">
        <v>0</v>
      </c>
      <c r="I1947" t="s">
        <v>16</v>
      </c>
      <c r="J1947">
        <v>1</v>
      </c>
      <c r="K1947">
        <v>8</v>
      </c>
    </row>
    <row r="1948" spans="1:11" x14ac:dyDescent="0.35">
      <c r="A1948" t="s">
        <v>1985</v>
      </c>
      <c r="B1948">
        <v>37</v>
      </c>
      <c r="C1948" t="s">
        <v>12</v>
      </c>
      <c r="D1948" t="s">
        <v>120</v>
      </c>
      <c r="E1948">
        <v>20</v>
      </c>
      <c r="F1948" t="s">
        <v>33</v>
      </c>
      <c r="G1948" t="s">
        <v>34</v>
      </c>
      <c r="H1948" s="1">
        <v>167.91</v>
      </c>
      <c r="I1948" t="s">
        <v>28</v>
      </c>
      <c r="J1948">
        <v>2</v>
      </c>
      <c r="K1948">
        <v>2</v>
      </c>
    </row>
    <row r="1949" spans="1:11" x14ac:dyDescent="0.35">
      <c r="A1949" t="s">
        <v>1986</v>
      </c>
      <c r="B1949">
        <v>24</v>
      </c>
      <c r="C1949" t="s">
        <v>18</v>
      </c>
      <c r="D1949" t="s">
        <v>41</v>
      </c>
      <c r="E1949">
        <v>6</v>
      </c>
      <c r="F1949" t="s">
        <v>22</v>
      </c>
      <c r="G1949" t="s">
        <v>23</v>
      </c>
      <c r="H1949" s="1">
        <v>504.67</v>
      </c>
      <c r="I1949" t="s">
        <v>24</v>
      </c>
      <c r="J1949">
        <v>1</v>
      </c>
      <c r="K1949">
        <v>7</v>
      </c>
    </row>
    <row r="1950" spans="1:11" x14ac:dyDescent="0.35">
      <c r="A1950" t="s">
        <v>1987</v>
      </c>
      <c r="B1950">
        <v>23</v>
      </c>
      <c r="C1950" t="s">
        <v>18</v>
      </c>
      <c r="D1950" t="s">
        <v>19</v>
      </c>
      <c r="E1950">
        <v>12</v>
      </c>
      <c r="F1950" t="s">
        <v>22</v>
      </c>
      <c r="G1950" t="s">
        <v>37</v>
      </c>
      <c r="H1950" s="1">
        <v>112.47</v>
      </c>
      <c r="I1950" t="s">
        <v>24</v>
      </c>
      <c r="J1950">
        <v>2</v>
      </c>
      <c r="K1950">
        <v>4</v>
      </c>
    </row>
    <row r="1951" spans="1:11" x14ac:dyDescent="0.35">
      <c r="A1951" t="s">
        <v>1988</v>
      </c>
      <c r="B1951">
        <v>72</v>
      </c>
      <c r="C1951" t="s">
        <v>18</v>
      </c>
      <c r="D1951" t="s">
        <v>13</v>
      </c>
      <c r="E1951">
        <v>20</v>
      </c>
      <c r="F1951" t="s">
        <v>22</v>
      </c>
      <c r="G1951" t="s">
        <v>37</v>
      </c>
      <c r="H1951" s="1">
        <v>185.3</v>
      </c>
      <c r="I1951" t="s">
        <v>24</v>
      </c>
      <c r="J1951">
        <v>1</v>
      </c>
      <c r="K1951">
        <v>3</v>
      </c>
    </row>
    <row r="1952" spans="1:11" x14ac:dyDescent="0.35">
      <c r="A1952" t="s">
        <v>1989</v>
      </c>
      <c r="B1952">
        <v>51</v>
      </c>
      <c r="C1952" t="s">
        <v>18</v>
      </c>
      <c r="D1952" t="s">
        <v>19</v>
      </c>
      <c r="E1952">
        <v>15</v>
      </c>
      <c r="F1952" t="s">
        <v>14</v>
      </c>
      <c r="G1952" t="s">
        <v>23</v>
      </c>
      <c r="H1952" s="1">
        <v>0</v>
      </c>
      <c r="I1952" t="s">
        <v>16</v>
      </c>
      <c r="J1952">
        <v>1</v>
      </c>
      <c r="K1952">
        <v>7</v>
      </c>
    </row>
    <row r="1953" spans="1:11" x14ac:dyDescent="0.35">
      <c r="A1953" t="s">
        <v>1990</v>
      </c>
      <c r="B1953">
        <v>21</v>
      </c>
      <c r="C1953" t="s">
        <v>12</v>
      </c>
      <c r="D1953" t="s">
        <v>120</v>
      </c>
      <c r="E1953">
        <v>19</v>
      </c>
      <c r="F1953" t="s">
        <v>33</v>
      </c>
      <c r="G1953" t="s">
        <v>27</v>
      </c>
      <c r="H1953" s="1">
        <v>80.040000000000006</v>
      </c>
      <c r="I1953" t="s">
        <v>24</v>
      </c>
      <c r="J1953">
        <v>2</v>
      </c>
      <c r="K1953">
        <v>3</v>
      </c>
    </row>
    <row r="1954" spans="1:11" x14ac:dyDescent="0.35">
      <c r="A1954" t="s">
        <v>1991</v>
      </c>
      <c r="B1954">
        <v>29</v>
      </c>
      <c r="C1954" t="s">
        <v>18</v>
      </c>
      <c r="D1954" t="s">
        <v>21</v>
      </c>
      <c r="E1954">
        <v>38</v>
      </c>
      <c r="F1954" t="s">
        <v>33</v>
      </c>
      <c r="G1954" t="s">
        <v>37</v>
      </c>
      <c r="H1954" s="1">
        <v>172.28</v>
      </c>
      <c r="I1954" t="s">
        <v>24</v>
      </c>
      <c r="J1954">
        <v>4</v>
      </c>
      <c r="K1954">
        <v>4</v>
      </c>
    </row>
    <row r="1955" spans="1:11" x14ac:dyDescent="0.35">
      <c r="A1955" t="s">
        <v>1992</v>
      </c>
      <c r="B1955">
        <v>48</v>
      </c>
      <c r="C1955" t="s">
        <v>12</v>
      </c>
      <c r="D1955" t="s">
        <v>19</v>
      </c>
      <c r="E1955">
        <v>8</v>
      </c>
      <c r="F1955" t="s">
        <v>22</v>
      </c>
      <c r="G1955" t="s">
        <v>15</v>
      </c>
      <c r="H1955" s="1">
        <v>304.64999999999998</v>
      </c>
      <c r="I1955" t="s">
        <v>24</v>
      </c>
      <c r="J1955">
        <v>1</v>
      </c>
      <c r="K1955">
        <v>10</v>
      </c>
    </row>
    <row r="1956" spans="1:11" x14ac:dyDescent="0.35">
      <c r="A1956" t="s">
        <v>1993</v>
      </c>
      <c r="B1956">
        <v>25</v>
      </c>
      <c r="C1956" t="s">
        <v>18</v>
      </c>
      <c r="D1956" t="s">
        <v>19</v>
      </c>
      <c r="E1956">
        <v>9</v>
      </c>
      <c r="F1956" t="s">
        <v>33</v>
      </c>
      <c r="G1956" t="s">
        <v>37</v>
      </c>
      <c r="H1956" s="1">
        <v>174.22</v>
      </c>
      <c r="I1956" t="s">
        <v>24</v>
      </c>
      <c r="J1956">
        <v>0</v>
      </c>
      <c r="K1956">
        <v>5</v>
      </c>
    </row>
    <row r="1957" spans="1:11" x14ac:dyDescent="0.35">
      <c r="A1957" t="s">
        <v>1994</v>
      </c>
      <c r="B1957">
        <v>61</v>
      </c>
      <c r="C1957" t="s">
        <v>12</v>
      </c>
      <c r="D1957" t="s">
        <v>41</v>
      </c>
      <c r="E1957">
        <v>14</v>
      </c>
      <c r="F1957" t="s">
        <v>22</v>
      </c>
      <c r="G1957" t="s">
        <v>37</v>
      </c>
      <c r="H1957" s="1">
        <v>181.43</v>
      </c>
      <c r="I1957" t="s">
        <v>24</v>
      </c>
      <c r="J1957">
        <v>1</v>
      </c>
      <c r="K1957">
        <v>6</v>
      </c>
    </row>
    <row r="1958" spans="1:11" x14ac:dyDescent="0.35">
      <c r="A1958" t="s">
        <v>1995</v>
      </c>
      <c r="B1958">
        <v>61</v>
      </c>
      <c r="C1958" t="s">
        <v>12</v>
      </c>
      <c r="D1958" t="s">
        <v>19</v>
      </c>
      <c r="E1958">
        <v>17</v>
      </c>
      <c r="F1958" t="s">
        <v>22</v>
      </c>
      <c r="G1958" t="s">
        <v>23</v>
      </c>
      <c r="H1958" s="1">
        <v>410.82</v>
      </c>
      <c r="I1958" t="s">
        <v>24</v>
      </c>
      <c r="J1958">
        <v>3</v>
      </c>
      <c r="K1958">
        <v>4</v>
      </c>
    </row>
    <row r="1959" spans="1:11" x14ac:dyDescent="0.35">
      <c r="A1959" t="s">
        <v>1996</v>
      </c>
      <c r="B1959">
        <v>56</v>
      </c>
      <c r="C1959" t="s">
        <v>18</v>
      </c>
      <c r="D1959" t="s">
        <v>13</v>
      </c>
      <c r="E1959">
        <v>10</v>
      </c>
      <c r="F1959" t="s">
        <v>33</v>
      </c>
      <c r="G1959" t="s">
        <v>27</v>
      </c>
      <c r="H1959" s="1">
        <v>47.98</v>
      </c>
      <c r="I1959" t="s">
        <v>24</v>
      </c>
      <c r="J1959">
        <v>2</v>
      </c>
      <c r="K1959">
        <v>4</v>
      </c>
    </row>
    <row r="1960" spans="1:11" x14ac:dyDescent="0.35">
      <c r="A1960" t="s">
        <v>1997</v>
      </c>
      <c r="B1960">
        <v>72</v>
      </c>
      <c r="C1960" t="s">
        <v>12</v>
      </c>
      <c r="D1960" t="s">
        <v>30</v>
      </c>
      <c r="E1960">
        <v>4</v>
      </c>
      <c r="F1960" t="s">
        <v>31</v>
      </c>
      <c r="G1960" t="s">
        <v>27</v>
      </c>
      <c r="H1960" s="1">
        <v>111.01</v>
      </c>
      <c r="I1960" t="s">
        <v>24</v>
      </c>
      <c r="J1960">
        <v>2</v>
      </c>
      <c r="K1960">
        <v>9</v>
      </c>
    </row>
    <row r="1961" spans="1:11" x14ac:dyDescent="0.35">
      <c r="A1961" t="s">
        <v>1998</v>
      </c>
      <c r="B1961">
        <v>58</v>
      </c>
      <c r="C1961" t="s">
        <v>18</v>
      </c>
      <c r="D1961" t="s">
        <v>30</v>
      </c>
      <c r="E1961">
        <v>6</v>
      </c>
      <c r="F1961" t="s">
        <v>31</v>
      </c>
      <c r="G1961" t="s">
        <v>15</v>
      </c>
      <c r="H1961" s="1">
        <v>220.95</v>
      </c>
      <c r="I1961" t="s">
        <v>24</v>
      </c>
      <c r="J1961">
        <v>1</v>
      </c>
      <c r="K1961">
        <v>7</v>
      </c>
    </row>
    <row r="1962" spans="1:11" x14ac:dyDescent="0.35">
      <c r="A1962" t="s">
        <v>1999</v>
      </c>
      <c r="B1962">
        <v>80</v>
      </c>
      <c r="C1962" t="s">
        <v>18</v>
      </c>
      <c r="D1962" t="s">
        <v>21</v>
      </c>
      <c r="E1962">
        <v>36</v>
      </c>
      <c r="F1962" t="s">
        <v>33</v>
      </c>
      <c r="G1962" t="s">
        <v>15</v>
      </c>
      <c r="H1962" s="1">
        <v>210.07</v>
      </c>
      <c r="I1962" t="s">
        <v>28</v>
      </c>
      <c r="J1962">
        <v>4</v>
      </c>
      <c r="K1962">
        <v>4</v>
      </c>
    </row>
    <row r="1963" spans="1:11" x14ac:dyDescent="0.35">
      <c r="A1963" t="s">
        <v>2000</v>
      </c>
      <c r="B1963">
        <v>38</v>
      </c>
      <c r="C1963" t="s">
        <v>12</v>
      </c>
      <c r="D1963" t="s">
        <v>19</v>
      </c>
      <c r="E1963">
        <v>15</v>
      </c>
      <c r="F1963" t="s">
        <v>26</v>
      </c>
      <c r="G1963" t="s">
        <v>34</v>
      </c>
      <c r="H1963" s="1">
        <v>170.21</v>
      </c>
      <c r="I1963" t="s">
        <v>24</v>
      </c>
      <c r="J1963">
        <v>0</v>
      </c>
      <c r="K1963">
        <v>8</v>
      </c>
    </row>
    <row r="1964" spans="1:11" x14ac:dyDescent="0.35">
      <c r="A1964" t="s">
        <v>2001</v>
      </c>
      <c r="B1964">
        <v>62</v>
      </c>
      <c r="C1964" t="s">
        <v>18</v>
      </c>
      <c r="D1964" t="s">
        <v>19</v>
      </c>
      <c r="E1964">
        <v>18</v>
      </c>
      <c r="F1964" t="s">
        <v>14</v>
      </c>
      <c r="G1964" t="s">
        <v>15</v>
      </c>
      <c r="H1964" s="1">
        <v>0</v>
      </c>
      <c r="I1964" t="s">
        <v>16</v>
      </c>
      <c r="J1964">
        <v>2</v>
      </c>
      <c r="K1964">
        <v>7</v>
      </c>
    </row>
    <row r="1965" spans="1:11" x14ac:dyDescent="0.35">
      <c r="A1965" t="s">
        <v>2002</v>
      </c>
      <c r="B1965">
        <v>48</v>
      </c>
      <c r="C1965" t="s">
        <v>18</v>
      </c>
      <c r="D1965" t="s">
        <v>30</v>
      </c>
      <c r="E1965">
        <v>9</v>
      </c>
      <c r="F1965" t="s">
        <v>22</v>
      </c>
      <c r="G1965" t="s">
        <v>23</v>
      </c>
      <c r="H1965" s="1">
        <v>406.74</v>
      </c>
      <c r="I1965" t="s">
        <v>24</v>
      </c>
      <c r="J1965">
        <v>1</v>
      </c>
      <c r="K1965">
        <v>8</v>
      </c>
    </row>
    <row r="1966" spans="1:11" x14ac:dyDescent="0.35">
      <c r="A1966" t="s">
        <v>2003</v>
      </c>
      <c r="B1966">
        <v>48</v>
      </c>
      <c r="C1966" t="s">
        <v>12</v>
      </c>
      <c r="D1966" t="s">
        <v>19</v>
      </c>
      <c r="E1966">
        <v>16</v>
      </c>
      <c r="F1966" t="s">
        <v>31</v>
      </c>
      <c r="G1966" t="s">
        <v>37</v>
      </c>
      <c r="H1966" s="1">
        <v>118.15</v>
      </c>
      <c r="I1966" t="s">
        <v>24</v>
      </c>
      <c r="J1966">
        <v>1</v>
      </c>
      <c r="K1966">
        <v>4</v>
      </c>
    </row>
    <row r="1967" spans="1:11" x14ac:dyDescent="0.35">
      <c r="A1967" t="s">
        <v>2004</v>
      </c>
      <c r="B1967">
        <v>60</v>
      </c>
      <c r="C1967" t="s">
        <v>18</v>
      </c>
      <c r="D1967" t="s">
        <v>21</v>
      </c>
      <c r="E1967">
        <v>37</v>
      </c>
      <c r="F1967" t="s">
        <v>33</v>
      </c>
      <c r="G1967" t="s">
        <v>37</v>
      </c>
      <c r="H1967" s="1">
        <v>157.37</v>
      </c>
      <c r="I1967" t="s">
        <v>28</v>
      </c>
      <c r="J1967">
        <v>3</v>
      </c>
      <c r="K1967">
        <v>3</v>
      </c>
    </row>
    <row r="1968" spans="1:11" x14ac:dyDescent="0.35">
      <c r="A1968" t="s">
        <v>2005</v>
      </c>
      <c r="B1968">
        <v>21</v>
      </c>
      <c r="C1968" t="s">
        <v>12</v>
      </c>
      <c r="D1968" t="s">
        <v>19</v>
      </c>
      <c r="E1968">
        <v>24</v>
      </c>
      <c r="F1968" t="s">
        <v>31</v>
      </c>
      <c r="G1968" t="s">
        <v>34</v>
      </c>
      <c r="H1968" s="1">
        <v>198.42</v>
      </c>
      <c r="I1968" t="s">
        <v>24</v>
      </c>
      <c r="J1968">
        <v>4</v>
      </c>
      <c r="K1968">
        <v>3</v>
      </c>
    </row>
    <row r="1969" spans="1:11" x14ac:dyDescent="0.35">
      <c r="A1969" t="s">
        <v>2006</v>
      </c>
      <c r="B1969">
        <v>34</v>
      </c>
      <c r="C1969" t="s">
        <v>12</v>
      </c>
      <c r="D1969" t="s">
        <v>41</v>
      </c>
      <c r="E1969">
        <v>12</v>
      </c>
      <c r="F1969" t="s">
        <v>31</v>
      </c>
      <c r="G1969" t="s">
        <v>15</v>
      </c>
      <c r="H1969" s="1">
        <v>150.97999999999999</v>
      </c>
      <c r="I1969" t="s">
        <v>24</v>
      </c>
      <c r="J1969">
        <v>1</v>
      </c>
      <c r="K1969">
        <v>7</v>
      </c>
    </row>
    <row r="1970" spans="1:11" x14ac:dyDescent="0.35">
      <c r="A1970" t="s">
        <v>2007</v>
      </c>
      <c r="B1970">
        <v>63</v>
      </c>
      <c r="C1970" t="s">
        <v>12</v>
      </c>
      <c r="D1970" t="s">
        <v>21</v>
      </c>
      <c r="E1970">
        <v>19</v>
      </c>
      <c r="F1970" t="s">
        <v>33</v>
      </c>
      <c r="G1970" t="s">
        <v>15</v>
      </c>
      <c r="H1970" s="1">
        <v>310.19</v>
      </c>
      <c r="I1970" t="s">
        <v>28</v>
      </c>
      <c r="J1970">
        <v>2</v>
      </c>
      <c r="K1970">
        <v>1</v>
      </c>
    </row>
    <row r="1971" spans="1:11" x14ac:dyDescent="0.35">
      <c r="A1971" t="s">
        <v>2008</v>
      </c>
      <c r="B1971">
        <v>51</v>
      </c>
      <c r="C1971" t="s">
        <v>12</v>
      </c>
      <c r="D1971" t="s">
        <v>21</v>
      </c>
      <c r="E1971">
        <v>39</v>
      </c>
      <c r="F1971" t="s">
        <v>31</v>
      </c>
      <c r="G1971" t="s">
        <v>27</v>
      </c>
      <c r="H1971" s="1">
        <v>153.19</v>
      </c>
      <c r="I1971" t="s">
        <v>24</v>
      </c>
      <c r="J1971">
        <v>3</v>
      </c>
      <c r="K1971">
        <v>4</v>
      </c>
    </row>
    <row r="1972" spans="1:11" x14ac:dyDescent="0.35">
      <c r="A1972" t="s">
        <v>2009</v>
      </c>
      <c r="B1972">
        <v>80</v>
      </c>
      <c r="C1972" t="s">
        <v>528</v>
      </c>
      <c r="D1972" t="s">
        <v>21</v>
      </c>
      <c r="E1972">
        <v>48</v>
      </c>
      <c r="F1972" t="s">
        <v>26</v>
      </c>
      <c r="G1972" t="s">
        <v>15</v>
      </c>
      <c r="H1972" s="1">
        <v>286.98</v>
      </c>
      <c r="I1972" t="s">
        <v>24</v>
      </c>
      <c r="J1972">
        <v>0</v>
      </c>
      <c r="K1972">
        <v>2</v>
      </c>
    </row>
    <row r="1973" spans="1:11" x14ac:dyDescent="0.35">
      <c r="A1973" t="s">
        <v>2010</v>
      </c>
      <c r="B1973">
        <v>29</v>
      </c>
      <c r="C1973" t="s">
        <v>18</v>
      </c>
      <c r="D1973" t="s">
        <v>120</v>
      </c>
      <c r="E1973">
        <v>13</v>
      </c>
      <c r="F1973" t="s">
        <v>31</v>
      </c>
      <c r="G1973" t="s">
        <v>15</v>
      </c>
      <c r="H1973" s="1">
        <v>176.41</v>
      </c>
      <c r="I1973" t="s">
        <v>24</v>
      </c>
      <c r="J1973">
        <v>0</v>
      </c>
      <c r="K1973">
        <v>5</v>
      </c>
    </row>
    <row r="1974" spans="1:11" x14ac:dyDescent="0.35">
      <c r="A1974" t="s">
        <v>2011</v>
      </c>
      <c r="B1974">
        <v>31</v>
      </c>
      <c r="C1974" t="s">
        <v>18</v>
      </c>
      <c r="D1974" t="s">
        <v>21</v>
      </c>
      <c r="E1974">
        <v>20</v>
      </c>
      <c r="F1974" t="s">
        <v>26</v>
      </c>
      <c r="G1974" t="s">
        <v>23</v>
      </c>
      <c r="H1974" s="1">
        <v>248.84</v>
      </c>
      <c r="I1974" t="s">
        <v>24</v>
      </c>
      <c r="J1974">
        <v>2</v>
      </c>
      <c r="K1974">
        <v>4</v>
      </c>
    </row>
    <row r="1975" spans="1:11" x14ac:dyDescent="0.35">
      <c r="A1975" t="s">
        <v>2012</v>
      </c>
      <c r="B1975">
        <v>62</v>
      </c>
      <c r="C1975" t="s">
        <v>18</v>
      </c>
      <c r="D1975" t="s">
        <v>19</v>
      </c>
      <c r="E1975">
        <v>11</v>
      </c>
      <c r="F1975" t="s">
        <v>22</v>
      </c>
      <c r="G1975" t="s">
        <v>27</v>
      </c>
      <c r="H1975" s="1">
        <v>48.77</v>
      </c>
      <c r="I1975" t="s">
        <v>24</v>
      </c>
      <c r="J1975">
        <v>3</v>
      </c>
      <c r="K1975">
        <v>5</v>
      </c>
    </row>
    <row r="1976" spans="1:11" x14ac:dyDescent="0.35">
      <c r="A1976" t="s">
        <v>2013</v>
      </c>
      <c r="B1976">
        <v>75</v>
      </c>
      <c r="C1976" t="s">
        <v>12</v>
      </c>
      <c r="D1976" t="s">
        <v>21</v>
      </c>
      <c r="E1976">
        <v>12</v>
      </c>
      <c r="F1976" t="s">
        <v>33</v>
      </c>
      <c r="G1976" t="s">
        <v>27</v>
      </c>
      <c r="H1976" s="1">
        <v>72.930000000000007</v>
      </c>
      <c r="I1976" t="s">
        <v>24</v>
      </c>
      <c r="J1976">
        <v>0</v>
      </c>
      <c r="K1976">
        <v>5</v>
      </c>
    </row>
    <row r="1977" spans="1:11" x14ac:dyDescent="0.35">
      <c r="A1977" t="s">
        <v>2014</v>
      </c>
      <c r="B1977">
        <v>61</v>
      </c>
      <c r="C1977" t="s">
        <v>12</v>
      </c>
      <c r="D1977" t="s">
        <v>21</v>
      </c>
      <c r="E1977">
        <v>24</v>
      </c>
      <c r="F1977" t="s">
        <v>26</v>
      </c>
      <c r="G1977" t="s">
        <v>15</v>
      </c>
      <c r="H1977" s="1">
        <v>184.11</v>
      </c>
      <c r="I1977" t="s">
        <v>24</v>
      </c>
      <c r="J1977">
        <v>3</v>
      </c>
      <c r="K1977">
        <v>2</v>
      </c>
    </row>
    <row r="1978" spans="1:11" x14ac:dyDescent="0.35">
      <c r="A1978" t="s">
        <v>2015</v>
      </c>
      <c r="B1978">
        <v>34</v>
      </c>
      <c r="C1978" t="s">
        <v>12</v>
      </c>
      <c r="D1978" t="s">
        <v>30</v>
      </c>
      <c r="E1978">
        <v>10</v>
      </c>
      <c r="F1978" t="s">
        <v>14</v>
      </c>
      <c r="G1978" t="s">
        <v>34</v>
      </c>
      <c r="H1978" s="1">
        <v>0</v>
      </c>
      <c r="I1978" t="s">
        <v>16</v>
      </c>
      <c r="J1978">
        <v>0</v>
      </c>
      <c r="K1978">
        <v>5</v>
      </c>
    </row>
    <row r="1979" spans="1:11" x14ac:dyDescent="0.35">
      <c r="A1979" t="s">
        <v>2016</v>
      </c>
      <c r="B1979">
        <v>82</v>
      </c>
      <c r="C1979" t="s">
        <v>18</v>
      </c>
      <c r="D1979" t="s">
        <v>21</v>
      </c>
      <c r="E1979">
        <v>24</v>
      </c>
      <c r="F1979" t="s">
        <v>31</v>
      </c>
      <c r="G1979" t="s">
        <v>37</v>
      </c>
      <c r="H1979" s="1">
        <v>164.97</v>
      </c>
      <c r="I1979" t="s">
        <v>24</v>
      </c>
      <c r="J1979">
        <v>2</v>
      </c>
      <c r="K1979">
        <v>1</v>
      </c>
    </row>
    <row r="1980" spans="1:11" x14ac:dyDescent="0.35">
      <c r="A1980" t="s">
        <v>2017</v>
      </c>
      <c r="B1980">
        <v>41</v>
      </c>
      <c r="C1980" t="s">
        <v>12</v>
      </c>
      <c r="D1980" t="s">
        <v>19</v>
      </c>
      <c r="E1980">
        <v>8</v>
      </c>
      <c r="F1980" t="s">
        <v>22</v>
      </c>
      <c r="G1980" t="s">
        <v>27</v>
      </c>
      <c r="H1980" s="1">
        <v>139.62</v>
      </c>
      <c r="I1980" t="s">
        <v>24</v>
      </c>
      <c r="J1980">
        <v>2</v>
      </c>
      <c r="K1980">
        <v>7</v>
      </c>
    </row>
    <row r="1981" spans="1:11" x14ac:dyDescent="0.35">
      <c r="A1981" t="s">
        <v>2018</v>
      </c>
      <c r="B1981">
        <v>26</v>
      </c>
      <c r="C1981" t="s">
        <v>18</v>
      </c>
      <c r="D1981" t="s">
        <v>13</v>
      </c>
      <c r="E1981">
        <v>22</v>
      </c>
      <c r="F1981" t="s">
        <v>31</v>
      </c>
      <c r="G1981" t="s">
        <v>23</v>
      </c>
      <c r="H1981" s="1">
        <v>419.38</v>
      </c>
      <c r="I1981" t="s">
        <v>24</v>
      </c>
      <c r="J1981">
        <v>2</v>
      </c>
      <c r="K1981">
        <v>3</v>
      </c>
    </row>
    <row r="1982" spans="1:11" x14ac:dyDescent="0.35">
      <c r="A1982" t="s">
        <v>2019</v>
      </c>
      <c r="B1982">
        <v>24</v>
      </c>
      <c r="C1982" t="s">
        <v>18</v>
      </c>
      <c r="D1982" t="s">
        <v>21</v>
      </c>
      <c r="E1982">
        <v>22</v>
      </c>
      <c r="F1982" t="s">
        <v>31</v>
      </c>
      <c r="G1982" t="s">
        <v>34</v>
      </c>
      <c r="H1982" s="1">
        <v>219.17</v>
      </c>
      <c r="I1982" t="s">
        <v>24</v>
      </c>
      <c r="J1982">
        <v>4</v>
      </c>
      <c r="K1982">
        <v>3</v>
      </c>
    </row>
    <row r="1983" spans="1:11" x14ac:dyDescent="0.35">
      <c r="A1983" t="s">
        <v>2020</v>
      </c>
      <c r="B1983">
        <v>50</v>
      </c>
      <c r="C1983" t="s">
        <v>18</v>
      </c>
      <c r="D1983" t="s">
        <v>19</v>
      </c>
      <c r="E1983">
        <v>8</v>
      </c>
      <c r="F1983" t="s">
        <v>22</v>
      </c>
      <c r="G1983" t="s">
        <v>15</v>
      </c>
      <c r="H1983" s="1">
        <v>84.37</v>
      </c>
      <c r="I1983" t="s">
        <v>24</v>
      </c>
      <c r="J1983">
        <v>0</v>
      </c>
      <c r="K1983">
        <v>9</v>
      </c>
    </row>
    <row r="1984" spans="1:11" x14ac:dyDescent="0.35">
      <c r="A1984" t="s">
        <v>2021</v>
      </c>
      <c r="B1984">
        <v>30</v>
      </c>
      <c r="C1984" t="s">
        <v>18</v>
      </c>
      <c r="D1984" t="s">
        <v>19</v>
      </c>
      <c r="E1984">
        <v>22</v>
      </c>
      <c r="F1984" t="s">
        <v>14</v>
      </c>
      <c r="G1984" t="s">
        <v>37</v>
      </c>
      <c r="H1984" s="1">
        <v>0</v>
      </c>
      <c r="I1984" t="s">
        <v>16</v>
      </c>
      <c r="J1984">
        <v>3</v>
      </c>
      <c r="K1984">
        <v>1</v>
      </c>
    </row>
    <row r="1985" spans="1:11" x14ac:dyDescent="0.35">
      <c r="A1985" t="s">
        <v>2022</v>
      </c>
      <c r="B1985">
        <v>51</v>
      </c>
      <c r="C1985" t="s">
        <v>18</v>
      </c>
      <c r="D1985" t="s">
        <v>19</v>
      </c>
      <c r="E1985">
        <v>8</v>
      </c>
      <c r="F1985" t="s">
        <v>22</v>
      </c>
      <c r="G1985" t="s">
        <v>23</v>
      </c>
      <c r="H1985" s="1">
        <v>388.12</v>
      </c>
      <c r="I1985" t="s">
        <v>28</v>
      </c>
      <c r="J1985">
        <v>0</v>
      </c>
      <c r="K1985">
        <v>8</v>
      </c>
    </row>
    <row r="1986" spans="1:11" x14ac:dyDescent="0.35">
      <c r="A1986" t="s">
        <v>2023</v>
      </c>
      <c r="B1986">
        <v>46</v>
      </c>
      <c r="C1986" t="s">
        <v>18</v>
      </c>
      <c r="D1986" t="s">
        <v>19</v>
      </c>
      <c r="E1986">
        <v>7</v>
      </c>
      <c r="F1986" t="s">
        <v>33</v>
      </c>
      <c r="G1986" t="s">
        <v>15</v>
      </c>
      <c r="H1986" s="1">
        <v>274.51</v>
      </c>
      <c r="I1986" t="s">
        <v>24</v>
      </c>
      <c r="J1986">
        <v>0</v>
      </c>
      <c r="K1986">
        <v>8</v>
      </c>
    </row>
    <row r="1987" spans="1:11" x14ac:dyDescent="0.35">
      <c r="A1987" t="s">
        <v>2024</v>
      </c>
      <c r="B1987">
        <v>67</v>
      </c>
      <c r="C1987" t="s">
        <v>18</v>
      </c>
      <c r="D1987" t="s">
        <v>21</v>
      </c>
      <c r="E1987">
        <v>27</v>
      </c>
      <c r="F1987" t="s">
        <v>33</v>
      </c>
      <c r="G1987" t="s">
        <v>23</v>
      </c>
      <c r="H1987" s="1">
        <v>598.08000000000004</v>
      </c>
      <c r="I1987" t="s">
        <v>43</v>
      </c>
      <c r="J1987">
        <v>2</v>
      </c>
      <c r="K1987">
        <v>3</v>
      </c>
    </row>
    <row r="1988" spans="1:11" x14ac:dyDescent="0.35">
      <c r="A1988" t="s">
        <v>2025</v>
      </c>
      <c r="B1988">
        <v>32</v>
      </c>
      <c r="C1988" t="s">
        <v>18</v>
      </c>
      <c r="D1988" t="s">
        <v>30</v>
      </c>
      <c r="E1988">
        <v>5</v>
      </c>
      <c r="F1988" t="s">
        <v>31</v>
      </c>
      <c r="G1988" t="s">
        <v>34</v>
      </c>
      <c r="H1988" s="1">
        <v>201.76</v>
      </c>
      <c r="I1988" t="s">
        <v>24</v>
      </c>
      <c r="J1988">
        <v>1</v>
      </c>
      <c r="K1988">
        <v>10</v>
      </c>
    </row>
    <row r="1989" spans="1:11" x14ac:dyDescent="0.35">
      <c r="A1989" t="s">
        <v>2026</v>
      </c>
      <c r="B1989">
        <v>56</v>
      </c>
      <c r="C1989" t="s">
        <v>12</v>
      </c>
      <c r="D1989" t="s">
        <v>30</v>
      </c>
      <c r="E1989">
        <v>4</v>
      </c>
      <c r="F1989" t="s">
        <v>33</v>
      </c>
      <c r="G1989" t="s">
        <v>34</v>
      </c>
      <c r="H1989" s="1">
        <v>183.55</v>
      </c>
      <c r="I1989" t="s">
        <v>24</v>
      </c>
      <c r="J1989">
        <v>2</v>
      </c>
      <c r="K1989">
        <v>9</v>
      </c>
    </row>
    <row r="1990" spans="1:11" x14ac:dyDescent="0.35">
      <c r="A1990" t="s">
        <v>2027</v>
      </c>
      <c r="B1990">
        <v>63</v>
      </c>
      <c r="C1990" t="s">
        <v>18</v>
      </c>
      <c r="D1990" t="s">
        <v>41</v>
      </c>
      <c r="E1990">
        <v>2</v>
      </c>
      <c r="F1990" t="s">
        <v>31</v>
      </c>
      <c r="G1990" t="s">
        <v>15</v>
      </c>
      <c r="H1990" s="1">
        <v>352.35</v>
      </c>
      <c r="I1990" t="s">
        <v>43</v>
      </c>
      <c r="J1990">
        <v>2</v>
      </c>
      <c r="K1990">
        <v>7</v>
      </c>
    </row>
    <row r="1991" spans="1:11" x14ac:dyDescent="0.35">
      <c r="A1991" t="s">
        <v>2028</v>
      </c>
      <c r="B1991">
        <v>58</v>
      </c>
      <c r="C1991" t="s">
        <v>18</v>
      </c>
      <c r="D1991" t="s">
        <v>13</v>
      </c>
      <c r="E1991">
        <v>19</v>
      </c>
      <c r="F1991" t="s">
        <v>22</v>
      </c>
      <c r="G1991" t="s">
        <v>23</v>
      </c>
      <c r="H1991" s="1">
        <v>359.75</v>
      </c>
      <c r="I1991" t="s">
        <v>24</v>
      </c>
      <c r="J1991">
        <v>0</v>
      </c>
      <c r="K1991">
        <v>1</v>
      </c>
    </row>
    <row r="1992" spans="1:11" x14ac:dyDescent="0.35">
      <c r="A1992" t="s">
        <v>2029</v>
      </c>
      <c r="B1992">
        <v>41</v>
      </c>
      <c r="C1992" t="s">
        <v>12</v>
      </c>
      <c r="D1992" t="s">
        <v>21</v>
      </c>
      <c r="E1992">
        <v>12</v>
      </c>
      <c r="F1992" t="s">
        <v>26</v>
      </c>
      <c r="G1992" t="s">
        <v>15</v>
      </c>
      <c r="H1992" s="1">
        <v>390.08</v>
      </c>
      <c r="I1992" t="s">
        <v>24</v>
      </c>
      <c r="J1992">
        <v>0</v>
      </c>
      <c r="K1992">
        <v>6</v>
      </c>
    </row>
    <row r="1993" spans="1:11" x14ac:dyDescent="0.35">
      <c r="A1993" t="s">
        <v>2030</v>
      </c>
      <c r="B1993">
        <v>18</v>
      </c>
      <c r="C1993" t="s">
        <v>12</v>
      </c>
      <c r="D1993" t="s">
        <v>21</v>
      </c>
      <c r="E1993">
        <v>21</v>
      </c>
      <c r="F1993" t="s">
        <v>22</v>
      </c>
      <c r="G1993" t="s">
        <v>34</v>
      </c>
      <c r="H1993" s="1">
        <v>195.31</v>
      </c>
      <c r="I1993" t="s">
        <v>24</v>
      </c>
      <c r="J1993">
        <v>2</v>
      </c>
      <c r="K1993">
        <v>4</v>
      </c>
    </row>
    <row r="1994" spans="1:11" x14ac:dyDescent="0.35">
      <c r="A1994" t="s">
        <v>2031</v>
      </c>
      <c r="B1994">
        <v>81</v>
      </c>
      <c r="C1994" t="s">
        <v>12</v>
      </c>
      <c r="D1994" t="s">
        <v>13</v>
      </c>
      <c r="E1994">
        <v>22</v>
      </c>
      <c r="F1994" t="s">
        <v>33</v>
      </c>
      <c r="G1994" t="s">
        <v>34</v>
      </c>
      <c r="H1994" s="1">
        <v>205.88</v>
      </c>
      <c r="I1994" t="s">
        <v>28</v>
      </c>
      <c r="J1994">
        <v>1</v>
      </c>
      <c r="K1994">
        <v>5</v>
      </c>
    </row>
    <row r="1995" spans="1:11" x14ac:dyDescent="0.35">
      <c r="A1995" t="s">
        <v>2032</v>
      </c>
      <c r="B1995">
        <v>68</v>
      </c>
      <c r="C1995" t="s">
        <v>18</v>
      </c>
      <c r="D1995" t="s">
        <v>21</v>
      </c>
      <c r="E1995">
        <v>13</v>
      </c>
      <c r="F1995" t="s">
        <v>22</v>
      </c>
      <c r="G1995" t="s">
        <v>23</v>
      </c>
      <c r="H1995" s="1">
        <v>555.89</v>
      </c>
      <c r="I1995" t="s">
        <v>24</v>
      </c>
      <c r="J1995">
        <v>1</v>
      </c>
      <c r="K1995">
        <v>8</v>
      </c>
    </row>
    <row r="1996" spans="1:11" x14ac:dyDescent="0.35">
      <c r="A1996" t="s">
        <v>2033</v>
      </c>
      <c r="B1996">
        <v>53</v>
      </c>
      <c r="C1996" t="s">
        <v>189</v>
      </c>
      <c r="D1996" t="s">
        <v>30</v>
      </c>
      <c r="E1996">
        <v>4</v>
      </c>
      <c r="F1996" t="s">
        <v>22</v>
      </c>
      <c r="G1996" t="s">
        <v>27</v>
      </c>
      <c r="H1996" s="1">
        <v>25.57</v>
      </c>
      <c r="I1996" t="s">
        <v>28</v>
      </c>
      <c r="J1996">
        <v>0</v>
      </c>
      <c r="K1996">
        <v>9</v>
      </c>
    </row>
    <row r="1997" spans="1:11" x14ac:dyDescent="0.35">
      <c r="A1997" t="s">
        <v>2034</v>
      </c>
      <c r="B1997">
        <v>25</v>
      </c>
      <c r="C1997" t="s">
        <v>12</v>
      </c>
      <c r="D1997" t="s">
        <v>47</v>
      </c>
      <c r="E1997">
        <v>2</v>
      </c>
      <c r="F1997" t="s">
        <v>26</v>
      </c>
      <c r="G1997" t="s">
        <v>27</v>
      </c>
      <c r="H1997" s="1">
        <v>41.48</v>
      </c>
      <c r="I1997" t="s">
        <v>24</v>
      </c>
      <c r="J1997">
        <v>0</v>
      </c>
      <c r="K1997">
        <v>8</v>
      </c>
    </row>
    <row r="1998" spans="1:11" x14ac:dyDescent="0.35">
      <c r="A1998" t="s">
        <v>2035</v>
      </c>
      <c r="B1998">
        <v>68</v>
      </c>
      <c r="C1998" t="s">
        <v>18</v>
      </c>
      <c r="D1998" t="s">
        <v>19</v>
      </c>
      <c r="E1998">
        <v>12</v>
      </c>
      <c r="F1998" t="s">
        <v>33</v>
      </c>
      <c r="G1998" t="s">
        <v>37</v>
      </c>
      <c r="H1998" s="1">
        <v>155.08000000000001</v>
      </c>
      <c r="I1998" t="s">
        <v>24</v>
      </c>
      <c r="J1998">
        <v>1</v>
      </c>
      <c r="K1998">
        <v>4</v>
      </c>
    </row>
    <row r="1999" spans="1:11" x14ac:dyDescent="0.35">
      <c r="A1999" t="s">
        <v>2036</v>
      </c>
      <c r="B1999">
        <v>20</v>
      </c>
      <c r="C1999" t="s">
        <v>12</v>
      </c>
      <c r="D1999" t="s">
        <v>19</v>
      </c>
      <c r="E1999">
        <v>14</v>
      </c>
      <c r="F1999" t="s">
        <v>33</v>
      </c>
      <c r="G1999" t="s">
        <v>23</v>
      </c>
      <c r="H1999" s="1">
        <v>459.88</v>
      </c>
      <c r="I1999" t="s">
        <v>28</v>
      </c>
      <c r="J1999">
        <v>0</v>
      </c>
      <c r="K1999">
        <v>4</v>
      </c>
    </row>
    <row r="2000" spans="1:11" x14ac:dyDescent="0.35">
      <c r="A2000" t="s">
        <v>2037</v>
      </c>
      <c r="B2000">
        <v>21</v>
      </c>
      <c r="C2000" t="s">
        <v>12</v>
      </c>
      <c r="D2000" t="s">
        <v>19</v>
      </c>
      <c r="E2000">
        <v>16</v>
      </c>
      <c r="F2000" t="s">
        <v>33</v>
      </c>
      <c r="G2000" t="s">
        <v>27</v>
      </c>
      <c r="H2000" s="1">
        <v>58.26</v>
      </c>
      <c r="I2000" t="s">
        <v>24</v>
      </c>
      <c r="J2000">
        <v>0</v>
      </c>
      <c r="K2000">
        <v>8</v>
      </c>
    </row>
    <row r="2001" spans="1:11" x14ac:dyDescent="0.35">
      <c r="A2001" t="s">
        <v>2038</v>
      </c>
      <c r="B2001">
        <v>19</v>
      </c>
      <c r="C2001" t="s">
        <v>18</v>
      </c>
      <c r="D2001" t="s">
        <v>13</v>
      </c>
      <c r="E2001">
        <v>13</v>
      </c>
      <c r="F2001" t="s">
        <v>26</v>
      </c>
      <c r="G2001" t="s">
        <v>34</v>
      </c>
      <c r="H2001" s="1">
        <v>129.59</v>
      </c>
      <c r="I2001" t="s">
        <v>24</v>
      </c>
      <c r="J2001">
        <v>3</v>
      </c>
      <c r="K2001">
        <v>8</v>
      </c>
    </row>
    <row r="2002" spans="1:11" x14ac:dyDescent="0.35">
      <c r="A2002" t="s">
        <v>2039</v>
      </c>
      <c r="B2002">
        <v>37</v>
      </c>
      <c r="C2002" t="s">
        <v>18</v>
      </c>
      <c r="D2002" t="s">
        <v>13</v>
      </c>
      <c r="E2002">
        <v>16</v>
      </c>
      <c r="F2002" t="s">
        <v>31</v>
      </c>
      <c r="G2002" t="s">
        <v>34</v>
      </c>
      <c r="H2002" s="1">
        <v>192.33</v>
      </c>
      <c r="I2002" t="s">
        <v>24</v>
      </c>
      <c r="J2002">
        <v>1</v>
      </c>
      <c r="K2002">
        <v>6</v>
      </c>
    </row>
    <row r="2003" spans="1:11" x14ac:dyDescent="0.35">
      <c r="A2003" t="s">
        <v>2040</v>
      </c>
      <c r="B2003">
        <v>84</v>
      </c>
      <c r="C2003" t="s">
        <v>18</v>
      </c>
      <c r="D2003" t="s">
        <v>19</v>
      </c>
      <c r="E2003">
        <v>17</v>
      </c>
      <c r="F2003" t="s">
        <v>22</v>
      </c>
      <c r="G2003" t="s">
        <v>37</v>
      </c>
      <c r="H2003" s="1">
        <v>147.13999999999999</v>
      </c>
      <c r="I2003" t="s">
        <v>24</v>
      </c>
      <c r="J2003">
        <v>0</v>
      </c>
      <c r="K2003">
        <v>5</v>
      </c>
    </row>
    <row r="2004" spans="1:11" x14ac:dyDescent="0.35">
      <c r="A2004" t="s">
        <v>2041</v>
      </c>
      <c r="B2004">
        <v>80</v>
      </c>
      <c r="C2004" t="s">
        <v>12</v>
      </c>
      <c r="D2004" t="s">
        <v>21</v>
      </c>
      <c r="E2004">
        <v>22</v>
      </c>
      <c r="F2004" t="s">
        <v>31</v>
      </c>
      <c r="G2004" t="s">
        <v>34</v>
      </c>
      <c r="H2004" s="1">
        <v>139.38999999999999</v>
      </c>
      <c r="I2004" t="s">
        <v>24</v>
      </c>
      <c r="J2004">
        <v>0</v>
      </c>
      <c r="K2004">
        <v>2</v>
      </c>
    </row>
    <row r="2005" spans="1:11" x14ac:dyDescent="0.35">
      <c r="A2005" t="s">
        <v>2042</v>
      </c>
      <c r="B2005">
        <v>75</v>
      </c>
      <c r="C2005" t="s">
        <v>12</v>
      </c>
      <c r="D2005" t="s">
        <v>19</v>
      </c>
      <c r="E2005">
        <v>17</v>
      </c>
      <c r="F2005" t="s">
        <v>22</v>
      </c>
      <c r="G2005" t="s">
        <v>37</v>
      </c>
      <c r="H2005" s="1">
        <v>202.1</v>
      </c>
      <c r="I2005" t="s">
        <v>28</v>
      </c>
      <c r="J2005">
        <v>2</v>
      </c>
      <c r="K2005">
        <v>6</v>
      </c>
    </row>
    <row r="2006" spans="1:11" x14ac:dyDescent="0.35">
      <c r="A2006" t="s">
        <v>2043</v>
      </c>
      <c r="B2006">
        <v>43</v>
      </c>
      <c r="C2006" t="s">
        <v>12</v>
      </c>
      <c r="D2006" t="s">
        <v>47</v>
      </c>
      <c r="E2006">
        <v>8</v>
      </c>
      <c r="F2006" t="s">
        <v>22</v>
      </c>
      <c r="G2006" t="s">
        <v>27</v>
      </c>
      <c r="H2006" s="1">
        <v>35.71</v>
      </c>
      <c r="I2006" t="s">
        <v>43</v>
      </c>
      <c r="J2006">
        <v>1</v>
      </c>
      <c r="K2006">
        <v>9</v>
      </c>
    </row>
    <row r="2007" spans="1:11" x14ac:dyDescent="0.35">
      <c r="A2007" t="s">
        <v>2044</v>
      </c>
      <c r="B2007">
        <v>56</v>
      </c>
      <c r="C2007" t="s">
        <v>12</v>
      </c>
      <c r="D2007" t="s">
        <v>19</v>
      </c>
      <c r="E2007">
        <v>7</v>
      </c>
      <c r="F2007" t="s">
        <v>26</v>
      </c>
      <c r="G2007" t="s">
        <v>15</v>
      </c>
      <c r="H2007" s="1">
        <v>269.66000000000003</v>
      </c>
      <c r="I2007" t="s">
        <v>24</v>
      </c>
      <c r="J2007">
        <v>0</v>
      </c>
      <c r="K2007">
        <v>7</v>
      </c>
    </row>
    <row r="2008" spans="1:11" x14ac:dyDescent="0.35">
      <c r="A2008" t="s">
        <v>2045</v>
      </c>
      <c r="B2008">
        <v>80</v>
      </c>
      <c r="C2008" t="s">
        <v>12</v>
      </c>
      <c r="D2008" t="s">
        <v>21</v>
      </c>
      <c r="E2008">
        <v>21</v>
      </c>
      <c r="F2008" t="s">
        <v>26</v>
      </c>
      <c r="G2008" t="s">
        <v>27</v>
      </c>
      <c r="H2008" s="1">
        <v>22.01</v>
      </c>
      <c r="I2008" t="s">
        <v>24</v>
      </c>
      <c r="J2008">
        <v>1</v>
      </c>
      <c r="K2008">
        <v>1</v>
      </c>
    </row>
    <row r="2009" spans="1:11" x14ac:dyDescent="0.35">
      <c r="A2009" t="s">
        <v>2046</v>
      </c>
      <c r="B2009">
        <v>50</v>
      </c>
      <c r="C2009" t="s">
        <v>12</v>
      </c>
      <c r="D2009" t="s">
        <v>19</v>
      </c>
      <c r="E2009">
        <v>22</v>
      </c>
      <c r="F2009" t="s">
        <v>31</v>
      </c>
      <c r="G2009" t="s">
        <v>37</v>
      </c>
      <c r="H2009" s="1">
        <v>193.17</v>
      </c>
      <c r="I2009" t="s">
        <v>28</v>
      </c>
      <c r="J2009">
        <v>2</v>
      </c>
      <c r="K2009">
        <v>1</v>
      </c>
    </row>
    <row r="2010" spans="1:11" x14ac:dyDescent="0.35">
      <c r="A2010" t="s">
        <v>2047</v>
      </c>
      <c r="B2010">
        <v>32</v>
      </c>
      <c r="C2010" t="s">
        <v>18</v>
      </c>
      <c r="D2010" t="s">
        <v>21</v>
      </c>
      <c r="E2010">
        <v>35</v>
      </c>
      <c r="F2010" t="s">
        <v>22</v>
      </c>
      <c r="G2010" t="s">
        <v>34</v>
      </c>
      <c r="H2010" s="1">
        <v>151.21</v>
      </c>
      <c r="I2010" t="s">
        <v>24</v>
      </c>
      <c r="J2010">
        <v>3</v>
      </c>
      <c r="K2010">
        <v>4</v>
      </c>
    </row>
    <row r="2011" spans="1:11" x14ac:dyDescent="0.35">
      <c r="A2011" t="s">
        <v>2048</v>
      </c>
      <c r="B2011">
        <v>34</v>
      </c>
      <c r="C2011" t="s">
        <v>18</v>
      </c>
      <c r="D2011" t="s">
        <v>19</v>
      </c>
      <c r="E2011">
        <v>20</v>
      </c>
      <c r="F2011" t="s">
        <v>22</v>
      </c>
      <c r="G2011" t="s">
        <v>23</v>
      </c>
      <c r="H2011" s="1">
        <v>364.71</v>
      </c>
      <c r="I2011" t="s">
        <v>24</v>
      </c>
      <c r="J2011">
        <v>4</v>
      </c>
      <c r="K2011">
        <v>3</v>
      </c>
    </row>
    <row r="2012" spans="1:11" x14ac:dyDescent="0.35">
      <c r="A2012" t="s">
        <v>2049</v>
      </c>
      <c r="B2012">
        <v>72</v>
      </c>
      <c r="C2012" t="s">
        <v>12</v>
      </c>
      <c r="D2012" t="s">
        <v>19</v>
      </c>
      <c r="E2012">
        <v>15</v>
      </c>
      <c r="F2012" t="s">
        <v>33</v>
      </c>
      <c r="G2012" t="s">
        <v>15</v>
      </c>
      <c r="H2012" s="1">
        <v>214.12</v>
      </c>
      <c r="I2012" t="s">
        <v>43</v>
      </c>
      <c r="J2012">
        <v>1</v>
      </c>
      <c r="K2012">
        <v>6</v>
      </c>
    </row>
    <row r="2013" spans="1:11" x14ac:dyDescent="0.35">
      <c r="A2013" t="s">
        <v>2050</v>
      </c>
      <c r="B2013">
        <v>67</v>
      </c>
      <c r="C2013" t="s">
        <v>18</v>
      </c>
      <c r="D2013" t="s">
        <v>30</v>
      </c>
      <c r="E2013">
        <v>4</v>
      </c>
      <c r="F2013" t="s">
        <v>33</v>
      </c>
      <c r="G2013" t="s">
        <v>15</v>
      </c>
      <c r="H2013" s="1">
        <v>144.97999999999999</v>
      </c>
      <c r="I2013" t="s">
        <v>24</v>
      </c>
      <c r="J2013">
        <v>1</v>
      </c>
      <c r="K2013">
        <v>10</v>
      </c>
    </row>
    <row r="2014" spans="1:11" x14ac:dyDescent="0.35">
      <c r="A2014" t="s">
        <v>2051</v>
      </c>
      <c r="B2014">
        <v>50</v>
      </c>
      <c r="C2014" t="s">
        <v>18</v>
      </c>
      <c r="D2014" t="s">
        <v>19</v>
      </c>
      <c r="E2014">
        <v>13</v>
      </c>
      <c r="F2014" t="s">
        <v>26</v>
      </c>
      <c r="G2014" t="s">
        <v>15</v>
      </c>
      <c r="H2014" s="1">
        <v>404.05</v>
      </c>
      <c r="I2014" t="s">
        <v>24</v>
      </c>
      <c r="J2014">
        <v>1</v>
      </c>
      <c r="K2014">
        <v>8</v>
      </c>
    </row>
    <row r="2015" spans="1:11" x14ac:dyDescent="0.35">
      <c r="A2015" t="s">
        <v>2052</v>
      </c>
      <c r="B2015">
        <v>37</v>
      </c>
      <c r="C2015" t="s">
        <v>12</v>
      </c>
      <c r="D2015" t="s">
        <v>21</v>
      </c>
      <c r="E2015">
        <v>33</v>
      </c>
      <c r="F2015" t="s">
        <v>33</v>
      </c>
      <c r="G2015" t="s">
        <v>23</v>
      </c>
      <c r="H2015" s="1">
        <v>484.78</v>
      </c>
      <c r="I2015" t="s">
        <v>24</v>
      </c>
      <c r="J2015">
        <v>3</v>
      </c>
      <c r="K2015">
        <v>1</v>
      </c>
    </row>
    <row r="2016" spans="1:11" x14ac:dyDescent="0.35">
      <c r="A2016" t="s">
        <v>2053</v>
      </c>
      <c r="B2016">
        <v>51</v>
      </c>
      <c r="C2016" t="s">
        <v>18</v>
      </c>
      <c r="D2016" t="s">
        <v>19</v>
      </c>
      <c r="E2016">
        <v>18</v>
      </c>
      <c r="F2016" t="s">
        <v>22</v>
      </c>
      <c r="G2016" t="s">
        <v>34</v>
      </c>
      <c r="H2016" s="1">
        <v>197.18</v>
      </c>
      <c r="I2016" t="s">
        <v>24</v>
      </c>
      <c r="J2016">
        <v>0</v>
      </c>
      <c r="K2016">
        <v>5</v>
      </c>
    </row>
    <row r="2017" spans="1:11" x14ac:dyDescent="0.35">
      <c r="A2017" t="s">
        <v>2054</v>
      </c>
      <c r="B2017">
        <v>70</v>
      </c>
      <c r="C2017" t="s">
        <v>12</v>
      </c>
      <c r="D2017" t="s">
        <v>19</v>
      </c>
      <c r="E2017">
        <v>15</v>
      </c>
      <c r="F2017" t="s">
        <v>33</v>
      </c>
      <c r="G2017" t="s">
        <v>23</v>
      </c>
      <c r="H2017" s="1">
        <v>172.81</v>
      </c>
      <c r="I2017" t="s">
        <v>43</v>
      </c>
      <c r="J2017">
        <v>2</v>
      </c>
      <c r="K2017">
        <v>5</v>
      </c>
    </row>
    <row r="2018" spans="1:11" x14ac:dyDescent="0.35">
      <c r="A2018" t="s">
        <v>2055</v>
      </c>
      <c r="B2018">
        <v>68</v>
      </c>
      <c r="C2018" t="s">
        <v>12</v>
      </c>
      <c r="D2018" t="s">
        <v>21</v>
      </c>
      <c r="E2018">
        <v>30</v>
      </c>
      <c r="F2018" t="s">
        <v>22</v>
      </c>
      <c r="G2018" t="s">
        <v>23</v>
      </c>
      <c r="H2018" s="1">
        <v>531.64</v>
      </c>
      <c r="I2018" t="s">
        <v>28</v>
      </c>
      <c r="J2018">
        <v>0</v>
      </c>
      <c r="K2018">
        <v>1</v>
      </c>
    </row>
    <row r="2019" spans="1:11" x14ac:dyDescent="0.35">
      <c r="A2019" t="s">
        <v>2056</v>
      </c>
      <c r="B2019">
        <v>78</v>
      </c>
      <c r="C2019" t="s">
        <v>12</v>
      </c>
      <c r="D2019" t="s">
        <v>19</v>
      </c>
      <c r="E2019">
        <v>11</v>
      </c>
      <c r="F2019" t="s">
        <v>33</v>
      </c>
      <c r="G2019" t="s">
        <v>15</v>
      </c>
      <c r="H2019" s="1">
        <v>161.08000000000001</v>
      </c>
      <c r="I2019" t="s">
        <v>24</v>
      </c>
      <c r="J2019">
        <v>1</v>
      </c>
      <c r="K2019">
        <v>7</v>
      </c>
    </row>
    <row r="2020" spans="1:11" x14ac:dyDescent="0.35">
      <c r="A2020" t="s">
        <v>2057</v>
      </c>
      <c r="B2020">
        <v>64</v>
      </c>
      <c r="C2020" t="s">
        <v>12</v>
      </c>
      <c r="D2020" t="s">
        <v>19</v>
      </c>
      <c r="E2020">
        <v>24</v>
      </c>
      <c r="F2020" t="s">
        <v>33</v>
      </c>
      <c r="G2020" t="s">
        <v>15</v>
      </c>
      <c r="H2020" s="1">
        <v>148.76</v>
      </c>
      <c r="I2020" t="s">
        <v>24</v>
      </c>
      <c r="J2020">
        <v>4</v>
      </c>
      <c r="K2020">
        <v>5</v>
      </c>
    </row>
    <row r="2021" spans="1:11" x14ac:dyDescent="0.35">
      <c r="A2021" t="s">
        <v>2058</v>
      </c>
      <c r="B2021">
        <v>52</v>
      </c>
      <c r="C2021" t="s">
        <v>12</v>
      </c>
      <c r="D2021" t="s">
        <v>19</v>
      </c>
      <c r="E2021">
        <v>20</v>
      </c>
      <c r="F2021" t="s">
        <v>31</v>
      </c>
      <c r="G2021" t="s">
        <v>34</v>
      </c>
      <c r="H2021" s="1">
        <v>107.34</v>
      </c>
      <c r="I2021" t="s">
        <v>24</v>
      </c>
      <c r="J2021">
        <v>2</v>
      </c>
      <c r="K2021">
        <v>5</v>
      </c>
    </row>
    <row r="2022" spans="1:11" x14ac:dyDescent="0.35">
      <c r="A2022" t="s">
        <v>2059</v>
      </c>
      <c r="B2022">
        <v>65</v>
      </c>
      <c r="C2022" t="s">
        <v>18</v>
      </c>
      <c r="D2022" t="s">
        <v>47</v>
      </c>
      <c r="E2022">
        <v>5</v>
      </c>
      <c r="F2022" t="s">
        <v>22</v>
      </c>
      <c r="G2022" t="s">
        <v>34</v>
      </c>
      <c r="H2022" s="1">
        <v>107.26</v>
      </c>
      <c r="I2022" t="s">
        <v>24</v>
      </c>
      <c r="J2022">
        <v>0</v>
      </c>
      <c r="K2022">
        <v>9</v>
      </c>
    </row>
    <row r="2023" spans="1:11" x14ac:dyDescent="0.35">
      <c r="A2023" t="s">
        <v>2060</v>
      </c>
      <c r="B2023">
        <v>48</v>
      </c>
      <c r="C2023" t="s">
        <v>12</v>
      </c>
      <c r="D2023" t="s">
        <v>244</v>
      </c>
      <c r="E2023">
        <v>22</v>
      </c>
      <c r="F2023" t="s">
        <v>33</v>
      </c>
      <c r="G2023" t="s">
        <v>37</v>
      </c>
      <c r="H2023" s="1">
        <v>162.28</v>
      </c>
      <c r="I2023" t="s">
        <v>24</v>
      </c>
      <c r="J2023">
        <v>2</v>
      </c>
      <c r="K2023">
        <v>3</v>
      </c>
    </row>
    <row r="2024" spans="1:11" x14ac:dyDescent="0.35">
      <c r="A2024" t="s">
        <v>2061</v>
      </c>
      <c r="B2024">
        <v>85</v>
      </c>
      <c r="C2024" t="s">
        <v>18</v>
      </c>
      <c r="D2024" t="s">
        <v>13</v>
      </c>
      <c r="E2024">
        <v>12</v>
      </c>
      <c r="F2024" t="s">
        <v>33</v>
      </c>
      <c r="G2024" t="s">
        <v>15</v>
      </c>
      <c r="H2024" s="1">
        <v>297.75</v>
      </c>
      <c r="I2024" t="s">
        <v>28</v>
      </c>
      <c r="J2024">
        <v>3</v>
      </c>
      <c r="K2024">
        <v>4</v>
      </c>
    </row>
    <row r="2025" spans="1:11" x14ac:dyDescent="0.35">
      <c r="A2025" t="s">
        <v>2062</v>
      </c>
      <c r="B2025">
        <v>36</v>
      </c>
      <c r="C2025" t="s">
        <v>12</v>
      </c>
      <c r="D2025" t="s">
        <v>19</v>
      </c>
      <c r="E2025">
        <v>15</v>
      </c>
      <c r="F2025" t="s">
        <v>22</v>
      </c>
      <c r="G2025" t="s">
        <v>15</v>
      </c>
      <c r="H2025" s="1">
        <v>194.45</v>
      </c>
      <c r="I2025" t="s">
        <v>24</v>
      </c>
      <c r="J2025">
        <v>1</v>
      </c>
      <c r="K2025">
        <v>4</v>
      </c>
    </row>
    <row r="2026" spans="1:11" x14ac:dyDescent="0.35">
      <c r="A2026" t="s">
        <v>2063</v>
      </c>
      <c r="B2026">
        <v>52</v>
      </c>
      <c r="C2026" t="s">
        <v>12</v>
      </c>
      <c r="D2026" t="s">
        <v>21</v>
      </c>
      <c r="E2026">
        <v>43</v>
      </c>
      <c r="F2026" t="s">
        <v>22</v>
      </c>
      <c r="G2026" t="s">
        <v>27</v>
      </c>
      <c r="H2026" s="1">
        <v>106.98</v>
      </c>
      <c r="I2026" t="s">
        <v>24</v>
      </c>
      <c r="J2026">
        <v>0</v>
      </c>
      <c r="K2026">
        <v>3</v>
      </c>
    </row>
    <row r="2027" spans="1:11" x14ac:dyDescent="0.35">
      <c r="A2027" t="s">
        <v>2064</v>
      </c>
      <c r="B2027">
        <v>65</v>
      </c>
      <c r="C2027" t="s">
        <v>12</v>
      </c>
      <c r="D2027" t="s">
        <v>13</v>
      </c>
      <c r="E2027">
        <v>13</v>
      </c>
      <c r="F2027" t="s">
        <v>22</v>
      </c>
      <c r="G2027" t="s">
        <v>23</v>
      </c>
      <c r="H2027" s="1">
        <v>324.25</v>
      </c>
      <c r="I2027" t="s">
        <v>24</v>
      </c>
      <c r="J2027">
        <v>3</v>
      </c>
      <c r="K2027">
        <v>6</v>
      </c>
    </row>
    <row r="2028" spans="1:11" x14ac:dyDescent="0.35">
      <c r="A2028" t="s">
        <v>2065</v>
      </c>
      <c r="B2028">
        <v>28</v>
      </c>
      <c r="C2028" t="s">
        <v>18</v>
      </c>
      <c r="D2028" t="s">
        <v>41</v>
      </c>
      <c r="E2028">
        <v>8</v>
      </c>
      <c r="F2028" t="s">
        <v>22</v>
      </c>
      <c r="G2028" t="s">
        <v>23</v>
      </c>
      <c r="H2028" s="1">
        <v>349.98</v>
      </c>
      <c r="I2028" t="s">
        <v>24</v>
      </c>
      <c r="J2028">
        <v>0</v>
      </c>
      <c r="K2028">
        <v>10</v>
      </c>
    </row>
    <row r="2029" spans="1:11" x14ac:dyDescent="0.35">
      <c r="A2029" t="s">
        <v>2066</v>
      </c>
      <c r="B2029">
        <v>42</v>
      </c>
      <c r="C2029" t="s">
        <v>12</v>
      </c>
      <c r="D2029" t="s">
        <v>47</v>
      </c>
      <c r="E2029">
        <v>13</v>
      </c>
      <c r="F2029" t="s">
        <v>33</v>
      </c>
      <c r="G2029" t="s">
        <v>27</v>
      </c>
      <c r="H2029" s="1">
        <v>75.2</v>
      </c>
      <c r="I2029" t="s">
        <v>24</v>
      </c>
      <c r="J2029">
        <v>0</v>
      </c>
      <c r="K2029">
        <v>5</v>
      </c>
    </row>
    <row r="2030" spans="1:11" x14ac:dyDescent="0.35">
      <c r="A2030" t="s">
        <v>2067</v>
      </c>
      <c r="B2030">
        <v>58</v>
      </c>
      <c r="C2030" t="s">
        <v>18</v>
      </c>
      <c r="D2030" t="s">
        <v>120</v>
      </c>
      <c r="E2030">
        <v>40</v>
      </c>
      <c r="F2030" t="s">
        <v>33</v>
      </c>
      <c r="G2030" t="s">
        <v>27</v>
      </c>
      <c r="H2030" s="1">
        <v>109.05</v>
      </c>
      <c r="I2030" t="s">
        <v>24</v>
      </c>
      <c r="J2030">
        <v>0</v>
      </c>
      <c r="K2030">
        <v>4</v>
      </c>
    </row>
    <row r="2031" spans="1:11" x14ac:dyDescent="0.35">
      <c r="A2031" t="s">
        <v>2068</v>
      </c>
      <c r="B2031">
        <v>51</v>
      </c>
      <c r="C2031" t="s">
        <v>18</v>
      </c>
      <c r="D2031" t="s">
        <v>13</v>
      </c>
      <c r="E2031">
        <v>21</v>
      </c>
      <c r="F2031" t="s">
        <v>33</v>
      </c>
      <c r="G2031" t="s">
        <v>37</v>
      </c>
      <c r="H2031" s="1">
        <v>132.57</v>
      </c>
      <c r="I2031" t="s">
        <v>24</v>
      </c>
      <c r="J2031">
        <v>0</v>
      </c>
      <c r="K2031">
        <v>1</v>
      </c>
    </row>
    <row r="2032" spans="1:11" x14ac:dyDescent="0.35">
      <c r="A2032" t="s">
        <v>2069</v>
      </c>
      <c r="B2032">
        <v>71</v>
      </c>
      <c r="C2032" t="s">
        <v>12</v>
      </c>
      <c r="D2032" t="s">
        <v>21</v>
      </c>
      <c r="E2032">
        <v>22</v>
      </c>
      <c r="F2032" t="s">
        <v>26</v>
      </c>
      <c r="G2032" t="s">
        <v>37</v>
      </c>
      <c r="H2032" s="1">
        <v>100.48</v>
      </c>
      <c r="I2032" t="s">
        <v>24</v>
      </c>
      <c r="J2032">
        <v>0</v>
      </c>
      <c r="K2032">
        <v>4</v>
      </c>
    </row>
    <row r="2033" spans="1:11" x14ac:dyDescent="0.35">
      <c r="A2033" t="s">
        <v>2070</v>
      </c>
      <c r="B2033">
        <v>57</v>
      </c>
      <c r="C2033" t="s">
        <v>12</v>
      </c>
      <c r="D2033" t="s">
        <v>19</v>
      </c>
      <c r="E2033">
        <v>15</v>
      </c>
      <c r="F2033" t="s">
        <v>33</v>
      </c>
      <c r="G2033" t="s">
        <v>37</v>
      </c>
      <c r="H2033" s="1">
        <v>93.22</v>
      </c>
      <c r="I2033" t="s">
        <v>24</v>
      </c>
      <c r="J2033">
        <v>0</v>
      </c>
      <c r="K2033">
        <v>4</v>
      </c>
    </row>
    <row r="2034" spans="1:11" x14ac:dyDescent="0.35">
      <c r="A2034" t="s">
        <v>2071</v>
      </c>
      <c r="B2034">
        <v>84</v>
      </c>
      <c r="C2034" t="s">
        <v>12</v>
      </c>
      <c r="D2034" t="s">
        <v>30</v>
      </c>
      <c r="E2034">
        <v>14</v>
      </c>
      <c r="F2034" t="s">
        <v>22</v>
      </c>
      <c r="G2034" t="s">
        <v>34</v>
      </c>
      <c r="H2034" s="1">
        <v>177.89</v>
      </c>
      <c r="I2034" t="s">
        <v>24</v>
      </c>
      <c r="J2034">
        <v>1</v>
      </c>
      <c r="K2034">
        <v>6</v>
      </c>
    </row>
    <row r="2035" spans="1:11" x14ac:dyDescent="0.35">
      <c r="A2035" t="s">
        <v>2072</v>
      </c>
      <c r="B2035">
        <v>76</v>
      </c>
      <c r="C2035" t="s">
        <v>18</v>
      </c>
      <c r="D2035" t="s">
        <v>21</v>
      </c>
      <c r="E2035">
        <v>33</v>
      </c>
      <c r="F2035" t="s">
        <v>22</v>
      </c>
      <c r="G2035" t="s">
        <v>23</v>
      </c>
      <c r="H2035" s="1">
        <v>455.85</v>
      </c>
      <c r="I2035" t="s">
        <v>43</v>
      </c>
      <c r="J2035">
        <v>4</v>
      </c>
      <c r="K2035">
        <v>4</v>
      </c>
    </row>
    <row r="2036" spans="1:11" x14ac:dyDescent="0.35">
      <c r="A2036" t="s">
        <v>2073</v>
      </c>
      <c r="B2036">
        <v>70</v>
      </c>
      <c r="C2036" t="s">
        <v>12</v>
      </c>
      <c r="D2036" t="s">
        <v>21</v>
      </c>
      <c r="E2036">
        <v>33</v>
      </c>
      <c r="F2036" t="s">
        <v>33</v>
      </c>
      <c r="G2036" t="s">
        <v>27</v>
      </c>
      <c r="H2036" s="1">
        <v>30.3</v>
      </c>
      <c r="I2036" t="s">
        <v>24</v>
      </c>
      <c r="J2036">
        <v>1</v>
      </c>
      <c r="K2036">
        <v>3</v>
      </c>
    </row>
    <row r="2037" spans="1:11" x14ac:dyDescent="0.35">
      <c r="A2037" t="s">
        <v>2074</v>
      </c>
      <c r="B2037">
        <v>47</v>
      </c>
      <c r="C2037" t="s">
        <v>18</v>
      </c>
      <c r="D2037" t="s">
        <v>13</v>
      </c>
      <c r="E2037">
        <v>7</v>
      </c>
      <c r="F2037" t="s">
        <v>14</v>
      </c>
      <c r="G2037" t="s">
        <v>27</v>
      </c>
      <c r="H2037" s="1">
        <v>0</v>
      </c>
      <c r="I2037" t="s">
        <v>16</v>
      </c>
      <c r="J2037">
        <v>0</v>
      </c>
      <c r="K2037">
        <v>7</v>
      </c>
    </row>
    <row r="2038" spans="1:11" x14ac:dyDescent="0.35">
      <c r="A2038" t="s">
        <v>2075</v>
      </c>
      <c r="B2038">
        <v>22</v>
      </c>
      <c r="C2038" t="s">
        <v>18</v>
      </c>
      <c r="D2038" t="s">
        <v>13</v>
      </c>
      <c r="E2038">
        <v>23</v>
      </c>
      <c r="F2038" t="s">
        <v>31</v>
      </c>
      <c r="G2038" t="s">
        <v>15</v>
      </c>
      <c r="H2038" s="1">
        <v>127.43</v>
      </c>
      <c r="I2038" t="s">
        <v>24</v>
      </c>
      <c r="J2038">
        <v>2</v>
      </c>
      <c r="K2038">
        <v>3</v>
      </c>
    </row>
    <row r="2039" spans="1:11" x14ac:dyDescent="0.35">
      <c r="A2039" t="s">
        <v>2076</v>
      </c>
      <c r="B2039">
        <v>25</v>
      </c>
      <c r="C2039" t="s">
        <v>18</v>
      </c>
      <c r="D2039" t="s">
        <v>13</v>
      </c>
      <c r="E2039">
        <v>11</v>
      </c>
      <c r="F2039" t="s">
        <v>31</v>
      </c>
      <c r="G2039" t="s">
        <v>37</v>
      </c>
      <c r="H2039" s="1">
        <v>114.66</v>
      </c>
      <c r="I2039" t="s">
        <v>24</v>
      </c>
      <c r="J2039">
        <v>3</v>
      </c>
      <c r="K2039">
        <v>4</v>
      </c>
    </row>
    <row r="2040" spans="1:11" x14ac:dyDescent="0.35">
      <c r="A2040" t="s">
        <v>2077</v>
      </c>
      <c r="B2040">
        <v>30</v>
      </c>
      <c r="C2040" t="s">
        <v>18</v>
      </c>
      <c r="D2040" t="s">
        <v>13</v>
      </c>
      <c r="E2040">
        <v>18</v>
      </c>
      <c r="F2040" t="s">
        <v>26</v>
      </c>
      <c r="G2040" t="s">
        <v>23</v>
      </c>
      <c r="H2040" s="1">
        <v>599.71</v>
      </c>
      <c r="I2040" t="s">
        <v>28</v>
      </c>
      <c r="J2040">
        <v>3</v>
      </c>
      <c r="K2040">
        <v>6</v>
      </c>
    </row>
    <row r="2041" spans="1:11" x14ac:dyDescent="0.35">
      <c r="A2041" t="s">
        <v>2078</v>
      </c>
      <c r="B2041">
        <v>50</v>
      </c>
      <c r="C2041" t="s">
        <v>12</v>
      </c>
      <c r="D2041" t="s">
        <v>30</v>
      </c>
      <c r="E2041">
        <v>11</v>
      </c>
      <c r="F2041" t="s">
        <v>33</v>
      </c>
      <c r="G2041" t="s">
        <v>23</v>
      </c>
      <c r="H2041" s="1">
        <v>511.65</v>
      </c>
      <c r="I2041" t="s">
        <v>24</v>
      </c>
      <c r="J2041">
        <v>0</v>
      </c>
      <c r="K2041">
        <v>7</v>
      </c>
    </row>
    <row r="2042" spans="1:11" x14ac:dyDescent="0.35">
      <c r="A2042" t="s">
        <v>2079</v>
      </c>
      <c r="B2042">
        <v>57</v>
      </c>
      <c r="C2042" t="s">
        <v>18</v>
      </c>
      <c r="D2042" t="s">
        <v>19</v>
      </c>
      <c r="E2042">
        <v>13</v>
      </c>
      <c r="F2042" t="s">
        <v>22</v>
      </c>
      <c r="G2042" t="s">
        <v>15</v>
      </c>
      <c r="H2042" s="1">
        <v>169.58</v>
      </c>
      <c r="I2042" t="s">
        <v>24</v>
      </c>
      <c r="J2042">
        <v>1</v>
      </c>
      <c r="K2042">
        <v>6</v>
      </c>
    </row>
    <row r="2043" spans="1:11" x14ac:dyDescent="0.35">
      <c r="A2043" t="s">
        <v>2080</v>
      </c>
      <c r="B2043">
        <v>41</v>
      </c>
      <c r="C2043" t="s">
        <v>18</v>
      </c>
      <c r="D2043" t="s">
        <v>21</v>
      </c>
      <c r="E2043">
        <v>41</v>
      </c>
      <c r="F2043" t="s">
        <v>22</v>
      </c>
      <c r="G2043" t="s">
        <v>27</v>
      </c>
      <c r="H2043" s="1">
        <v>149.99</v>
      </c>
      <c r="I2043" t="s">
        <v>24</v>
      </c>
      <c r="J2043">
        <v>3</v>
      </c>
      <c r="K2043">
        <v>3</v>
      </c>
    </row>
    <row r="2044" spans="1:11" x14ac:dyDescent="0.35">
      <c r="A2044" t="s">
        <v>2081</v>
      </c>
      <c r="B2044">
        <v>80</v>
      </c>
      <c r="C2044" t="s">
        <v>18</v>
      </c>
      <c r="D2044" t="s">
        <v>21</v>
      </c>
      <c r="E2044">
        <v>32</v>
      </c>
      <c r="F2044" t="s">
        <v>14</v>
      </c>
      <c r="G2044" t="s">
        <v>34</v>
      </c>
      <c r="H2044" s="1">
        <v>0</v>
      </c>
      <c r="I2044" t="s">
        <v>16</v>
      </c>
      <c r="J2044">
        <v>0</v>
      </c>
      <c r="K2044">
        <v>1</v>
      </c>
    </row>
    <row r="2045" spans="1:11" x14ac:dyDescent="0.35">
      <c r="A2045" t="s">
        <v>2082</v>
      </c>
      <c r="B2045">
        <v>50</v>
      </c>
      <c r="C2045" t="s">
        <v>12</v>
      </c>
      <c r="D2045" t="s">
        <v>19</v>
      </c>
      <c r="E2045">
        <v>7</v>
      </c>
      <c r="F2045" t="s">
        <v>33</v>
      </c>
      <c r="G2045" t="s">
        <v>15</v>
      </c>
      <c r="H2045" s="1">
        <v>253.91</v>
      </c>
      <c r="I2045" t="s">
        <v>24</v>
      </c>
      <c r="J2045">
        <v>1</v>
      </c>
      <c r="K2045">
        <v>7</v>
      </c>
    </row>
    <row r="2046" spans="1:11" x14ac:dyDescent="0.35">
      <c r="A2046" t="s">
        <v>2083</v>
      </c>
      <c r="B2046">
        <v>79</v>
      </c>
      <c r="C2046" t="s">
        <v>12</v>
      </c>
      <c r="D2046" t="s">
        <v>19</v>
      </c>
      <c r="E2046">
        <v>24</v>
      </c>
      <c r="F2046" t="s">
        <v>22</v>
      </c>
      <c r="G2046" t="s">
        <v>34</v>
      </c>
      <c r="H2046" s="1">
        <v>100.24</v>
      </c>
      <c r="I2046" t="s">
        <v>28</v>
      </c>
      <c r="J2046">
        <v>0</v>
      </c>
      <c r="K2046">
        <v>3</v>
      </c>
    </row>
    <row r="2047" spans="1:11" x14ac:dyDescent="0.35">
      <c r="A2047" t="s">
        <v>2084</v>
      </c>
      <c r="B2047">
        <v>66</v>
      </c>
      <c r="C2047" t="s">
        <v>12</v>
      </c>
      <c r="D2047" t="s">
        <v>200</v>
      </c>
      <c r="E2047">
        <v>14</v>
      </c>
      <c r="F2047" t="s">
        <v>22</v>
      </c>
      <c r="G2047" t="s">
        <v>23</v>
      </c>
      <c r="H2047" s="1">
        <v>191.69</v>
      </c>
      <c r="I2047" t="s">
        <v>24</v>
      </c>
      <c r="J2047">
        <v>0</v>
      </c>
      <c r="K2047">
        <v>8</v>
      </c>
    </row>
    <row r="2048" spans="1:11" x14ac:dyDescent="0.35">
      <c r="A2048" t="s">
        <v>2085</v>
      </c>
      <c r="B2048">
        <v>33</v>
      </c>
      <c r="C2048" t="s">
        <v>18</v>
      </c>
      <c r="D2048" t="s">
        <v>13</v>
      </c>
      <c r="E2048">
        <v>7</v>
      </c>
      <c r="F2048" t="s">
        <v>33</v>
      </c>
      <c r="G2048" t="s">
        <v>34</v>
      </c>
      <c r="H2048" s="1">
        <v>156.66999999999999</v>
      </c>
      <c r="I2048" t="s">
        <v>24</v>
      </c>
      <c r="J2048">
        <v>2</v>
      </c>
      <c r="K2048">
        <v>10</v>
      </c>
    </row>
    <row r="2049" spans="1:11" x14ac:dyDescent="0.35">
      <c r="A2049" t="s">
        <v>2086</v>
      </c>
      <c r="B2049">
        <v>22</v>
      </c>
      <c r="C2049" t="s">
        <v>12</v>
      </c>
      <c r="D2049" t="s">
        <v>30</v>
      </c>
      <c r="E2049">
        <v>6</v>
      </c>
      <c r="F2049" t="s">
        <v>31</v>
      </c>
      <c r="G2049" t="s">
        <v>27</v>
      </c>
      <c r="H2049" s="1">
        <v>166.03</v>
      </c>
      <c r="I2049" t="s">
        <v>24</v>
      </c>
      <c r="J2049">
        <v>1</v>
      </c>
      <c r="K2049">
        <v>7</v>
      </c>
    </row>
    <row r="2050" spans="1:11" x14ac:dyDescent="0.35">
      <c r="A2050" t="s">
        <v>2087</v>
      </c>
      <c r="B2050">
        <v>51</v>
      </c>
      <c r="C2050" t="s">
        <v>18</v>
      </c>
      <c r="D2050" t="s">
        <v>30</v>
      </c>
      <c r="E2050">
        <v>6</v>
      </c>
      <c r="F2050" t="s">
        <v>22</v>
      </c>
      <c r="G2050" t="s">
        <v>27</v>
      </c>
      <c r="H2050" s="1">
        <v>28.41</v>
      </c>
      <c r="I2050" t="s">
        <v>43</v>
      </c>
      <c r="J2050">
        <v>0</v>
      </c>
      <c r="K2050">
        <v>7</v>
      </c>
    </row>
    <row r="2051" spans="1:11" x14ac:dyDescent="0.35">
      <c r="A2051" t="s">
        <v>2088</v>
      </c>
      <c r="B2051">
        <v>71</v>
      </c>
      <c r="C2051" t="s">
        <v>12</v>
      </c>
      <c r="D2051" t="s">
        <v>19</v>
      </c>
      <c r="E2051">
        <v>8</v>
      </c>
      <c r="F2051" t="s">
        <v>33</v>
      </c>
      <c r="G2051" t="s">
        <v>15</v>
      </c>
      <c r="H2051" s="1">
        <v>431.62</v>
      </c>
      <c r="I2051" t="s">
        <v>43</v>
      </c>
      <c r="J2051">
        <v>2</v>
      </c>
      <c r="K2051">
        <v>7</v>
      </c>
    </row>
    <row r="2052" spans="1:11" x14ac:dyDescent="0.35">
      <c r="A2052" t="s">
        <v>2089</v>
      </c>
      <c r="B2052">
        <v>52</v>
      </c>
      <c r="C2052" t="s">
        <v>18</v>
      </c>
      <c r="D2052" t="s">
        <v>21</v>
      </c>
      <c r="E2052">
        <v>35</v>
      </c>
      <c r="F2052" t="s">
        <v>22</v>
      </c>
      <c r="G2052" t="s">
        <v>27</v>
      </c>
      <c r="H2052" s="1">
        <v>79.52</v>
      </c>
      <c r="I2052" t="s">
        <v>24</v>
      </c>
      <c r="J2052">
        <v>1</v>
      </c>
      <c r="K2052">
        <v>2</v>
      </c>
    </row>
    <row r="2053" spans="1:11" x14ac:dyDescent="0.35">
      <c r="A2053" t="s">
        <v>2090</v>
      </c>
      <c r="B2053">
        <v>19</v>
      </c>
      <c r="C2053" t="s">
        <v>12</v>
      </c>
      <c r="D2053" t="s">
        <v>19</v>
      </c>
      <c r="E2053">
        <v>24</v>
      </c>
      <c r="F2053" t="s">
        <v>33</v>
      </c>
      <c r="G2053" t="s">
        <v>15</v>
      </c>
      <c r="H2053" s="1">
        <v>107.31</v>
      </c>
      <c r="I2053" t="s">
        <v>28</v>
      </c>
      <c r="J2053">
        <v>4</v>
      </c>
      <c r="K2053">
        <v>1</v>
      </c>
    </row>
    <row r="2054" spans="1:11" x14ac:dyDescent="0.35">
      <c r="A2054" t="s">
        <v>2091</v>
      </c>
      <c r="B2054">
        <v>30</v>
      </c>
      <c r="C2054" t="s">
        <v>12</v>
      </c>
      <c r="D2054" t="s">
        <v>19</v>
      </c>
      <c r="E2054">
        <v>20</v>
      </c>
      <c r="F2054" t="s">
        <v>31</v>
      </c>
      <c r="G2054" t="s">
        <v>34</v>
      </c>
      <c r="H2054" s="1">
        <v>203.45</v>
      </c>
      <c r="I2054" t="s">
        <v>24</v>
      </c>
      <c r="J2054">
        <v>0</v>
      </c>
      <c r="K2054">
        <v>5</v>
      </c>
    </row>
    <row r="2055" spans="1:11" x14ac:dyDescent="0.35">
      <c r="A2055" t="s">
        <v>2092</v>
      </c>
      <c r="B2055">
        <v>70</v>
      </c>
      <c r="C2055" t="s">
        <v>12</v>
      </c>
      <c r="D2055" t="s">
        <v>21</v>
      </c>
      <c r="E2055">
        <v>31</v>
      </c>
      <c r="F2055" t="s">
        <v>33</v>
      </c>
      <c r="G2055" t="s">
        <v>27</v>
      </c>
      <c r="H2055" s="1">
        <v>104.68</v>
      </c>
      <c r="I2055" t="s">
        <v>24</v>
      </c>
      <c r="J2055">
        <v>1</v>
      </c>
      <c r="K2055">
        <v>4</v>
      </c>
    </row>
    <row r="2056" spans="1:11" x14ac:dyDescent="0.35">
      <c r="A2056" t="s">
        <v>2093</v>
      </c>
      <c r="B2056">
        <v>82</v>
      </c>
      <c r="C2056" t="s">
        <v>18</v>
      </c>
      <c r="D2056" t="s">
        <v>57</v>
      </c>
      <c r="E2056">
        <v>45</v>
      </c>
      <c r="F2056" t="s">
        <v>33</v>
      </c>
      <c r="G2056" t="s">
        <v>37</v>
      </c>
      <c r="H2056" s="1">
        <v>197.43</v>
      </c>
      <c r="I2056" t="s">
        <v>43</v>
      </c>
      <c r="J2056">
        <v>2</v>
      </c>
      <c r="K2056">
        <v>4</v>
      </c>
    </row>
    <row r="2057" spans="1:11" x14ac:dyDescent="0.35">
      <c r="A2057" t="s">
        <v>2094</v>
      </c>
      <c r="B2057">
        <v>42</v>
      </c>
      <c r="C2057" t="s">
        <v>12</v>
      </c>
      <c r="D2057" t="s">
        <v>19</v>
      </c>
      <c r="E2057">
        <v>9</v>
      </c>
      <c r="F2057" t="s">
        <v>31</v>
      </c>
      <c r="G2057" t="s">
        <v>37</v>
      </c>
      <c r="H2057" s="1">
        <v>209.02</v>
      </c>
      <c r="I2057" t="s">
        <v>43</v>
      </c>
      <c r="J2057">
        <v>1</v>
      </c>
      <c r="K2057">
        <v>8</v>
      </c>
    </row>
    <row r="2058" spans="1:11" x14ac:dyDescent="0.35">
      <c r="A2058" t="s">
        <v>2095</v>
      </c>
      <c r="B2058">
        <v>80</v>
      </c>
      <c r="C2058" t="s">
        <v>18</v>
      </c>
      <c r="D2058" t="s">
        <v>244</v>
      </c>
      <c r="E2058">
        <v>12</v>
      </c>
      <c r="F2058" t="s">
        <v>14</v>
      </c>
      <c r="G2058" t="s">
        <v>23</v>
      </c>
      <c r="H2058" s="1">
        <v>0</v>
      </c>
      <c r="I2058" t="s">
        <v>16</v>
      </c>
      <c r="J2058">
        <v>2</v>
      </c>
      <c r="K2058">
        <v>6</v>
      </c>
    </row>
    <row r="2059" spans="1:11" x14ac:dyDescent="0.35">
      <c r="A2059" t="s">
        <v>2096</v>
      </c>
      <c r="B2059">
        <v>83</v>
      </c>
      <c r="C2059" t="s">
        <v>18</v>
      </c>
      <c r="D2059" t="s">
        <v>19</v>
      </c>
      <c r="E2059">
        <v>15</v>
      </c>
      <c r="F2059" t="s">
        <v>31</v>
      </c>
      <c r="G2059" t="s">
        <v>27</v>
      </c>
      <c r="H2059" s="1">
        <v>87.9</v>
      </c>
      <c r="I2059" t="s">
        <v>24</v>
      </c>
      <c r="J2059">
        <v>1</v>
      </c>
      <c r="K2059">
        <v>4</v>
      </c>
    </row>
    <row r="2060" spans="1:11" x14ac:dyDescent="0.35">
      <c r="A2060" t="s">
        <v>2097</v>
      </c>
      <c r="B2060">
        <v>81</v>
      </c>
      <c r="C2060" t="s">
        <v>18</v>
      </c>
      <c r="D2060" t="s">
        <v>19</v>
      </c>
      <c r="E2060">
        <v>8</v>
      </c>
      <c r="F2060" t="s">
        <v>14</v>
      </c>
      <c r="G2060" t="s">
        <v>37</v>
      </c>
      <c r="H2060" s="1">
        <v>0</v>
      </c>
      <c r="I2060" t="s">
        <v>16</v>
      </c>
      <c r="J2060">
        <v>2</v>
      </c>
      <c r="K2060">
        <v>10</v>
      </c>
    </row>
    <row r="2061" spans="1:11" x14ac:dyDescent="0.35">
      <c r="A2061" t="s">
        <v>2098</v>
      </c>
      <c r="B2061">
        <v>79</v>
      </c>
      <c r="C2061" t="s">
        <v>18</v>
      </c>
      <c r="D2061" t="s">
        <v>41</v>
      </c>
      <c r="E2061">
        <v>12</v>
      </c>
      <c r="F2061" t="s">
        <v>33</v>
      </c>
      <c r="G2061" t="s">
        <v>23</v>
      </c>
      <c r="H2061" s="1">
        <v>218.58</v>
      </c>
      <c r="I2061" t="s">
        <v>24</v>
      </c>
      <c r="J2061">
        <v>1</v>
      </c>
      <c r="K2061">
        <v>7</v>
      </c>
    </row>
    <row r="2062" spans="1:11" x14ac:dyDescent="0.35">
      <c r="A2062" t="s">
        <v>2099</v>
      </c>
      <c r="B2062">
        <v>29</v>
      </c>
      <c r="C2062" t="s">
        <v>12</v>
      </c>
      <c r="D2062" t="s">
        <v>19</v>
      </c>
      <c r="E2062">
        <v>18</v>
      </c>
      <c r="F2062" t="s">
        <v>22</v>
      </c>
      <c r="G2062" t="s">
        <v>23</v>
      </c>
      <c r="H2062" s="1">
        <v>339.74</v>
      </c>
      <c r="I2062" t="s">
        <v>28</v>
      </c>
      <c r="J2062">
        <v>3</v>
      </c>
      <c r="K2062">
        <v>5</v>
      </c>
    </row>
    <row r="2063" spans="1:11" x14ac:dyDescent="0.35">
      <c r="A2063" t="s">
        <v>2100</v>
      </c>
      <c r="B2063">
        <v>21</v>
      </c>
      <c r="C2063" t="s">
        <v>528</v>
      </c>
      <c r="D2063" t="s">
        <v>21</v>
      </c>
      <c r="E2063">
        <v>38</v>
      </c>
      <c r="F2063" t="s">
        <v>22</v>
      </c>
      <c r="G2063" t="s">
        <v>15</v>
      </c>
      <c r="H2063" s="1">
        <v>170.1</v>
      </c>
      <c r="I2063" t="s">
        <v>24</v>
      </c>
      <c r="J2063">
        <v>0</v>
      </c>
      <c r="K2063">
        <v>5</v>
      </c>
    </row>
    <row r="2064" spans="1:11" x14ac:dyDescent="0.35">
      <c r="A2064" t="s">
        <v>2101</v>
      </c>
      <c r="B2064">
        <v>61</v>
      </c>
      <c r="C2064" t="s">
        <v>12</v>
      </c>
      <c r="D2064" t="s">
        <v>21</v>
      </c>
      <c r="E2064">
        <v>32</v>
      </c>
      <c r="F2064" t="s">
        <v>31</v>
      </c>
      <c r="G2064" t="s">
        <v>27</v>
      </c>
      <c r="H2064" s="1">
        <v>129.44</v>
      </c>
      <c r="I2064" t="s">
        <v>24</v>
      </c>
      <c r="J2064">
        <v>0</v>
      </c>
      <c r="K2064">
        <v>4</v>
      </c>
    </row>
    <row r="2065" spans="1:11" x14ac:dyDescent="0.35">
      <c r="A2065" t="s">
        <v>2102</v>
      </c>
      <c r="B2065">
        <v>67</v>
      </c>
      <c r="C2065" t="s">
        <v>12</v>
      </c>
      <c r="D2065" t="s">
        <v>19</v>
      </c>
      <c r="E2065">
        <v>14</v>
      </c>
      <c r="F2065" t="s">
        <v>26</v>
      </c>
      <c r="G2065" t="s">
        <v>15</v>
      </c>
      <c r="H2065" s="1">
        <v>336.28</v>
      </c>
      <c r="I2065" t="s">
        <v>43</v>
      </c>
      <c r="J2065">
        <v>3</v>
      </c>
      <c r="K2065">
        <v>4</v>
      </c>
    </row>
    <row r="2066" spans="1:11" x14ac:dyDescent="0.35">
      <c r="A2066" t="s">
        <v>2103</v>
      </c>
      <c r="B2066">
        <v>21</v>
      </c>
      <c r="C2066" t="s">
        <v>18</v>
      </c>
      <c r="D2066" t="s">
        <v>30</v>
      </c>
      <c r="E2066">
        <v>10</v>
      </c>
      <c r="F2066" t="s">
        <v>26</v>
      </c>
      <c r="G2066" t="s">
        <v>23</v>
      </c>
      <c r="H2066" s="1">
        <v>219.26</v>
      </c>
      <c r="I2066" t="s">
        <v>24</v>
      </c>
      <c r="J2066">
        <v>1</v>
      </c>
      <c r="K2066">
        <v>6</v>
      </c>
    </row>
    <row r="2067" spans="1:11" x14ac:dyDescent="0.35">
      <c r="A2067" t="s">
        <v>2104</v>
      </c>
      <c r="B2067">
        <v>37</v>
      </c>
      <c r="C2067" t="s">
        <v>18</v>
      </c>
      <c r="D2067" t="s">
        <v>41</v>
      </c>
      <c r="E2067">
        <v>5</v>
      </c>
      <c r="F2067" t="s">
        <v>33</v>
      </c>
      <c r="G2067" t="s">
        <v>37</v>
      </c>
      <c r="H2067" s="1">
        <v>155.57</v>
      </c>
      <c r="I2067" t="s">
        <v>24</v>
      </c>
      <c r="J2067">
        <v>2</v>
      </c>
      <c r="K2067">
        <v>7</v>
      </c>
    </row>
    <row r="2068" spans="1:11" x14ac:dyDescent="0.35">
      <c r="A2068" t="s">
        <v>2105</v>
      </c>
      <c r="B2068">
        <v>61</v>
      </c>
      <c r="C2068" t="s">
        <v>12</v>
      </c>
      <c r="D2068" t="s">
        <v>19</v>
      </c>
      <c r="E2068">
        <v>18</v>
      </c>
      <c r="F2068" t="s">
        <v>14</v>
      </c>
      <c r="G2068" t="s">
        <v>37</v>
      </c>
      <c r="H2068" s="1">
        <v>0</v>
      </c>
      <c r="I2068" t="s">
        <v>16</v>
      </c>
      <c r="J2068">
        <v>2</v>
      </c>
      <c r="K2068">
        <v>4</v>
      </c>
    </row>
    <row r="2069" spans="1:11" x14ac:dyDescent="0.35">
      <c r="A2069" t="s">
        <v>2106</v>
      </c>
      <c r="B2069">
        <v>53</v>
      </c>
      <c r="C2069" t="s">
        <v>12</v>
      </c>
      <c r="D2069" t="s">
        <v>13</v>
      </c>
      <c r="E2069">
        <v>9</v>
      </c>
      <c r="F2069" t="s">
        <v>33</v>
      </c>
      <c r="G2069" t="s">
        <v>23</v>
      </c>
      <c r="H2069" s="1">
        <v>148.44</v>
      </c>
      <c r="I2069" t="s">
        <v>24</v>
      </c>
      <c r="J2069">
        <v>0</v>
      </c>
      <c r="K2069">
        <v>6</v>
      </c>
    </row>
    <row r="2070" spans="1:11" x14ac:dyDescent="0.35">
      <c r="A2070" t="s">
        <v>2107</v>
      </c>
      <c r="B2070">
        <v>58</v>
      </c>
      <c r="C2070" t="s">
        <v>12</v>
      </c>
      <c r="D2070" t="s">
        <v>30</v>
      </c>
      <c r="E2070">
        <v>13</v>
      </c>
      <c r="F2070" t="s">
        <v>22</v>
      </c>
      <c r="G2070" t="s">
        <v>34</v>
      </c>
      <c r="H2070" s="1">
        <v>179.8</v>
      </c>
      <c r="I2070" t="s">
        <v>24</v>
      </c>
      <c r="J2070">
        <v>1</v>
      </c>
      <c r="K2070">
        <v>5</v>
      </c>
    </row>
    <row r="2071" spans="1:11" x14ac:dyDescent="0.35">
      <c r="A2071" t="s">
        <v>2108</v>
      </c>
      <c r="B2071">
        <v>43</v>
      </c>
      <c r="C2071" t="s">
        <v>12</v>
      </c>
      <c r="D2071" t="s">
        <v>19</v>
      </c>
      <c r="E2071">
        <v>15</v>
      </c>
      <c r="F2071" t="s">
        <v>31</v>
      </c>
      <c r="G2071" t="s">
        <v>27</v>
      </c>
      <c r="H2071" s="1">
        <v>96.82</v>
      </c>
      <c r="I2071" t="s">
        <v>28</v>
      </c>
      <c r="J2071">
        <v>1</v>
      </c>
      <c r="K2071">
        <v>8</v>
      </c>
    </row>
    <row r="2072" spans="1:11" x14ac:dyDescent="0.35">
      <c r="A2072" t="s">
        <v>2109</v>
      </c>
      <c r="B2072">
        <v>30</v>
      </c>
      <c r="C2072" t="s">
        <v>18</v>
      </c>
      <c r="D2072" t="s">
        <v>19</v>
      </c>
      <c r="E2072">
        <v>20</v>
      </c>
      <c r="F2072" t="s">
        <v>31</v>
      </c>
      <c r="G2072" t="s">
        <v>37</v>
      </c>
      <c r="H2072" s="1">
        <v>159.16</v>
      </c>
      <c r="I2072" t="s">
        <v>24</v>
      </c>
      <c r="J2072">
        <v>3</v>
      </c>
      <c r="K2072">
        <v>2</v>
      </c>
    </row>
    <row r="2073" spans="1:11" x14ac:dyDescent="0.35">
      <c r="A2073" t="s">
        <v>2110</v>
      </c>
      <c r="B2073">
        <v>70</v>
      </c>
      <c r="C2073" t="s">
        <v>12</v>
      </c>
      <c r="D2073" t="s">
        <v>120</v>
      </c>
      <c r="E2073">
        <v>23</v>
      </c>
      <c r="F2073" t="s">
        <v>22</v>
      </c>
      <c r="G2073" t="s">
        <v>34</v>
      </c>
      <c r="H2073" s="1">
        <v>157.79</v>
      </c>
      <c r="I2073" t="s">
        <v>28</v>
      </c>
      <c r="J2073">
        <v>1</v>
      </c>
      <c r="K2073">
        <v>4</v>
      </c>
    </row>
    <row r="2074" spans="1:11" x14ac:dyDescent="0.35">
      <c r="A2074" t="s">
        <v>2111</v>
      </c>
      <c r="B2074">
        <v>68</v>
      </c>
      <c r="C2074" t="s">
        <v>12</v>
      </c>
      <c r="D2074" t="s">
        <v>30</v>
      </c>
      <c r="E2074">
        <v>7</v>
      </c>
      <c r="F2074" t="s">
        <v>14</v>
      </c>
      <c r="G2074" t="s">
        <v>34</v>
      </c>
      <c r="H2074" s="1">
        <v>0</v>
      </c>
      <c r="I2074" t="s">
        <v>16</v>
      </c>
      <c r="J2074">
        <v>0</v>
      </c>
      <c r="K2074">
        <v>10</v>
      </c>
    </row>
    <row r="2075" spans="1:11" x14ac:dyDescent="0.35">
      <c r="A2075" t="s">
        <v>2112</v>
      </c>
      <c r="B2075">
        <v>72</v>
      </c>
      <c r="C2075" t="s">
        <v>18</v>
      </c>
      <c r="D2075" t="s">
        <v>19</v>
      </c>
      <c r="E2075">
        <v>12</v>
      </c>
      <c r="F2075" t="s">
        <v>22</v>
      </c>
      <c r="G2075" t="s">
        <v>23</v>
      </c>
      <c r="H2075" s="1">
        <v>219.5</v>
      </c>
      <c r="I2075" t="s">
        <v>24</v>
      </c>
      <c r="J2075">
        <v>2</v>
      </c>
      <c r="K2075">
        <v>5</v>
      </c>
    </row>
    <row r="2076" spans="1:11" x14ac:dyDescent="0.35">
      <c r="A2076" t="s">
        <v>2113</v>
      </c>
      <c r="B2076">
        <v>61</v>
      </c>
      <c r="C2076" t="s">
        <v>18</v>
      </c>
      <c r="D2076" t="s">
        <v>30</v>
      </c>
      <c r="E2076">
        <v>7</v>
      </c>
      <c r="F2076" t="s">
        <v>26</v>
      </c>
      <c r="G2076" t="s">
        <v>37</v>
      </c>
      <c r="H2076" s="1">
        <v>119.23</v>
      </c>
      <c r="I2076" t="s">
        <v>24</v>
      </c>
      <c r="J2076">
        <v>2</v>
      </c>
      <c r="K2076">
        <v>7</v>
      </c>
    </row>
    <row r="2077" spans="1:11" x14ac:dyDescent="0.35">
      <c r="A2077" t="s">
        <v>2114</v>
      </c>
      <c r="B2077">
        <v>77</v>
      </c>
      <c r="C2077" t="s">
        <v>12</v>
      </c>
      <c r="D2077" t="s">
        <v>21</v>
      </c>
      <c r="E2077">
        <v>13</v>
      </c>
      <c r="F2077" t="s">
        <v>22</v>
      </c>
      <c r="G2077" t="s">
        <v>37</v>
      </c>
      <c r="H2077" s="1">
        <v>113.18</v>
      </c>
      <c r="I2077" t="s">
        <v>24</v>
      </c>
      <c r="J2077">
        <v>0</v>
      </c>
      <c r="K2077">
        <v>5</v>
      </c>
    </row>
    <row r="2078" spans="1:11" x14ac:dyDescent="0.35">
      <c r="A2078" t="s">
        <v>2115</v>
      </c>
      <c r="B2078">
        <v>66</v>
      </c>
      <c r="C2078" t="s">
        <v>18</v>
      </c>
      <c r="D2078" t="s">
        <v>13</v>
      </c>
      <c r="E2078">
        <v>10</v>
      </c>
      <c r="F2078" t="s">
        <v>22</v>
      </c>
      <c r="G2078" t="s">
        <v>34</v>
      </c>
      <c r="H2078" s="1">
        <v>133.51</v>
      </c>
      <c r="I2078" t="s">
        <v>24</v>
      </c>
      <c r="J2078">
        <v>0</v>
      </c>
      <c r="K2078">
        <v>8</v>
      </c>
    </row>
    <row r="2079" spans="1:11" x14ac:dyDescent="0.35">
      <c r="A2079" t="s">
        <v>2116</v>
      </c>
      <c r="B2079">
        <v>83</v>
      </c>
      <c r="C2079" t="s">
        <v>18</v>
      </c>
      <c r="D2079" t="s">
        <v>21</v>
      </c>
      <c r="E2079">
        <v>45</v>
      </c>
      <c r="F2079" t="s">
        <v>33</v>
      </c>
      <c r="G2079" t="s">
        <v>27</v>
      </c>
      <c r="H2079" s="1">
        <v>16.71</v>
      </c>
      <c r="I2079" t="s">
        <v>24</v>
      </c>
      <c r="J2079">
        <v>2</v>
      </c>
      <c r="K2079">
        <v>4</v>
      </c>
    </row>
    <row r="2080" spans="1:11" x14ac:dyDescent="0.35">
      <c r="A2080" t="s">
        <v>2117</v>
      </c>
      <c r="B2080">
        <v>34</v>
      </c>
      <c r="C2080" t="s">
        <v>18</v>
      </c>
      <c r="D2080" t="s">
        <v>19</v>
      </c>
      <c r="E2080">
        <v>12</v>
      </c>
      <c r="F2080" t="s">
        <v>31</v>
      </c>
      <c r="G2080" t="s">
        <v>37</v>
      </c>
      <c r="H2080" s="1">
        <v>111.56</v>
      </c>
      <c r="I2080" t="s">
        <v>24</v>
      </c>
      <c r="J2080">
        <v>1</v>
      </c>
      <c r="K2080">
        <v>7</v>
      </c>
    </row>
    <row r="2081" spans="1:11" x14ac:dyDescent="0.35">
      <c r="A2081" t="s">
        <v>2118</v>
      </c>
      <c r="B2081">
        <v>67</v>
      </c>
      <c r="C2081" t="s">
        <v>12</v>
      </c>
      <c r="D2081" t="s">
        <v>30</v>
      </c>
      <c r="E2081">
        <v>10</v>
      </c>
      <c r="F2081" t="s">
        <v>31</v>
      </c>
      <c r="G2081" t="s">
        <v>27</v>
      </c>
      <c r="H2081" s="1">
        <v>50.87</v>
      </c>
      <c r="I2081" t="s">
        <v>43</v>
      </c>
      <c r="J2081">
        <v>1</v>
      </c>
      <c r="K2081">
        <v>5</v>
      </c>
    </row>
    <row r="2082" spans="1:11" x14ac:dyDescent="0.35">
      <c r="A2082" t="s">
        <v>2119</v>
      </c>
      <c r="B2082">
        <v>57</v>
      </c>
      <c r="C2082" t="s">
        <v>12</v>
      </c>
      <c r="D2082" t="s">
        <v>19</v>
      </c>
      <c r="E2082">
        <v>18</v>
      </c>
      <c r="F2082" t="s">
        <v>26</v>
      </c>
      <c r="G2082" t="s">
        <v>15</v>
      </c>
      <c r="H2082" s="1">
        <v>200.77</v>
      </c>
      <c r="I2082" t="s">
        <v>24</v>
      </c>
      <c r="J2082">
        <v>1</v>
      </c>
      <c r="K2082">
        <v>6</v>
      </c>
    </row>
    <row r="2083" spans="1:11" x14ac:dyDescent="0.35">
      <c r="A2083" t="s">
        <v>2120</v>
      </c>
      <c r="B2083">
        <v>50</v>
      </c>
      <c r="C2083" t="s">
        <v>18</v>
      </c>
      <c r="D2083" t="s">
        <v>19</v>
      </c>
      <c r="E2083">
        <v>20</v>
      </c>
      <c r="F2083" t="s">
        <v>14</v>
      </c>
      <c r="G2083" t="s">
        <v>37</v>
      </c>
      <c r="H2083" s="1">
        <v>0</v>
      </c>
      <c r="I2083" t="s">
        <v>16</v>
      </c>
      <c r="J2083">
        <v>3</v>
      </c>
      <c r="K2083">
        <v>2</v>
      </c>
    </row>
    <row r="2084" spans="1:11" x14ac:dyDescent="0.35">
      <c r="A2084" t="s">
        <v>2121</v>
      </c>
      <c r="B2084">
        <v>35</v>
      </c>
      <c r="C2084" t="s">
        <v>18</v>
      </c>
      <c r="D2084" t="s">
        <v>19</v>
      </c>
      <c r="E2084">
        <v>20</v>
      </c>
      <c r="F2084" t="s">
        <v>33</v>
      </c>
      <c r="G2084" t="s">
        <v>15</v>
      </c>
      <c r="H2084" s="1">
        <v>148.94</v>
      </c>
      <c r="I2084" t="s">
        <v>24</v>
      </c>
      <c r="J2084">
        <v>0</v>
      </c>
      <c r="K2084">
        <v>4</v>
      </c>
    </row>
    <row r="2085" spans="1:11" x14ac:dyDescent="0.35">
      <c r="A2085" t="s">
        <v>2122</v>
      </c>
      <c r="B2085">
        <v>63</v>
      </c>
      <c r="C2085" t="s">
        <v>12</v>
      </c>
      <c r="D2085" t="s">
        <v>19</v>
      </c>
      <c r="E2085">
        <v>11</v>
      </c>
      <c r="F2085" t="s">
        <v>26</v>
      </c>
      <c r="G2085" t="s">
        <v>37</v>
      </c>
      <c r="H2085" s="1">
        <v>202.18</v>
      </c>
      <c r="I2085" t="s">
        <v>24</v>
      </c>
      <c r="J2085">
        <v>1</v>
      </c>
      <c r="K2085">
        <v>7</v>
      </c>
    </row>
    <row r="2086" spans="1:11" x14ac:dyDescent="0.35">
      <c r="A2086" t="s">
        <v>2123</v>
      </c>
      <c r="B2086">
        <v>66</v>
      </c>
      <c r="C2086" t="s">
        <v>12</v>
      </c>
      <c r="D2086" t="s">
        <v>19</v>
      </c>
      <c r="E2086">
        <v>15</v>
      </c>
      <c r="F2086" t="s">
        <v>33</v>
      </c>
      <c r="G2086" t="s">
        <v>27</v>
      </c>
      <c r="H2086" s="1">
        <v>18.71</v>
      </c>
      <c r="I2086" t="s">
        <v>43</v>
      </c>
      <c r="J2086">
        <v>1</v>
      </c>
      <c r="K2086">
        <v>4</v>
      </c>
    </row>
    <row r="2087" spans="1:11" x14ac:dyDescent="0.35">
      <c r="A2087" t="s">
        <v>2124</v>
      </c>
      <c r="B2087">
        <v>80</v>
      </c>
      <c r="C2087" t="s">
        <v>18</v>
      </c>
      <c r="D2087" t="s">
        <v>21</v>
      </c>
      <c r="E2087">
        <v>29</v>
      </c>
      <c r="F2087" t="s">
        <v>22</v>
      </c>
      <c r="G2087" t="s">
        <v>27</v>
      </c>
      <c r="H2087" s="1">
        <v>56.68</v>
      </c>
      <c r="I2087" t="s">
        <v>28</v>
      </c>
      <c r="J2087">
        <v>2</v>
      </c>
      <c r="K2087">
        <v>5</v>
      </c>
    </row>
    <row r="2088" spans="1:11" x14ac:dyDescent="0.35">
      <c r="A2088" t="s">
        <v>2125</v>
      </c>
      <c r="B2088">
        <v>81</v>
      </c>
      <c r="C2088" t="s">
        <v>528</v>
      </c>
      <c r="D2088" t="s">
        <v>19</v>
      </c>
      <c r="E2088">
        <v>13</v>
      </c>
      <c r="F2088" t="s">
        <v>31</v>
      </c>
      <c r="G2088" t="s">
        <v>15</v>
      </c>
      <c r="H2088" s="1">
        <v>101.46</v>
      </c>
      <c r="I2088" t="s">
        <v>24</v>
      </c>
      <c r="J2088">
        <v>0</v>
      </c>
      <c r="K2088">
        <v>7</v>
      </c>
    </row>
    <row r="2089" spans="1:11" x14ac:dyDescent="0.35">
      <c r="A2089" t="s">
        <v>2126</v>
      </c>
      <c r="B2089">
        <v>78</v>
      </c>
      <c r="C2089" t="s">
        <v>18</v>
      </c>
      <c r="D2089" t="s">
        <v>30</v>
      </c>
      <c r="E2089">
        <v>14</v>
      </c>
      <c r="F2089" t="s">
        <v>14</v>
      </c>
      <c r="G2089" t="s">
        <v>27</v>
      </c>
      <c r="H2089" s="1">
        <v>0</v>
      </c>
      <c r="I2089" t="s">
        <v>16</v>
      </c>
      <c r="J2089">
        <v>0</v>
      </c>
      <c r="K2089">
        <v>6</v>
      </c>
    </row>
    <row r="2090" spans="1:11" x14ac:dyDescent="0.35">
      <c r="A2090" t="s">
        <v>2127</v>
      </c>
      <c r="B2090">
        <v>60</v>
      </c>
      <c r="C2090" t="s">
        <v>12</v>
      </c>
      <c r="D2090" t="s">
        <v>30</v>
      </c>
      <c r="E2090">
        <v>2</v>
      </c>
      <c r="F2090" t="s">
        <v>14</v>
      </c>
      <c r="G2090" t="s">
        <v>23</v>
      </c>
      <c r="H2090" s="1">
        <v>0</v>
      </c>
      <c r="I2090" t="s">
        <v>16</v>
      </c>
      <c r="J2090">
        <v>0</v>
      </c>
      <c r="K2090">
        <v>9</v>
      </c>
    </row>
    <row r="2091" spans="1:11" x14ac:dyDescent="0.35">
      <c r="A2091" t="s">
        <v>2128</v>
      </c>
      <c r="B2091">
        <v>77</v>
      </c>
      <c r="C2091" t="s">
        <v>12</v>
      </c>
      <c r="D2091" t="s">
        <v>13</v>
      </c>
      <c r="E2091">
        <v>22</v>
      </c>
      <c r="F2091" t="s">
        <v>31</v>
      </c>
      <c r="G2091" t="s">
        <v>37</v>
      </c>
      <c r="H2091" s="1">
        <v>163.84</v>
      </c>
      <c r="I2091" t="s">
        <v>24</v>
      </c>
      <c r="J2091">
        <v>0</v>
      </c>
      <c r="K2091">
        <v>5</v>
      </c>
    </row>
    <row r="2092" spans="1:11" x14ac:dyDescent="0.35">
      <c r="A2092" t="s">
        <v>2129</v>
      </c>
      <c r="B2092">
        <v>79</v>
      </c>
      <c r="C2092" t="s">
        <v>18</v>
      </c>
      <c r="D2092" t="s">
        <v>30</v>
      </c>
      <c r="E2092">
        <v>13</v>
      </c>
      <c r="F2092" t="s">
        <v>22</v>
      </c>
      <c r="G2092" t="s">
        <v>15</v>
      </c>
      <c r="H2092" s="1">
        <v>407.43</v>
      </c>
      <c r="I2092" t="s">
        <v>24</v>
      </c>
      <c r="J2092">
        <v>2</v>
      </c>
      <c r="K2092">
        <v>4</v>
      </c>
    </row>
    <row r="2093" spans="1:11" x14ac:dyDescent="0.35">
      <c r="A2093" t="s">
        <v>2130</v>
      </c>
      <c r="B2093">
        <v>42</v>
      </c>
      <c r="C2093" t="s">
        <v>12</v>
      </c>
      <c r="D2093" t="s">
        <v>13</v>
      </c>
      <c r="E2093">
        <v>16</v>
      </c>
      <c r="F2093" t="s">
        <v>33</v>
      </c>
      <c r="G2093" t="s">
        <v>37</v>
      </c>
      <c r="H2093" s="1">
        <v>213.27</v>
      </c>
      <c r="I2093" t="s">
        <v>24</v>
      </c>
      <c r="J2093">
        <v>0</v>
      </c>
      <c r="K2093">
        <v>8</v>
      </c>
    </row>
    <row r="2094" spans="1:11" x14ac:dyDescent="0.35">
      <c r="A2094" t="s">
        <v>2131</v>
      </c>
      <c r="B2094">
        <v>51</v>
      </c>
      <c r="C2094" t="s">
        <v>12</v>
      </c>
      <c r="D2094" t="s">
        <v>19</v>
      </c>
      <c r="E2094">
        <v>17</v>
      </c>
      <c r="F2094" t="s">
        <v>22</v>
      </c>
      <c r="G2094" t="s">
        <v>15</v>
      </c>
      <c r="H2094" s="1">
        <v>431.98</v>
      </c>
      <c r="I2094" t="s">
        <v>24</v>
      </c>
      <c r="J2094">
        <v>1</v>
      </c>
      <c r="K2094">
        <v>8</v>
      </c>
    </row>
    <row r="2095" spans="1:11" x14ac:dyDescent="0.35">
      <c r="A2095" t="s">
        <v>2132</v>
      </c>
      <c r="B2095">
        <v>78</v>
      </c>
      <c r="C2095" t="s">
        <v>12</v>
      </c>
      <c r="D2095" t="s">
        <v>13</v>
      </c>
      <c r="E2095">
        <v>20</v>
      </c>
      <c r="F2095" t="s">
        <v>33</v>
      </c>
      <c r="G2095" t="s">
        <v>34</v>
      </c>
      <c r="H2095" s="1">
        <v>124.11</v>
      </c>
      <c r="I2095" t="s">
        <v>28</v>
      </c>
      <c r="J2095">
        <v>2</v>
      </c>
      <c r="K2095">
        <v>4</v>
      </c>
    </row>
    <row r="2096" spans="1:11" x14ac:dyDescent="0.35">
      <c r="A2096" t="s">
        <v>2133</v>
      </c>
      <c r="B2096">
        <v>49</v>
      </c>
      <c r="C2096" t="s">
        <v>18</v>
      </c>
      <c r="D2096" t="s">
        <v>19</v>
      </c>
      <c r="E2096">
        <v>13</v>
      </c>
      <c r="F2096" t="s">
        <v>26</v>
      </c>
      <c r="G2096" t="s">
        <v>27</v>
      </c>
      <c r="H2096" s="1">
        <v>161.27000000000001</v>
      </c>
      <c r="I2096" t="s">
        <v>24</v>
      </c>
      <c r="J2096">
        <v>3</v>
      </c>
      <c r="K2096">
        <v>5</v>
      </c>
    </row>
    <row r="2097" spans="1:11" x14ac:dyDescent="0.35">
      <c r="A2097" t="s">
        <v>2134</v>
      </c>
      <c r="B2097">
        <v>82</v>
      </c>
      <c r="C2097" t="s">
        <v>18</v>
      </c>
      <c r="D2097" t="s">
        <v>13</v>
      </c>
      <c r="E2097">
        <v>21</v>
      </c>
      <c r="F2097" t="s">
        <v>22</v>
      </c>
      <c r="G2097" t="s">
        <v>15</v>
      </c>
      <c r="H2097" s="1">
        <v>181.73</v>
      </c>
      <c r="I2097" t="s">
        <v>24</v>
      </c>
      <c r="J2097">
        <v>2</v>
      </c>
      <c r="K2097">
        <v>2</v>
      </c>
    </row>
    <row r="2098" spans="1:11" x14ac:dyDescent="0.35">
      <c r="A2098" t="s">
        <v>2135</v>
      </c>
      <c r="B2098">
        <v>54</v>
      </c>
      <c r="C2098" t="s">
        <v>12</v>
      </c>
      <c r="D2098" t="s">
        <v>19</v>
      </c>
      <c r="E2098">
        <v>15</v>
      </c>
      <c r="F2098" t="s">
        <v>33</v>
      </c>
      <c r="G2098" t="s">
        <v>37</v>
      </c>
      <c r="H2098" s="1">
        <v>173.95</v>
      </c>
      <c r="I2098" t="s">
        <v>24</v>
      </c>
      <c r="J2098">
        <v>0</v>
      </c>
      <c r="K2098">
        <v>4</v>
      </c>
    </row>
    <row r="2099" spans="1:11" x14ac:dyDescent="0.35">
      <c r="A2099" t="s">
        <v>2136</v>
      </c>
      <c r="B2099">
        <v>66</v>
      </c>
      <c r="C2099" t="s">
        <v>18</v>
      </c>
      <c r="D2099" t="s">
        <v>19</v>
      </c>
      <c r="E2099">
        <v>21</v>
      </c>
      <c r="F2099" t="s">
        <v>33</v>
      </c>
      <c r="G2099" t="s">
        <v>34</v>
      </c>
      <c r="H2099" s="1">
        <v>210.51</v>
      </c>
      <c r="I2099" t="s">
        <v>24</v>
      </c>
      <c r="J2099">
        <v>1</v>
      </c>
      <c r="K2099">
        <v>1</v>
      </c>
    </row>
    <row r="2100" spans="1:11" x14ac:dyDescent="0.35">
      <c r="A2100" t="s">
        <v>2137</v>
      </c>
      <c r="B2100">
        <v>81</v>
      </c>
      <c r="C2100" t="s">
        <v>18</v>
      </c>
      <c r="D2100" t="s">
        <v>19</v>
      </c>
      <c r="E2100">
        <v>13</v>
      </c>
      <c r="F2100" t="s">
        <v>22</v>
      </c>
      <c r="G2100" t="s">
        <v>15</v>
      </c>
      <c r="H2100" s="1">
        <v>140.18</v>
      </c>
      <c r="I2100" t="s">
        <v>28</v>
      </c>
      <c r="J2100">
        <v>3</v>
      </c>
      <c r="K2100">
        <v>4</v>
      </c>
    </row>
    <row r="2101" spans="1:11" x14ac:dyDescent="0.35">
      <c r="A2101" t="s">
        <v>2138</v>
      </c>
      <c r="B2101">
        <v>35</v>
      </c>
      <c r="C2101" t="s">
        <v>18</v>
      </c>
      <c r="D2101" t="s">
        <v>19</v>
      </c>
      <c r="E2101">
        <v>21</v>
      </c>
      <c r="F2101" t="s">
        <v>22</v>
      </c>
      <c r="G2101" t="s">
        <v>37</v>
      </c>
      <c r="H2101" s="1">
        <v>207.45</v>
      </c>
      <c r="I2101" t="s">
        <v>24</v>
      </c>
      <c r="J2101">
        <v>1</v>
      </c>
      <c r="K2101">
        <v>4</v>
      </c>
    </row>
    <row r="2102" spans="1:11" x14ac:dyDescent="0.35">
      <c r="A2102" t="s">
        <v>2139</v>
      </c>
      <c r="B2102">
        <v>81</v>
      </c>
      <c r="C2102" t="s">
        <v>12</v>
      </c>
      <c r="D2102" t="s">
        <v>19</v>
      </c>
      <c r="E2102">
        <v>18</v>
      </c>
      <c r="F2102" t="s">
        <v>26</v>
      </c>
      <c r="G2102" t="s">
        <v>34</v>
      </c>
      <c r="H2102" s="1">
        <v>164.19</v>
      </c>
      <c r="I2102" t="s">
        <v>28</v>
      </c>
      <c r="J2102">
        <v>0</v>
      </c>
      <c r="K2102">
        <v>8</v>
      </c>
    </row>
    <row r="2103" spans="1:11" x14ac:dyDescent="0.35">
      <c r="A2103" t="s">
        <v>2140</v>
      </c>
      <c r="B2103">
        <v>56</v>
      </c>
      <c r="C2103" t="s">
        <v>12</v>
      </c>
      <c r="D2103" t="s">
        <v>30</v>
      </c>
      <c r="E2103">
        <v>14</v>
      </c>
      <c r="F2103" t="s">
        <v>22</v>
      </c>
      <c r="G2103" t="s">
        <v>27</v>
      </c>
      <c r="H2103" s="1">
        <v>17.71</v>
      </c>
      <c r="I2103" t="s">
        <v>24</v>
      </c>
      <c r="J2103">
        <v>0</v>
      </c>
      <c r="K2103">
        <v>5</v>
      </c>
    </row>
    <row r="2104" spans="1:11" x14ac:dyDescent="0.35">
      <c r="A2104" t="s">
        <v>2141</v>
      </c>
      <c r="B2104">
        <v>34</v>
      </c>
      <c r="C2104" t="s">
        <v>12</v>
      </c>
      <c r="D2104" t="s">
        <v>19</v>
      </c>
      <c r="E2104">
        <v>12</v>
      </c>
      <c r="F2104" t="s">
        <v>33</v>
      </c>
      <c r="G2104" t="s">
        <v>27</v>
      </c>
      <c r="H2104" s="1">
        <v>160.58000000000001</v>
      </c>
      <c r="I2104" t="s">
        <v>24</v>
      </c>
      <c r="J2104">
        <v>2</v>
      </c>
      <c r="K2104">
        <v>5</v>
      </c>
    </row>
    <row r="2105" spans="1:11" x14ac:dyDescent="0.35">
      <c r="A2105" t="s">
        <v>2142</v>
      </c>
      <c r="B2105">
        <v>65</v>
      </c>
      <c r="C2105" t="s">
        <v>12</v>
      </c>
      <c r="D2105" t="s">
        <v>57</v>
      </c>
      <c r="E2105">
        <v>27</v>
      </c>
      <c r="F2105" t="s">
        <v>33</v>
      </c>
      <c r="G2105" t="s">
        <v>27</v>
      </c>
      <c r="H2105" s="1">
        <v>20.65</v>
      </c>
      <c r="I2105" t="s">
        <v>24</v>
      </c>
      <c r="J2105">
        <v>4</v>
      </c>
      <c r="K2105">
        <v>1</v>
      </c>
    </row>
    <row r="2106" spans="1:11" x14ac:dyDescent="0.35">
      <c r="A2106" t="s">
        <v>2143</v>
      </c>
      <c r="B2106">
        <v>29</v>
      </c>
      <c r="C2106" t="s">
        <v>12</v>
      </c>
      <c r="D2106" t="s">
        <v>19</v>
      </c>
      <c r="E2106">
        <v>10</v>
      </c>
      <c r="F2106" t="s">
        <v>31</v>
      </c>
      <c r="G2106" t="s">
        <v>15</v>
      </c>
      <c r="H2106" s="1">
        <v>176.17</v>
      </c>
      <c r="I2106" t="s">
        <v>24</v>
      </c>
      <c r="J2106">
        <v>3</v>
      </c>
      <c r="K2106">
        <v>6</v>
      </c>
    </row>
    <row r="2107" spans="1:11" x14ac:dyDescent="0.35">
      <c r="A2107" t="s">
        <v>2144</v>
      </c>
      <c r="B2107">
        <v>57</v>
      </c>
      <c r="C2107" t="s">
        <v>12</v>
      </c>
      <c r="D2107" t="s">
        <v>21</v>
      </c>
      <c r="E2107">
        <v>48</v>
      </c>
      <c r="F2107" t="s">
        <v>33</v>
      </c>
      <c r="G2107" t="s">
        <v>34</v>
      </c>
      <c r="H2107" s="1">
        <v>108.55</v>
      </c>
      <c r="I2107" t="s">
        <v>24</v>
      </c>
      <c r="J2107">
        <v>3</v>
      </c>
      <c r="K2107">
        <v>4</v>
      </c>
    </row>
    <row r="2108" spans="1:11" x14ac:dyDescent="0.35">
      <c r="A2108" t="s">
        <v>2145</v>
      </c>
      <c r="B2108">
        <v>75</v>
      </c>
      <c r="C2108" t="s">
        <v>18</v>
      </c>
      <c r="D2108" t="s">
        <v>19</v>
      </c>
      <c r="E2108">
        <v>12</v>
      </c>
      <c r="F2108" t="s">
        <v>22</v>
      </c>
      <c r="G2108" t="s">
        <v>15</v>
      </c>
      <c r="H2108" s="1">
        <v>346.84</v>
      </c>
      <c r="I2108" t="s">
        <v>28</v>
      </c>
      <c r="J2108">
        <v>2</v>
      </c>
      <c r="K2108">
        <v>4</v>
      </c>
    </row>
    <row r="2109" spans="1:11" x14ac:dyDescent="0.35">
      <c r="A2109" t="s">
        <v>2146</v>
      </c>
      <c r="B2109">
        <v>50</v>
      </c>
      <c r="C2109" t="s">
        <v>12</v>
      </c>
      <c r="D2109" t="s">
        <v>21</v>
      </c>
      <c r="E2109">
        <v>31</v>
      </c>
      <c r="F2109" t="s">
        <v>31</v>
      </c>
      <c r="G2109" t="s">
        <v>27</v>
      </c>
      <c r="H2109" s="1">
        <v>99.45</v>
      </c>
      <c r="I2109" t="s">
        <v>24</v>
      </c>
      <c r="J2109">
        <v>4</v>
      </c>
      <c r="K2109">
        <v>4</v>
      </c>
    </row>
    <row r="2110" spans="1:11" x14ac:dyDescent="0.35">
      <c r="A2110" t="s">
        <v>2147</v>
      </c>
      <c r="B2110">
        <v>46</v>
      </c>
      <c r="C2110" t="s">
        <v>18</v>
      </c>
      <c r="D2110" t="s">
        <v>19</v>
      </c>
      <c r="E2110">
        <v>20</v>
      </c>
      <c r="F2110" t="s">
        <v>31</v>
      </c>
      <c r="G2110" t="s">
        <v>27</v>
      </c>
      <c r="H2110" s="1">
        <v>19.239999999999998</v>
      </c>
      <c r="I2110" t="s">
        <v>24</v>
      </c>
      <c r="J2110">
        <v>2</v>
      </c>
      <c r="K2110">
        <v>5</v>
      </c>
    </row>
    <row r="2111" spans="1:11" x14ac:dyDescent="0.35">
      <c r="A2111" t="s">
        <v>2148</v>
      </c>
      <c r="B2111">
        <v>66</v>
      </c>
      <c r="C2111" t="s">
        <v>18</v>
      </c>
      <c r="D2111" t="s">
        <v>19</v>
      </c>
      <c r="E2111">
        <v>19</v>
      </c>
      <c r="F2111" t="s">
        <v>33</v>
      </c>
      <c r="G2111" t="s">
        <v>37</v>
      </c>
      <c r="H2111" s="1">
        <v>97.43</v>
      </c>
      <c r="I2111" t="s">
        <v>24</v>
      </c>
      <c r="J2111">
        <v>4</v>
      </c>
      <c r="K2111">
        <v>1</v>
      </c>
    </row>
    <row r="2112" spans="1:11" x14ac:dyDescent="0.35">
      <c r="A2112" t="s">
        <v>2149</v>
      </c>
      <c r="B2112">
        <v>19</v>
      </c>
      <c r="C2112" t="s">
        <v>18</v>
      </c>
      <c r="D2112" t="s">
        <v>13</v>
      </c>
      <c r="E2112">
        <v>8</v>
      </c>
      <c r="F2112" t="s">
        <v>22</v>
      </c>
      <c r="G2112" t="s">
        <v>15</v>
      </c>
      <c r="H2112" s="1">
        <v>349.32</v>
      </c>
      <c r="I2112" t="s">
        <v>43</v>
      </c>
      <c r="J2112">
        <v>0</v>
      </c>
      <c r="K2112">
        <v>10</v>
      </c>
    </row>
    <row r="2113" spans="1:11" x14ac:dyDescent="0.35">
      <c r="A2113" t="s">
        <v>2150</v>
      </c>
      <c r="B2113">
        <v>60</v>
      </c>
      <c r="C2113" t="s">
        <v>18</v>
      </c>
      <c r="D2113" t="s">
        <v>13</v>
      </c>
      <c r="E2113">
        <v>18</v>
      </c>
      <c r="F2113" t="s">
        <v>31</v>
      </c>
      <c r="G2113" t="s">
        <v>37</v>
      </c>
      <c r="H2113" s="1">
        <v>149.71</v>
      </c>
      <c r="I2113" t="s">
        <v>24</v>
      </c>
      <c r="J2113">
        <v>0</v>
      </c>
      <c r="K2113">
        <v>4</v>
      </c>
    </row>
    <row r="2114" spans="1:11" x14ac:dyDescent="0.35">
      <c r="A2114" t="s">
        <v>2151</v>
      </c>
      <c r="B2114">
        <v>29</v>
      </c>
      <c r="C2114" t="s">
        <v>12</v>
      </c>
      <c r="D2114" t="s">
        <v>13</v>
      </c>
      <c r="E2114">
        <v>17</v>
      </c>
      <c r="F2114" t="s">
        <v>22</v>
      </c>
      <c r="G2114" t="s">
        <v>37</v>
      </c>
      <c r="H2114" s="1">
        <v>150.32</v>
      </c>
      <c r="I2114" t="s">
        <v>28</v>
      </c>
      <c r="J2114">
        <v>0</v>
      </c>
      <c r="K2114">
        <v>7</v>
      </c>
    </row>
    <row r="2115" spans="1:11" x14ac:dyDescent="0.35">
      <c r="A2115" t="s">
        <v>2152</v>
      </c>
      <c r="B2115">
        <v>22</v>
      </c>
      <c r="C2115" t="s">
        <v>18</v>
      </c>
      <c r="D2115" t="s">
        <v>19</v>
      </c>
      <c r="E2115">
        <v>17</v>
      </c>
      <c r="F2115" t="s">
        <v>26</v>
      </c>
      <c r="G2115" t="s">
        <v>27</v>
      </c>
      <c r="H2115" s="1">
        <v>117.98</v>
      </c>
      <c r="I2115" t="s">
        <v>24</v>
      </c>
      <c r="J2115">
        <v>1</v>
      </c>
      <c r="K2115">
        <v>6</v>
      </c>
    </row>
    <row r="2116" spans="1:11" x14ac:dyDescent="0.35">
      <c r="A2116" t="s">
        <v>2153</v>
      </c>
      <c r="B2116">
        <v>65</v>
      </c>
      <c r="C2116" t="s">
        <v>18</v>
      </c>
      <c r="D2116" t="s">
        <v>19</v>
      </c>
      <c r="E2116">
        <v>9</v>
      </c>
      <c r="F2116" t="s">
        <v>31</v>
      </c>
      <c r="G2116" t="s">
        <v>23</v>
      </c>
      <c r="H2116" s="1">
        <v>338.85</v>
      </c>
      <c r="I2116" t="s">
        <v>24</v>
      </c>
      <c r="J2116">
        <v>2</v>
      </c>
      <c r="K2116">
        <v>5</v>
      </c>
    </row>
    <row r="2117" spans="1:11" x14ac:dyDescent="0.35">
      <c r="A2117" t="s">
        <v>2154</v>
      </c>
      <c r="B2117">
        <v>71</v>
      </c>
      <c r="C2117" t="s">
        <v>18</v>
      </c>
      <c r="D2117" t="s">
        <v>47</v>
      </c>
      <c r="E2117">
        <v>9</v>
      </c>
      <c r="F2117" t="s">
        <v>14</v>
      </c>
      <c r="G2117" t="s">
        <v>37</v>
      </c>
      <c r="H2117" s="1">
        <v>0</v>
      </c>
      <c r="I2117" t="s">
        <v>16</v>
      </c>
      <c r="J2117">
        <v>0</v>
      </c>
      <c r="K2117">
        <v>8</v>
      </c>
    </row>
    <row r="2118" spans="1:11" x14ac:dyDescent="0.35">
      <c r="A2118" t="s">
        <v>2155</v>
      </c>
      <c r="B2118">
        <v>50</v>
      </c>
      <c r="C2118" t="s">
        <v>12</v>
      </c>
      <c r="D2118" t="s">
        <v>21</v>
      </c>
      <c r="E2118">
        <v>43</v>
      </c>
      <c r="F2118" t="s">
        <v>31</v>
      </c>
      <c r="G2118" t="s">
        <v>37</v>
      </c>
      <c r="H2118" s="1">
        <v>182.99</v>
      </c>
      <c r="I2118" t="s">
        <v>24</v>
      </c>
      <c r="J2118">
        <v>4</v>
      </c>
      <c r="K2118">
        <v>3</v>
      </c>
    </row>
    <row r="2119" spans="1:11" x14ac:dyDescent="0.35">
      <c r="A2119" t="s">
        <v>2156</v>
      </c>
      <c r="B2119">
        <v>43</v>
      </c>
      <c r="C2119" t="s">
        <v>18</v>
      </c>
      <c r="D2119" t="s">
        <v>19</v>
      </c>
      <c r="E2119">
        <v>15</v>
      </c>
      <c r="F2119" t="s">
        <v>22</v>
      </c>
      <c r="G2119" t="s">
        <v>34</v>
      </c>
      <c r="H2119" s="1">
        <v>141.43</v>
      </c>
      <c r="I2119" t="s">
        <v>24</v>
      </c>
      <c r="J2119">
        <v>0</v>
      </c>
      <c r="K2119">
        <v>8</v>
      </c>
    </row>
    <row r="2120" spans="1:11" x14ac:dyDescent="0.35">
      <c r="A2120" t="s">
        <v>2157</v>
      </c>
      <c r="B2120">
        <v>64</v>
      </c>
      <c r="C2120" t="s">
        <v>12</v>
      </c>
      <c r="D2120" t="s">
        <v>19</v>
      </c>
      <c r="E2120">
        <v>12</v>
      </c>
      <c r="F2120" t="s">
        <v>31</v>
      </c>
      <c r="G2120" t="s">
        <v>15</v>
      </c>
      <c r="H2120" s="1">
        <v>264.18</v>
      </c>
      <c r="I2120" t="s">
        <v>28</v>
      </c>
      <c r="J2120">
        <v>0</v>
      </c>
      <c r="K2120">
        <v>5</v>
      </c>
    </row>
    <row r="2121" spans="1:11" x14ac:dyDescent="0.35">
      <c r="A2121" t="s">
        <v>2158</v>
      </c>
      <c r="B2121">
        <v>71</v>
      </c>
      <c r="C2121" t="s">
        <v>18</v>
      </c>
      <c r="D2121" t="s">
        <v>21</v>
      </c>
      <c r="E2121">
        <v>15</v>
      </c>
      <c r="F2121" t="s">
        <v>22</v>
      </c>
      <c r="G2121" t="s">
        <v>15</v>
      </c>
      <c r="H2121" s="1">
        <v>360.38</v>
      </c>
      <c r="I2121" t="s">
        <v>24</v>
      </c>
      <c r="J2121">
        <v>1</v>
      </c>
      <c r="K2121">
        <v>8</v>
      </c>
    </row>
    <row r="2122" spans="1:11" x14ac:dyDescent="0.35">
      <c r="A2122" t="s">
        <v>2159</v>
      </c>
      <c r="B2122">
        <v>37</v>
      </c>
      <c r="C2122" t="s">
        <v>12</v>
      </c>
      <c r="D2122" t="s">
        <v>19</v>
      </c>
      <c r="E2122">
        <v>22</v>
      </c>
      <c r="F2122" t="s">
        <v>33</v>
      </c>
      <c r="G2122" t="s">
        <v>37</v>
      </c>
      <c r="H2122" s="1">
        <v>190.31</v>
      </c>
      <c r="I2122" t="s">
        <v>24</v>
      </c>
      <c r="J2122">
        <v>4</v>
      </c>
      <c r="K2122">
        <v>5</v>
      </c>
    </row>
    <row r="2123" spans="1:11" x14ac:dyDescent="0.35">
      <c r="A2123" t="s">
        <v>2160</v>
      </c>
      <c r="B2123">
        <v>34</v>
      </c>
      <c r="C2123" t="s">
        <v>12</v>
      </c>
      <c r="D2123" t="s">
        <v>19</v>
      </c>
      <c r="E2123">
        <v>21</v>
      </c>
      <c r="F2123" t="s">
        <v>14</v>
      </c>
      <c r="G2123" t="s">
        <v>23</v>
      </c>
      <c r="H2123" s="1">
        <v>0</v>
      </c>
      <c r="I2123" t="s">
        <v>16</v>
      </c>
      <c r="J2123">
        <v>1</v>
      </c>
      <c r="K2123">
        <v>5</v>
      </c>
    </row>
    <row r="2124" spans="1:11" x14ac:dyDescent="0.35">
      <c r="A2124" t="s">
        <v>2161</v>
      </c>
      <c r="B2124">
        <v>66</v>
      </c>
      <c r="C2124" t="s">
        <v>18</v>
      </c>
      <c r="D2124" t="s">
        <v>21</v>
      </c>
      <c r="E2124">
        <v>38</v>
      </c>
      <c r="F2124" t="s">
        <v>31</v>
      </c>
      <c r="G2124" t="s">
        <v>27</v>
      </c>
      <c r="H2124" s="1">
        <v>157.15</v>
      </c>
      <c r="I2124" t="s">
        <v>24</v>
      </c>
      <c r="J2124">
        <v>2</v>
      </c>
      <c r="K2124">
        <v>1</v>
      </c>
    </row>
    <row r="2125" spans="1:11" x14ac:dyDescent="0.35">
      <c r="A2125" t="s">
        <v>2162</v>
      </c>
      <c r="B2125">
        <v>54</v>
      </c>
      <c r="C2125" t="s">
        <v>12</v>
      </c>
      <c r="D2125" t="s">
        <v>19</v>
      </c>
      <c r="E2125">
        <v>7</v>
      </c>
      <c r="F2125" t="s">
        <v>14</v>
      </c>
      <c r="G2125" t="s">
        <v>34</v>
      </c>
      <c r="H2125" s="1">
        <v>0</v>
      </c>
      <c r="I2125" t="s">
        <v>16</v>
      </c>
      <c r="J2125">
        <v>0</v>
      </c>
      <c r="K2125">
        <v>9</v>
      </c>
    </row>
    <row r="2126" spans="1:11" x14ac:dyDescent="0.35">
      <c r="A2126" t="s">
        <v>2163</v>
      </c>
      <c r="B2126">
        <v>59</v>
      </c>
      <c r="C2126" t="s">
        <v>189</v>
      </c>
      <c r="D2126" t="s">
        <v>21</v>
      </c>
      <c r="E2126">
        <v>23</v>
      </c>
      <c r="F2126" t="s">
        <v>26</v>
      </c>
      <c r="G2126" t="s">
        <v>15</v>
      </c>
      <c r="H2126" s="1">
        <v>388.72</v>
      </c>
      <c r="I2126" t="s">
        <v>24</v>
      </c>
      <c r="J2126">
        <v>0</v>
      </c>
      <c r="K2126">
        <v>4</v>
      </c>
    </row>
    <row r="2127" spans="1:11" x14ac:dyDescent="0.35">
      <c r="A2127" t="s">
        <v>2164</v>
      </c>
      <c r="B2127">
        <v>69</v>
      </c>
      <c r="C2127" t="s">
        <v>18</v>
      </c>
      <c r="D2127" t="s">
        <v>21</v>
      </c>
      <c r="E2127">
        <v>19</v>
      </c>
      <c r="F2127" t="s">
        <v>26</v>
      </c>
      <c r="G2127" t="s">
        <v>34</v>
      </c>
      <c r="H2127" s="1">
        <v>149.76</v>
      </c>
      <c r="I2127" t="s">
        <v>24</v>
      </c>
      <c r="J2127">
        <v>0</v>
      </c>
      <c r="K2127">
        <v>4</v>
      </c>
    </row>
    <row r="2128" spans="1:11" x14ac:dyDescent="0.35">
      <c r="A2128" t="s">
        <v>2165</v>
      </c>
      <c r="B2128">
        <v>77</v>
      </c>
      <c r="C2128" t="s">
        <v>12</v>
      </c>
      <c r="D2128" t="s">
        <v>19</v>
      </c>
      <c r="E2128">
        <v>18</v>
      </c>
      <c r="F2128" t="s">
        <v>22</v>
      </c>
      <c r="G2128" t="s">
        <v>15</v>
      </c>
      <c r="H2128" s="1">
        <v>405.34</v>
      </c>
      <c r="I2128" t="s">
        <v>24</v>
      </c>
      <c r="J2128">
        <v>3</v>
      </c>
      <c r="K2128">
        <v>5</v>
      </c>
    </row>
    <row r="2129" spans="1:11" x14ac:dyDescent="0.35">
      <c r="A2129" t="s">
        <v>2166</v>
      </c>
      <c r="B2129">
        <v>37</v>
      </c>
      <c r="C2129" t="s">
        <v>12</v>
      </c>
      <c r="D2129" t="s">
        <v>13</v>
      </c>
      <c r="E2129">
        <v>7</v>
      </c>
      <c r="F2129" t="s">
        <v>22</v>
      </c>
      <c r="G2129" t="s">
        <v>37</v>
      </c>
      <c r="H2129" s="1">
        <v>132.51</v>
      </c>
      <c r="I2129" t="s">
        <v>28</v>
      </c>
      <c r="J2129">
        <v>2</v>
      </c>
      <c r="K2129">
        <v>7</v>
      </c>
    </row>
    <row r="2130" spans="1:11" x14ac:dyDescent="0.35">
      <c r="A2130" t="s">
        <v>2167</v>
      </c>
      <c r="B2130">
        <v>64</v>
      </c>
      <c r="C2130" t="s">
        <v>12</v>
      </c>
      <c r="D2130" t="s">
        <v>21</v>
      </c>
      <c r="E2130">
        <v>15</v>
      </c>
      <c r="F2130" t="s">
        <v>22</v>
      </c>
      <c r="G2130" t="s">
        <v>34</v>
      </c>
      <c r="H2130" s="1">
        <v>144.1</v>
      </c>
      <c r="I2130" t="s">
        <v>24</v>
      </c>
      <c r="J2130">
        <v>0</v>
      </c>
      <c r="K2130">
        <v>4</v>
      </c>
    </row>
    <row r="2131" spans="1:11" x14ac:dyDescent="0.35">
      <c r="A2131" t="s">
        <v>2168</v>
      </c>
      <c r="B2131">
        <v>84</v>
      </c>
      <c r="C2131" t="s">
        <v>12</v>
      </c>
      <c r="D2131" t="s">
        <v>19</v>
      </c>
      <c r="E2131">
        <v>24</v>
      </c>
      <c r="F2131" t="s">
        <v>31</v>
      </c>
      <c r="G2131" t="s">
        <v>34</v>
      </c>
      <c r="H2131" s="1">
        <v>207.97</v>
      </c>
      <c r="I2131" t="s">
        <v>24</v>
      </c>
      <c r="J2131">
        <v>3</v>
      </c>
      <c r="K2131">
        <v>5</v>
      </c>
    </row>
    <row r="2132" spans="1:11" x14ac:dyDescent="0.35">
      <c r="A2132" t="s">
        <v>2169</v>
      </c>
      <c r="B2132">
        <v>51</v>
      </c>
      <c r="C2132" t="s">
        <v>18</v>
      </c>
      <c r="D2132" t="s">
        <v>19</v>
      </c>
      <c r="E2132">
        <v>10</v>
      </c>
      <c r="F2132" t="s">
        <v>14</v>
      </c>
      <c r="G2132" t="s">
        <v>23</v>
      </c>
      <c r="H2132" s="1">
        <v>0</v>
      </c>
      <c r="I2132" t="s">
        <v>16</v>
      </c>
      <c r="J2132">
        <v>0</v>
      </c>
      <c r="K2132">
        <v>6</v>
      </c>
    </row>
    <row r="2133" spans="1:11" x14ac:dyDescent="0.35">
      <c r="A2133" t="s">
        <v>2170</v>
      </c>
      <c r="B2133">
        <v>58</v>
      </c>
      <c r="C2133" t="s">
        <v>18</v>
      </c>
      <c r="D2133" t="s">
        <v>21</v>
      </c>
      <c r="E2133">
        <v>14</v>
      </c>
      <c r="F2133" t="s">
        <v>14</v>
      </c>
      <c r="G2133" t="s">
        <v>37</v>
      </c>
      <c r="H2133" s="1">
        <v>0</v>
      </c>
      <c r="I2133" t="s">
        <v>16</v>
      </c>
      <c r="J2133">
        <v>2</v>
      </c>
      <c r="K2133">
        <v>8</v>
      </c>
    </row>
    <row r="2134" spans="1:11" x14ac:dyDescent="0.35">
      <c r="A2134" t="s">
        <v>2171</v>
      </c>
      <c r="B2134">
        <v>76</v>
      </c>
      <c r="C2134" t="s">
        <v>18</v>
      </c>
      <c r="D2134" t="s">
        <v>19</v>
      </c>
      <c r="E2134">
        <v>9</v>
      </c>
      <c r="F2134" t="s">
        <v>22</v>
      </c>
      <c r="G2134" t="s">
        <v>23</v>
      </c>
      <c r="H2134" s="1">
        <v>139.63</v>
      </c>
      <c r="I2134" t="s">
        <v>24</v>
      </c>
      <c r="J2134">
        <v>2</v>
      </c>
      <c r="K2134">
        <v>6</v>
      </c>
    </row>
    <row r="2135" spans="1:11" x14ac:dyDescent="0.35">
      <c r="A2135" t="s">
        <v>2172</v>
      </c>
      <c r="B2135">
        <v>28</v>
      </c>
      <c r="C2135" t="s">
        <v>12</v>
      </c>
      <c r="D2135" t="s">
        <v>13</v>
      </c>
      <c r="E2135">
        <v>12</v>
      </c>
      <c r="F2135" t="s">
        <v>22</v>
      </c>
      <c r="G2135" t="s">
        <v>23</v>
      </c>
      <c r="H2135" s="1">
        <v>320.75</v>
      </c>
      <c r="I2135" t="s">
        <v>24</v>
      </c>
      <c r="J2135">
        <v>1</v>
      </c>
      <c r="K2135">
        <v>6</v>
      </c>
    </row>
    <row r="2136" spans="1:11" x14ac:dyDescent="0.35">
      <c r="A2136" t="s">
        <v>2173</v>
      </c>
      <c r="B2136">
        <v>27</v>
      </c>
      <c r="C2136" t="s">
        <v>12</v>
      </c>
      <c r="D2136" t="s">
        <v>41</v>
      </c>
      <c r="E2136">
        <v>13</v>
      </c>
      <c r="F2136" t="s">
        <v>33</v>
      </c>
      <c r="G2136" t="s">
        <v>37</v>
      </c>
      <c r="H2136" s="1">
        <v>129.65</v>
      </c>
      <c r="I2136" t="s">
        <v>24</v>
      </c>
      <c r="J2136">
        <v>0</v>
      </c>
      <c r="K2136">
        <v>5</v>
      </c>
    </row>
    <row r="2137" spans="1:11" x14ac:dyDescent="0.35">
      <c r="A2137" t="s">
        <v>2174</v>
      </c>
      <c r="B2137">
        <v>32</v>
      </c>
      <c r="C2137" t="s">
        <v>12</v>
      </c>
      <c r="D2137" t="s">
        <v>21</v>
      </c>
      <c r="E2137">
        <v>40</v>
      </c>
      <c r="F2137" t="s">
        <v>22</v>
      </c>
      <c r="G2137" t="s">
        <v>34</v>
      </c>
      <c r="H2137" s="1">
        <v>218.05</v>
      </c>
      <c r="I2137" t="s">
        <v>24</v>
      </c>
      <c r="J2137">
        <v>3</v>
      </c>
      <c r="K2137">
        <v>1</v>
      </c>
    </row>
    <row r="2138" spans="1:11" x14ac:dyDescent="0.35">
      <c r="A2138" t="s">
        <v>2175</v>
      </c>
      <c r="B2138">
        <v>76</v>
      </c>
      <c r="C2138" t="s">
        <v>12</v>
      </c>
      <c r="D2138" t="s">
        <v>19</v>
      </c>
      <c r="E2138">
        <v>15</v>
      </c>
      <c r="F2138" t="s">
        <v>33</v>
      </c>
      <c r="G2138" t="s">
        <v>23</v>
      </c>
      <c r="H2138" s="1">
        <v>384.32</v>
      </c>
      <c r="I2138" t="s">
        <v>24</v>
      </c>
      <c r="J2138">
        <v>0</v>
      </c>
      <c r="K2138">
        <v>7</v>
      </c>
    </row>
    <row r="2139" spans="1:11" x14ac:dyDescent="0.35">
      <c r="A2139" t="s">
        <v>2176</v>
      </c>
      <c r="B2139">
        <v>67</v>
      </c>
      <c r="C2139" t="s">
        <v>12</v>
      </c>
      <c r="D2139" t="s">
        <v>57</v>
      </c>
      <c r="E2139">
        <v>17</v>
      </c>
      <c r="F2139" t="s">
        <v>14</v>
      </c>
      <c r="G2139" t="s">
        <v>23</v>
      </c>
      <c r="H2139" s="1">
        <v>0</v>
      </c>
      <c r="I2139" t="s">
        <v>16</v>
      </c>
      <c r="J2139">
        <v>2</v>
      </c>
      <c r="K2139">
        <v>5</v>
      </c>
    </row>
    <row r="2140" spans="1:11" x14ac:dyDescent="0.35">
      <c r="A2140" t="s">
        <v>2177</v>
      </c>
      <c r="B2140">
        <v>56</v>
      </c>
      <c r="C2140" t="s">
        <v>12</v>
      </c>
      <c r="D2140" t="s">
        <v>19</v>
      </c>
      <c r="E2140">
        <v>7</v>
      </c>
      <c r="F2140" t="s">
        <v>31</v>
      </c>
      <c r="G2140" t="s">
        <v>37</v>
      </c>
      <c r="H2140" s="1">
        <v>99.43</v>
      </c>
      <c r="I2140" t="s">
        <v>24</v>
      </c>
      <c r="J2140">
        <v>1</v>
      </c>
      <c r="K2140">
        <v>8</v>
      </c>
    </row>
    <row r="2141" spans="1:11" x14ac:dyDescent="0.35">
      <c r="A2141" t="s">
        <v>2178</v>
      </c>
      <c r="B2141">
        <v>53</v>
      </c>
      <c r="C2141" t="s">
        <v>18</v>
      </c>
      <c r="D2141" t="s">
        <v>41</v>
      </c>
      <c r="E2141">
        <v>10</v>
      </c>
      <c r="F2141" t="s">
        <v>26</v>
      </c>
      <c r="G2141" t="s">
        <v>27</v>
      </c>
      <c r="H2141" s="1">
        <v>29.22</v>
      </c>
      <c r="I2141" t="s">
        <v>24</v>
      </c>
      <c r="J2141">
        <v>3</v>
      </c>
      <c r="K2141">
        <v>5</v>
      </c>
    </row>
    <row r="2142" spans="1:11" x14ac:dyDescent="0.35">
      <c r="A2142" t="s">
        <v>2179</v>
      </c>
      <c r="B2142">
        <v>41</v>
      </c>
      <c r="C2142" t="s">
        <v>18</v>
      </c>
      <c r="D2142" t="s">
        <v>41</v>
      </c>
      <c r="E2142">
        <v>7</v>
      </c>
      <c r="F2142" t="s">
        <v>31</v>
      </c>
      <c r="G2142" t="s">
        <v>27</v>
      </c>
      <c r="H2142" s="1">
        <v>89.56</v>
      </c>
      <c r="I2142" t="s">
        <v>24</v>
      </c>
      <c r="J2142">
        <v>1</v>
      </c>
      <c r="K2142">
        <v>9</v>
      </c>
    </row>
    <row r="2143" spans="1:11" x14ac:dyDescent="0.35">
      <c r="A2143" t="s">
        <v>2180</v>
      </c>
      <c r="B2143">
        <v>49</v>
      </c>
      <c r="C2143" t="s">
        <v>18</v>
      </c>
      <c r="D2143" t="s">
        <v>19</v>
      </c>
      <c r="E2143">
        <v>14</v>
      </c>
      <c r="F2143" t="s">
        <v>22</v>
      </c>
      <c r="G2143" t="s">
        <v>34</v>
      </c>
      <c r="H2143" s="1">
        <v>180.47</v>
      </c>
      <c r="I2143" t="s">
        <v>24</v>
      </c>
      <c r="J2143">
        <v>0</v>
      </c>
      <c r="K2143">
        <v>7</v>
      </c>
    </row>
    <row r="2144" spans="1:11" x14ac:dyDescent="0.35">
      <c r="A2144" t="s">
        <v>2181</v>
      </c>
      <c r="B2144">
        <v>80</v>
      </c>
      <c r="C2144" t="s">
        <v>12</v>
      </c>
      <c r="D2144" t="s">
        <v>19</v>
      </c>
      <c r="E2144">
        <v>6</v>
      </c>
      <c r="F2144" t="s">
        <v>22</v>
      </c>
      <c r="G2144" t="s">
        <v>37</v>
      </c>
      <c r="H2144" s="1">
        <v>189.14</v>
      </c>
      <c r="I2144" t="s">
        <v>24</v>
      </c>
      <c r="J2144">
        <v>0</v>
      </c>
      <c r="K2144">
        <v>7</v>
      </c>
    </row>
    <row r="2145" spans="1:11" x14ac:dyDescent="0.35">
      <c r="A2145" t="s">
        <v>2182</v>
      </c>
      <c r="B2145">
        <v>23</v>
      </c>
      <c r="C2145" t="s">
        <v>12</v>
      </c>
      <c r="D2145" t="s">
        <v>41</v>
      </c>
      <c r="E2145">
        <v>10</v>
      </c>
      <c r="F2145" t="s">
        <v>33</v>
      </c>
      <c r="G2145" t="s">
        <v>23</v>
      </c>
      <c r="H2145" s="1">
        <v>183.18</v>
      </c>
      <c r="I2145" t="s">
        <v>28</v>
      </c>
      <c r="J2145">
        <v>1</v>
      </c>
      <c r="K2145">
        <v>6</v>
      </c>
    </row>
    <row r="2146" spans="1:11" x14ac:dyDescent="0.35">
      <c r="A2146" t="s">
        <v>2183</v>
      </c>
      <c r="B2146">
        <v>76</v>
      </c>
      <c r="C2146" t="s">
        <v>18</v>
      </c>
      <c r="D2146" t="s">
        <v>19</v>
      </c>
      <c r="E2146">
        <v>11</v>
      </c>
      <c r="F2146" t="s">
        <v>14</v>
      </c>
      <c r="G2146" t="s">
        <v>27</v>
      </c>
      <c r="H2146" s="1">
        <v>0</v>
      </c>
      <c r="I2146" t="s">
        <v>16</v>
      </c>
      <c r="J2146">
        <v>0</v>
      </c>
      <c r="K2146">
        <v>5</v>
      </c>
    </row>
    <row r="2147" spans="1:11" x14ac:dyDescent="0.35">
      <c r="A2147" t="s">
        <v>2184</v>
      </c>
      <c r="B2147">
        <v>81</v>
      </c>
      <c r="C2147" t="s">
        <v>18</v>
      </c>
      <c r="D2147" t="s">
        <v>30</v>
      </c>
      <c r="E2147">
        <v>13</v>
      </c>
      <c r="F2147" t="s">
        <v>33</v>
      </c>
      <c r="G2147" t="s">
        <v>37</v>
      </c>
      <c r="H2147" s="1">
        <v>194.84</v>
      </c>
      <c r="I2147" t="s">
        <v>28</v>
      </c>
      <c r="J2147">
        <v>1</v>
      </c>
      <c r="K2147">
        <v>8</v>
      </c>
    </row>
    <row r="2148" spans="1:11" x14ac:dyDescent="0.35">
      <c r="A2148" t="s">
        <v>2185</v>
      </c>
      <c r="B2148">
        <v>37</v>
      </c>
      <c r="C2148" t="s">
        <v>12</v>
      </c>
      <c r="D2148" t="s">
        <v>13</v>
      </c>
      <c r="E2148">
        <v>21</v>
      </c>
      <c r="F2148" t="s">
        <v>31</v>
      </c>
      <c r="G2148" t="s">
        <v>15</v>
      </c>
      <c r="H2148" s="1">
        <v>259.42</v>
      </c>
      <c r="I2148" t="s">
        <v>24</v>
      </c>
      <c r="J2148">
        <v>3</v>
      </c>
      <c r="K2148">
        <v>3</v>
      </c>
    </row>
    <row r="2149" spans="1:11" x14ac:dyDescent="0.35">
      <c r="A2149" t="s">
        <v>2186</v>
      </c>
      <c r="B2149">
        <v>66</v>
      </c>
      <c r="C2149" t="s">
        <v>18</v>
      </c>
      <c r="D2149" t="s">
        <v>200</v>
      </c>
      <c r="E2149">
        <v>17</v>
      </c>
      <c r="F2149" t="s">
        <v>26</v>
      </c>
      <c r="G2149" t="s">
        <v>34</v>
      </c>
      <c r="H2149" s="1">
        <v>208.06</v>
      </c>
      <c r="I2149" t="s">
        <v>24</v>
      </c>
      <c r="J2149">
        <v>3</v>
      </c>
      <c r="K2149">
        <v>5</v>
      </c>
    </row>
    <row r="2150" spans="1:11" x14ac:dyDescent="0.35">
      <c r="A2150" t="s">
        <v>2187</v>
      </c>
      <c r="B2150">
        <v>21</v>
      </c>
      <c r="C2150" t="s">
        <v>18</v>
      </c>
      <c r="D2150" t="s">
        <v>19</v>
      </c>
      <c r="E2150">
        <v>15</v>
      </c>
      <c r="F2150" t="s">
        <v>22</v>
      </c>
      <c r="G2150" t="s">
        <v>15</v>
      </c>
      <c r="H2150" s="1">
        <v>260.83</v>
      </c>
      <c r="I2150" t="s">
        <v>24</v>
      </c>
      <c r="J2150">
        <v>3</v>
      </c>
      <c r="K2150">
        <v>5</v>
      </c>
    </row>
    <row r="2151" spans="1:11" x14ac:dyDescent="0.35">
      <c r="A2151" t="s">
        <v>2188</v>
      </c>
      <c r="B2151">
        <v>36</v>
      </c>
      <c r="C2151" t="s">
        <v>18</v>
      </c>
      <c r="D2151" t="s">
        <v>19</v>
      </c>
      <c r="E2151">
        <v>12</v>
      </c>
      <c r="F2151" t="s">
        <v>26</v>
      </c>
      <c r="G2151" t="s">
        <v>37</v>
      </c>
      <c r="H2151" s="1">
        <v>121.27</v>
      </c>
      <c r="I2151" t="s">
        <v>43</v>
      </c>
      <c r="J2151">
        <v>0</v>
      </c>
      <c r="K2151">
        <v>8</v>
      </c>
    </row>
    <row r="2152" spans="1:11" x14ac:dyDescent="0.35">
      <c r="A2152" t="s">
        <v>2189</v>
      </c>
      <c r="B2152">
        <v>75</v>
      </c>
      <c r="C2152" t="s">
        <v>12</v>
      </c>
      <c r="D2152" t="s">
        <v>19</v>
      </c>
      <c r="E2152">
        <v>15</v>
      </c>
      <c r="F2152" t="s">
        <v>33</v>
      </c>
      <c r="G2152" t="s">
        <v>15</v>
      </c>
      <c r="H2152" s="1">
        <v>228.9</v>
      </c>
      <c r="I2152" t="s">
        <v>24</v>
      </c>
      <c r="J2152">
        <v>1</v>
      </c>
      <c r="K2152">
        <v>8</v>
      </c>
    </row>
    <row r="2153" spans="1:11" x14ac:dyDescent="0.35">
      <c r="A2153" t="s">
        <v>2190</v>
      </c>
      <c r="B2153">
        <v>19</v>
      </c>
      <c r="C2153" t="s">
        <v>18</v>
      </c>
      <c r="D2153" t="s">
        <v>19</v>
      </c>
      <c r="E2153">
        <v>12</v>
      </c>
      <c r="F2153" t="s">
        <v>31</v>
      </c>
      <c r="G2153" t="s">
        <v>34</v>
      </c>
      <c r="H2153" s="1">
        <v>109.49</v>
      </c>
      <c r="I2153" t="s">
        <v>24</v>
      </c>
      <c r="J2153">
        <v>1</v>
      </c>
      <c r="K2153">
        <v>4</v>
      </c>
    </row>
    <row r="2154" spans="1:11" x14ac:dyDescent="0.35">
      <c r="A2154" t="s">
        <v>2191</v>
      </c>
      <c r="B2154">
        <v>59</v>
      </c>
      <c r="C2154" t="s">
        <v>12</v>
      </c>
      <c r="D2154" t="s">
        <v>21</v>
      </c>
      <c r="E2154">
        <v>36</v>
      </c>
      <c r="F2154" t="s">
        <v>26</v>
      </c>
      <c r="G2154" t="s">
        <v>34</v>
      </c>
      <c r="H2154" s="1">
        <v>105.62</v>
      </c>
      <c r="I2154" t="s">
        <v>24</v>
      </c>
      <c r="J2154">
        <v>2</v>
      </c>
      <c r="K2154">
        <v>3</v>
      </c>
    </row>
    <row r="2155" spans="1:11" x14ac:dyDescent="0.35">
      <c r="A2155" t="s">
        <v>2192</v>
      </c>
      <c r="B2155">
        <v>78</v>
      </c>
      <c r="C2155" t="s">
        <v>12</v>
      </c>
      <c r="D2155" t="s">
        <v>19</v>
      </c>
      <c r="E2155">
        <v>13</v>
      </c>
      <c r="F2155" t="s">
        <v>33</v>
      </c>
      <c r="G2155" t="s">
        <v>34</v>
      </c>
      <c r="H2155" s="1">
        <v>126.85</v>
      </c>
      <c r="I2155" t="s">
        <v>43</v>
      </c>
      <c r="J2155">
        <v>3</v>
      </c>
      <c r="K2155">
        <v>4</v>
      </c>
    </row>
    <row r="2156" spans="1:11" x14ac:dyDescent="0.35">
      <c r="A2156" t="s">
        <v>2193</v>
      </c>
      <c r="B2156">
        <v>40</v>
      </c>
      <c r="C2156" t="s">
        <v>18</v>
      </c>
      <c r="D2156" t="s">
        <v>19</v>
      </c>
      <c r="E2156">
        <v>20</v>
      </c>
      <c r="F2156" t="s">
        <v>26</v>
      </c>
      <c r="G2156" t="s">
        <v>27</v>
      </c>
      <c r="H2156" s="1">
        <v>89.13</v>
      </c>
      <c r="I2156" t="s">
        <v>24</v>
      </c>
      <c r="J2156">
        <v>1</v>
      </c>
      <c r="K2156">
        <v>2</v>
      </c>
    </row>
    <row r="2157" spans="1:11" x14ac:dyDescent="0.35">
      <c r="A2157" t="s">
        <v>2194</v>
      </c>
      <c r="B2157">
        <v>85</v>
      </c>
      <c r="C2157" t="s">
        <v>12</v>
      </c>
      <c r="D2157" t="s">
        <v>19</v>
      </c>
      <c r="E2157">
        <v>10</v>
      </c>
      <c r="F2157" t="s">
        <v>22</v>
      </c>
      <c r="G2157" t="s">
        <v>27</v>
      </c>
      <c r="H2157" s="1">
        <v>179.25</v>
      </c>
      <c r="I2157" t="s">
        <v>24</v>
      </c>
      <c r="J2157">
        <v>0</v>
      </c>
      <c r="K2157">
        <v>7</v>
      </c>
    </row>
    <row r="2158" spans="1:11" x14ac:dyDescent="0.35">
      <c r="A2158" t="s">
        <v>2195</v>
      </c>
      <c r="B2158">
        <v>68</v>
      </c>
      <c r="C2158" t="s">
        <v>18</v>
      </c>
      <c r="D2158" t="s">
        <v>19</v>
      </c>
      <c r="E2158">
        <v>18</v>
      </c>
      <c r="F2158" t="s">
        <v>31</v>
      </c>
      <c r="G2158" t="s">
        <v>15</v>
      </c>
      <c r="H2158" s="1">
        <v>345.24</v>
      </c>
      <c r="I2158" t="s">
        <v>24</v>
      </c>
      <c r="J2158">
        <v>2</v>
      </c>
      <c r="K2158">
        <v>6</v>
      </c>
    </row>
    <row r="2159" spans="1:11" x14ac:dyDescent="0.35">
      <c r="A2159" t="s">
        <v>2196</v>
      </c>
      <c r="B2159">
        <v>41</v>
      </c>
      <c r="C2159" t="s">
        <v>18</v>
      </c>
      <c r="D2159" t="s">
        <v>21</v>
      </c>
      <c r="E2159">
        <v>38</v>
      </c>
      <c r="F2159" t="s">
        <v>31</v>
      </c>
      <c r="G2159" t="s">
        <v>15</v>
      </c>
      <c r="H2159" s="1">
        <v>277.52999999999997</v>
      </c>
      <c r="I2159" t="s">
        <v>24</v>
      </c>
      <c r="J2159">
        <v>1</v>
      </c>
      <c r="K2159">
        <v>3</v>
      </c>
    </row>
    <row r="2160" spans="1:11" x14ac:dyDescent="0.35">
      <c r="A2160" t="s">
        <v>2197</v>
      </c>
      <c r="B2160">
        <v>20</v>
      </c>
      <c r="C2160" t="s">
        <v>18</v>
      </c>
      <c r="D2160" t="s">
        <v>19</v>
      </c>
      <c r="E2160">
        <v>21</v>
      </c>
      <c r="F2160" t="s">
        <v>33</v>
      </c>
      <c r="G2160" t="s">
        <v>27</v>
      </c>
      <c r="H2160" s="1">
        <v>98.47</v>
      </c>
      <c r="I2160" t="s">
        <v>24</v>
      </c>
      <c r="J2160">
        <v>1</v>
      </c>
      <c r="K2160">
        <v>2</v>
      </c>
    </row>
    <row r="2161" spans="1:11" x14ac:dyDescent="0.35">
      <c r="A2161" t="s">
        <v>2198</v>
      </c>
      <c r="B2161">
        <v>26</v>
      </c>
      <c r="C2161" t="s">
        <v>18</v>
      </c>
      <c r="D2161" t="s">
        <v>30</v>
      </c>
      <c r="E2161">
        <v>4</v>
      </c>
      <c r="F2161" t="s">
        <v>31</v>
      </c>
      <c r="G2161" t="s">
        <v>34</v>
      </c>
      <c r="H2161" s="1">
        <v>179.12</v>
      </c>
      <c r="I2161" t="s">
        <v>24</v>
      </c>
      <c r="J2161">
        <v>1</v>
      </c>
      <c r="K2161">
        <v>10</v>
      </c>
    </row>
    <row r="2162" spans="1:11" x14ac:dyDescent="0.35">
      <c r="A2162" t="s">
        <v>2199</v>
      </c>
      <c r="B2162">
        <v>54</v>
      </c>
      <c r="C2162" t="s">
        <v>12</v>
      </c>
      <c r="D2162" t="s">
        <v>19</v>
      </c>
      <c r="E2162">
        <v>17</v>
      </c>
      <c r="F2162" t="s">
        <v>22</v>
      </c>
      <c r="G2162" t="s">
        <v>27</v>
      </c>
      <c r="H2162" s="1">
        <v>28.67</v>
      </c>
      <c r="I2162" t="s">
        <v>24</v>
      </c>
      <c r="J2162">
        <v>1</v>
      </c>
      <c r="K2162">
        <v>4</v>
      </c>
    </row>
    <row r="2163" spans="1:11" x14ac:dyDescent="0.35">
      <c r="A2163" t="s">
        <v>2200</v>
      </c>
      <c r="B2163">
        <v>71</v>
      </c>
      <c r="C2163" t="s">
        <v>12</v>
      </c>
      <c r="D2163" t="s">
        <v>47</v>
      </c>
      <c r="E2163">
        <v>5</v>
      </c>
      <c r="F2163" t="s">
        <v>22</v>
      </c>
      <c r="G2163" t="s">
        <v>23</v>
      </c>
      <c r="H2163" s="1">
        <v>61.19</v>
      </c>
      <c r="I2163" t="s">
        <v>28</v>
      </c>
      <c r="J2163">
        <v>0</v>
      </c>
      <c r="K2163">
        <v>7</v>
      </c>
    </row>
    <row r="2164" spans="1:11" x14ac:dyDescent="0.35">
      <c r="A2164" t="s">
        <v>2201</v>
      </c>
      <c r="B2164">
        <v>33</v>
      </c>
      <c r="C2164" t="s">
        <v>12</v>
      </c>
      <c r="D2164" t="s">
        <v>21</v>
      </c>
      <c r="E2164">
        <v>15</v>
      </c>
      <c r="F2164" t="s">
        <v>26</v>
      </c>
      <c r="G2164" t="s">
        <v>34</v>
      </c>
      <c r="H2164" s="1">
        <v>202.72</v>
      </c>
      <c r="I2164" t="s">
        <v>24</v>
      </c>
      <c r="J2164">
        <v>0</v>
      </c>
      <c r="K2164">
        <v>7</v>
      </c>
    </row>
    <row r="2165" spans="1:11" x14ac:dyDescent="0.35">
      <c r="A2165" t="s">
        <v>2202</v>
      </c>
      <c r="B2165">
        <v>20</v>
      </c>
      <c r="C2165" t="s">
        <v>18</v>
      </c>
      <c r="D2165" t="s">
        <v>13</v>
      </c>
      <c r="E2165">
        <v>19</v>
      </c>
      <c r="F2165" t="s">
        <v>26</v>
      </c>
      <c r="G2165" t="s">
        <v>27</v>
      </c>
      <c r="H2165" s="1">
        <v>89.32</v>
      </c>
      <c r="I2165" t="s">
        <v>28</v>
      </c>
      <c r="J2165">
        <v>0</v>
      </c>
      <c r="K2165">
        <v>4</v>
      </c>
    </row>
    <row r="2166" spans="1:11" x14ac:dyDescent="0.35">
      <c r="A2166" t="s">
        <v>2203</v>
      </c>
      <c r="B2166">
        <v>82</v>
      </c>
      <c r="C2166" t="s">
        <v>12</v>
      </c>
      <c r="D2166" t="s">
        <v>19</v>
      </c>
      <c r="E2166">
        <v>14</v>
      </c>
      <c r="F2166" t="s">
        <v>31</v>
      </c>
      <c r="G2166" t="s">
        <v>27</v>
      </c>
      <c r="H2166" s="1">
        <v>140.66</v>
      </c>
      <c r="I2166" t="s">
        <v>24</v>
      </c>
      <c r="J2166">
        <v>0</v>
      </c>
      <c r="K2166">
        <v>4</v>
      </c>
    </row>
    <row r="2167" spans="1:11" x14ac:dyDescent="0.35">
      <c r="A2167" t="s">
        <v>2204</v>
      </c>
      <c r="B2167">
        <v>57</v>
      </c>
      <c r="C2167" t="s">
        <v>18</v>
      </c>
      <c r="D2167" t="s">
        <v>41</v>
      </c>
      <c r="E2167">
        <v>13</v>
      </c>
      <c r="F2167" t="s">
        <v>22</v>
      </c>
      <c r="G2167" t="s">
        <v>15</v>
      </c>
      <c r="H2167" s="1">
        <v>430.26</v>
      </c>
      <c r="I2167" t="s">
        <v>24</v>
      </c>
      <c r="J2167">
        <v>3</v>
      </c>
      <c r="K2167">
        <v>5</v>
      </c>
    </row>
    <row r="2168" spans="1:11" x14ac:dyDescent="0.35">
      <c r="A2168" t="s">
        <v>2205</v>
      </c>
      <c r="B2168">
        <v>73</v>
      </c>
      <c r="C2168" t="s">
        <v>12</v>
      </c>
      <c r="D2168" t="s">
        <v>19</v>
      </c>
      <c r="E2168">
        <v>23</v>
      </c>
      <c r="F2168" t="s">
        <v>26</v>
      </c>
      <c r="G2168" t="s">
        <v>34</v>
      </c>
      <c r="H2168" s="1">
        <v>136.96</v>
      </c>
      <c r="I2168" t="s">
        <v>24</v>
      </c>
      <c r="J2168">
        <v>1</v>
      </c>
      <c r="K2168">
        <v>2</v>
      </c>
    </row>
    <row r="2169" spans="1:11" x14ac:dyDescent="0.35">
      <c r="A2169" t="s">
        <v>2206</v>
      </c>
      <c r="B2169">
        <v>67</v>
      </c>
      <c r="C2169" t="s">
        <v>18</v>
      </c>
      <c r="D2169" t="s">
        <v>21</v>
      </c>
      <c r="E2169">
        <v>26</v>
      </c>
      <c r="F2169" t="s">
        <v>33</v>
      </c>
      <c r="G2169" t="s">
        <v>15</v>
      </c>
      <c r="H2169" s="1">
        <v>244.51</v>
      </c>
      <c r="I2169" t="s">
        <v>24</v>
      </c>
      <c r="J2169">
        <v>1</v>
      </c>
      <c r="K2169">
        <v>2</v>
      </c>
    </row>
    <row r="2170" spans="1:11" x14ac:dyDescent="0.35">
      <c r="A2170" t="s">
        <v>2207</v>
      </c>
      <c r="B2170">
        <v>65</v>
      </c>
      <c r="C2170" t="s">
        <v>12</v>
      </c>
      <c r="D2170" t="s">
        <v>19</v>
      </c>
      <c r="E2170">
        <v>19</v>
      </c>
      <c r="F2170" t="s">
        <v>26</v>
      </c>
      <c r="G2170" t="s">
        <v>23</v>
      </c>
      <c r="H2170" s="1">
        <v>389.98</v>
      </c>
      <c r="I2170" t="s">
        <v>24</v>
      </c>
      <c r="J2170">
        <v>3</v>
      </c>
      <c r="K2170">
        <v>3</v>
      </c>
    </row>
    <row r="2171" spans="1:11" x14ac:dyDescent="0.35">
      <c r="A2171" t="s">
        <v>2208</v>
      </c>
      <c r="B2171">
        <v>54</v>
      </c>
      <c r="C2171" t="s">
        <v>18</v>
      </c>
      <c r="D2171" t="s">
        <v>19</v>
      </c>
      <c r="E2171">
        <v>19</v>
      </c>
      <c r="F2171" t="s">
        <v>26</v>
      </c>
      <c r="G2171" t="s">
        <v>27</v>
      </c>
      <c r="H2171" s="1">
        <v>101.33</v>
      </c>
      <c r="I2171" t="s">
        <v>24</v>
      </c>
      <c r="J2171">
        <v>1</v>
      </c>
      <c r="K2171">
        <v>2</v>
      </c>
    </row>
    <row r="2172" spans="1:11" x14ac:dyDescent="0.35">
      <c r="A2172" t="s">
        <v>2209</v>
      </c>
      <c r="B2172">
        <v>66</v>
      </c>
      <c r="C2172" t="s">
        <v>18</v>
      </c>
      <c r="D2172" t="s">
        <v>19</v>
      </c>
      <c r="E2172">
        <v>10</v>
      </c>
      <c r="F2172" t="s">
        <v>22</v>
      </c>
      <c r="G2172" t="s">
        <v>15</v>
      </c>
      <c r="H2172" s="1">
        <v>179.19</v>
      </c>
      <c r="I2172" t="s">
        <v>28</v>
      </c>
      <c r="J2172">
        <v>0</v>
      </c>
      <c r="K2172">
        <v>7</v>
      </c>
    </row>
    <row r="2173" spans="1:11" x14ac:dyDescent="0.35">
      <c r="A2173" t="s">
        <v>2210</v>
      </c>
      <c r="B2173">
        <v>78</v>
      </c>
      <c r="C2173" t="s">
        <v>18</v>
      </c>
      <c r="D2173" t="s">
        <v>57</v>
      </c>
      <c r="E2173">
        <v>42</v>
      </c>
      <c r="F2173" t="s">
        <v>33</v>
      </c>
      <c r="G2173" t="s">
        <v>34</v>
      </c>
      <c r="H2173" s="1">
        <v>203.37</v>
      </c>
      <c r="I2173" t="s">
        <v>24</v>
      </c>
      <c r="J2173">
        <v>0</v>
      </c>
      <c r="K2173">
        <v>1</v>
      </c>
    </row>
    <row r="2174" spans="1:11" x14ac:dyDescent="0.35">
      <c r="A2174" t="s">
        <v>2211</v>
      </c>
      <c r="B2174">
        <v>44</v>
      </c>
      <c r="C2174" t="s">
        <v>12</v>
      </c>
      <c r="D2174" t="s">
        <v>19</v>
      </c>
      <c r="E2174">
        <v>14</v>
      </c>
      <c r="F2174" t="s">
        <v>31</v>
      </c>
      <c r="G2174" t="s">
        <v>23</v>
      </c>
      <c r="H2174" s="1">
        <v>62.2</v>
      </c>
      <c r="I2174" t="s">
        <v>24</v>
      </c>
      <c r="J2174">
        <v>0</v>
      </c>
      <c r="K2174">
        <v>8</v>
      </c>
    </row>
    <row r="2175" spans="1:11" x14ac:dyDescent="0.35">
      <c r="A2175" t="s">
        <v>2212</v>
      </c>
      <c r="B2175">
        <v>52</v>
      </c>
      <c r="C2175" t="s">
        <v>12</v>
      </c>
      <c r="D2175" t="s">
        <v>57</v>
      </c>
      <c r="E2175">
        <v>41</v>
      </c>
      <c r="F2175" t="s">
        <v>33</v>
      </c>
      <c r="G2175" t="s">
        <v>23</v>
      </c>
      <c r="H2175" s="1">
        <v>590.02</v>
      </c>
      <c r="I2175" t="s">
        <v>24</v>
      </c>
      <c r="J2175">
        <v>2</v>
      </c>
      <c r="K2175">
        <v>4</v>
      </c>
    </row>
    <row r="2176" spans="1:11" x14ac:dyDescent="0.35">
      <c r="A2176" t="s">
        <v>2213</v>
      </c>
      <c r="B2176">
        <v>46</v>
      </c>
      <c r="C2176" t="s">
        <v>12</v>
      </c>
      <c r="D2176" t="s">
        <v>19</v>
      </c>
      <c r="E2176">
        <v>13</v>
      </c>
      <c r="F2176" t="s">
        <v>31</v>
      </c>
      <c r="G2176" t="s">
        <v>37</v>
      </c>
      <c r="H2176" s="1">
        <v>103.64</v>
      </c>
      <c r="I2176" t="s">
        <v>43</v>
      </c>
      <c r="J2176">
        <v>2</v>
      </c>
      <c r="K2176">
        <v>8</v>
      </c>
    </row>
    <row r="2177" spans="1:11" x14ac:dyDescent="0.35">
      <c r="A2177" t="s">
        <v>2214</v>
      </c>
      <c r="B2177">
        <v>33</v>
      </c>
      <c r="C2177" t="s">
        <v>18</v>
      </c>
      <c r="D2177" t="s">
        <v>57</v>
      </c>
      <c r="E2177">
        <v>34</v>
      </c>
      <c r="F2177" t="s">
        <v>22</v>
      </c>
      <c r="G2177" t="s">
        <v>37</v>
      </c>
      <c r="H2177" s="1">
        <v>100.83</v>
      </c>
      <c r="I2177" t="s">
        <v>24</v>
      </c>
      <c r="J2177">
        <v>0</v>
      </c>
      <c r="K2177">
        <v>4</v>
      </c>
    </row>
    <row r="2178" spans="1:11" x14ac:dyDescent="0.35">
      <c r="A2178" t="s">
        <v>2215</v>
      </c>
      <c r="B2178">
        <v>39</v>
      </c>
      <c r="C2178" t="s">
        <v>18</v>
      </c>
      <c r="D2178" t="s">
        <v>21</v>
      </c>
      <c r="E2178">
        <v>34</v>
      </c>
      <c r="F2178" t="s">
        <v>14</v>
      </c>
      <c r="G2178" t="s">
        <v>23</v>
      </c>
      <c r="H2178" s="1">
        <v>0</v>
      </c>
      <c r="I2178" t="s">
        <v>16</v>
      </c>
      <c r="J2178">
        <v>3</v>
      </c>
      <c r="K2178">
        <v>1</v>
      </c>
    </row>
    <row r="2179" spans="1:11" x14ac:dyDescent="0.35">
      <c r="A2179" t="s">
        <v>2216</v>
      </c>
      <c r="B2179">
        <v>36</v>
      </c>
      <c r="C2179" t="s">
        <v>12</v>
      </c>
      <c r="D2179" t="s">
        <v>19</v>
      </c>
      <c r="E2179">
        <v>9</v>
      </c>
      <c r="F2179" t="s">
        <v>31</v>
      </c>
      <c r="G2179" t="s">
        <v>37</v>
      </c>
      <c r="H2179" s="1">
        <v>217.05</v>
      </c>
      <c r="I2179" t="s">
        <v>24</v>
      </c>
      <c r="J2179">
        <v>0</v>
      </c>
      <c r="K2179">
        <v>7</v>
      </c>
    </row>
    <row r="2180" spans="1:11" x14ac:dyDescent="0.35">
      <c r="A2180" t="s">
        <v>2217</v>
      </c>
      <c r="B2180">
        <v>70</v>
      </c>
      <c r="C2180" t="s">
        <v>12</v>
      </c>
      <c r="D2180" t="s">
        <v>57</v>
      </c>
      <c r="E2180">
        <v>41</v>
      </c>
      <c r="F2180" t="s">
        <v>33</v>
      </c>
      <c r="G2180" t="s">
        <v>34</v>
      </c>
      <c r="H2180" s="1">
        <v>144.08000000000001</v>
      </c>
      <c r="I2180" t="s">
        <v>24</v>
      </c>
      <c r="J2180">
        <v>1</v>
      </c>
      <c r="K2180">
        <v>1</v>
      </c>
    </row>
    <row r="2181" spans="1:11" x14ac:dyDescent="0.35">
      <c r="A2181" t="s">
        <v>2218</v>
      </c>
      <c r="B2181">
        <v>52</v>
      </c>
      <c r="C2181" t="s">
        <v>18</v>
      </c>
      <c r="D2181" t="s">
        <v>19</v>
      </c>
      <c r="E2181">
        <v>8</v>
      </c>
      <c r="F2181" t="s">
        <v>22</v>
      </c>
      <c r="G2181" t="s">
        <v>15</v>
      </c>
      <c r="H2181" s="1">
        <v>441.29</v>
      </c>
      <c r="I2181" t="s">
        <v>43</v>
      </c>
      <c r="J2181">
        <v>1</v>
      </c>
      <c r="K2181">
        <v>7</v>
      </c>
    </row>
    <row r="2182" spans="1:11" x14ac:dyDescent="0.35">
      <c r="A2182" t="s">
        <v>2219</v>
      </c>
      <c r="B2182">
        <v>32</v>
      </c>
      <c r="C2182" t="s">
        <v>12</v>
      </c>
      <c r="D2182" t="s">
        <v>21</v>
      </c>
      <c r="E2182">
        <v>16</v>
      </c>
      <c r="F2182" t="s">
        <v>33</v>
      </c>
      <c r="G2182" t="s">
        <v>34</v>
      </c>
      <c r="H2182" s="1">
        <v>213.33</v>
      </c>
      <c r="I2182" t="s">
        <v>24</v>
      </c>
      <c r="J2182">
        <v>3</v>
      </c>
      <c r="K2182">
        <v>5</v>
      </c>
    </row>
    <row r="2183" spans="1:11" x14ac:dyDescent="0.35">
      <c r="A2183" t="s">
        <v>2220</v>
      </c>
      <c r="B2183">
        <v>52</v>
      </c>
      <c r="C2183" t="s">
        <v>18</v>
      </c>
      <c r="D2183" t="s">
        <v>120</v>
      </c>
      <c r="E2183">
        <v>22</v>
      </c>
      <c r="F2183" t="s">
        <v>22</v>
      </c>
      <c r="G2183" t="s">
        <v>23</v>
      </c>
      <c r="H2183" s="1">
        <v>467.1</v>
      </c>
      <c r="I2183" t="s">
        <v>24</v>
      </c>
      <c r="J2183">
        <v>2</v>
      </c>
      <c r="K2183">
        <v>3</v>
      </c>
    </row>
    <row r="2184" spans="1:11" x14ac:dyDescent="0.35">
      <c r="A2184" t="s">
        <v>2221</v>
      </c>
      <c r="B2184">
        <v>64</v>
      </c>
      <c r="C2184" t="s">
        <v>18</v>
      </c>
      <c r="D2184" t="s">
        <v>19</v>
      </c>
      <c r="E2184">
        <v>17</v>
      </c>
      <c r="F2184" t="s">
        <v>33</v>
      </c>
      <c r="G2184" t="s">
        <v>23</v>
      </c>
      <c r="H2184" s="1">
        <v>299.06</v>
      </c>
      <c r="I2184" t="s">
        <v>24</v>
      </c>
      <c r="J2184">
        <v>0</v>
      </c>
      <c r="K2184">
        <v>4</v>
      </c>
    </row>
    <row r="2185" spans="1:11" x14ac:dyDescent="0.35">
      <c r="A2185" t="s">
        <v>2222</v>
      </c>
      <c r="B2185">
        <v>18</v>
      </c>
      <c r="C2185" t="s">
        <v>18</v>
      </c>
      <c r="D2185" t="s">
        <v>13</v>
      </c>
      <c r="E2185">
        <v>16</v>
      </c>
      <c r="F2185" t="s">
        <v>22</v>
      </c>
      <c r="G2185" t="s">
        <v>27</v>
      </c>
      <c r="H2185" s="1">
        <v>139.26</v>
      </c>
      <c r="I2185" t="s">
        <v>28</v>
      </c>
      <c r="J2185">
        <v>0</v>
      </c>
      <c r="K2185">
        <v>7</v>
      </c>
    </row>
    <row r="2186" spans="1:11" x14ac:dyDescent="0.35">
      <c r="A2186" t="s">
        <v>2223</v>
      </c>
      <c r="B2186">
        <v>69</v>
      </c>
      <c r="C2186" t="s">
        <v>12</v>
      </c>
      <c r="D2186" t="s">
        <v>13</v>
      </c>
      <c r="E2186">
        <v>12</v>
      </c>
      <c r="F2186" t="s">
        <v>31</v>
      </c>
      <c r="G2186" t="s">
        <v>34</v>
      </c>
      <c r="H2186" s="1">
        <v>165.71</v>
      </c>
      <c r="I2186" t="s">
        <v>24</v>
      </c>
      <c r="J2186">
        <v>0</v>
      </c>
      <c r="K2186">
        <v>8</v>
      </c>
    </row>
    <row r="2187" spans="1:11" x14ac:dyDescent="0.35">
      <c r="A2187" t="s">
        <v>2224</v>
      </c>
      <c r="B2187">
        <v>64</v>
      </c>
      <c r="C2187" t="s">
        <v>18</v>
      </c>
      <c r="D2187" t="s">
        <v>21</v>
      </c>
      <c r="E2187">
        <v>12</v>
      </c>
      <c r="F2187" t="s">
        <v>26</v>
      </c>
      <c r="G2187" t="s">
        <v>27</v>
      </c>
      <c r="H2187" s="1">
        <v>176.79</v>
      </c>
      <c r="I2187" t="s">
        <v>24</v>
      </c>
      <c r="J2187">
        <v>3</v>
      </c>
      <c r="K2187">
        <v>7</v>
      </c>
    </row>
    <row r="2188" spans="1:11" x14ac:dyDescent="0.35">
      <c r="A2188" t="s">
        <v>2225</v>
      </c>
      <c r="B2188">
        <v>22</v>
      </c>
      <c r="C2188" t="s">
        <v>18</v>
      </c>
      <c r="D2188" t="s">
        <v>47</v>
      </c>
      <c r="E2188">
        <v>4</v>
      </c>
      <c r="F2188" t="s">
        <v>22</v>
      </c>
      <c r="G2188" t="s">
        <v>23</v>
      </c>
      <c r="H2188" s="1">
        <v>205.44</v>
      </c>
      <c r="I2188" t="s">
        <v>43</v>
      </c>
      <c r="J2188">
        <v>0</v>
      </c>
      <c r="K2188">
        <v>9</v>
      </c>
    </row>
    <row r="2189" spans="1:11" x14ac:dyDescent="0.35">
      <c r="A2189" t="s">
        <v>2226</v>
      </c>
      <c r="B2189">
        <v>48</v>
      </c>
      <c r="C2189" t="s">
        <v>12</v>
      </c>
      <c r="D2189" t="s">
        <v>19</v>
      </c>
      <c r="E2189">
        <v>12</v>
      </c>
      <c r="F2189" t="s">
        <v>33</v>
      </c>
      <c r="G2189" t="s">
        <v>37</v>
      </c>
      <c r="H2189" s="1">
        <v>107.1</v>
      </c>
      <c r="I2189" t="s">
        <v>24</v>
      </c>
      <c r="J2189">
        <v>1</v>
      </c>
      <c r="K2189">
        <v>6</v>
      </c>
    </row>
    <row r="2190" spans="1:11" x14ac:dyDescent="0.35">
      <c r="A2190" t="s">
        <v>2227</v>
      </c>
      <c r="B2190">
        <v>56</v>
      </c>
      <c r="C2190" t="s">
        <v>18</v>
      </c>
      <c r="D2190" t="s">
        <v>13</v>
      </c>
      <c r="E2190">
        <v>7</v>
      </c>
      <c r="F2190" t="s">
        <v>26</v>
      </c>
      <c r="G2190" t="s">
        <v>15</v>
      </c>
      <c r="H2190" s="1">
        <v>165.85</v>
      </c>
      <c r="I2190" t="s">
        <v>24</v>
      </c>
      <c r="J2190">
        <v>0</v>
      </c>
      <c r="K2190">
        <v>8</v>
      </c>
    </row>
    <row r="2191" spans="1:11" x14ac:dyDescent="0.35">
      <c r="A2191" t="s">
        <v>2228</v>
      </c>
      <c r="B2191">
        <v>51</v>
      </c>
      <c r="C2191" t="s">
        <v>18</v>
      </c>
      <c r="D2191" t="s">
        <v>30</v>
      </c>
      <c r="E2191">
        <v>5</v>
      </c>
      <c r="F2191" t="s">
        <v>31</v>
      </c>
      <c r="G2191" t="s">
        <v>23</v>
      </c>
      <c r="H2191" s="1">
        <v>323.36</v>
      </c>
      <c r="I2191" t="s">
        <v>24</v>
      </c>
      <c r="J2191">
        <v>0</v>
      </c>
      <c r="K2191">
        <v>10</v>
      </c>
    </row>
    <row r="2192" spans="1:11" x14ac:dyDescent="0.35">
      <c r="A2192" t="s">
        <v>2229</v>
      </c>
      <c r="B2192">
        <v>85</v>
      </c>
      <c r="C2192" t="s">
        <v>18</v>
      </c>
      <c r="D2192" t="s">
        <v>19</v>
      </c>
      <c r="E2192">
        <v>16</v>
      </c>
      <c r="F2192" t="s">
        <v>22</v>
      </c>
      <c r="G2192" t="s">
        <v>37</v>
      </c>
      <c r="H2192" s="1">
        <v>219.71</v>
      </c>
      <c r="I2192" t="s">
        <v>24</v>
      </c>
      <c r="J2192">
        <v>0</v>
      </c>
      <c r="K2192">
        <v>5</v>
      </c>
    </row>
    <row r="2193" spans="1:11" x14ac:dyDescent="0.35">
      <c r="A2193" t="s">
        <v>2230</v>
      </c>
      <c r="B2193">
        <v>50</v>
      </c>
      <c r="C2193" t="s">
        <v>18</v>
      </c>
      <c r="D2193" t="s">
        <v>30</v>
      </c>
      <c r="E2193">
        <v>3</v>
      </c>
      <c r="F2193" t="s">
        <v>22</v>
      </c>
      <c r="G2193" t="s">
        <v>34</v>
      </c>
      <c r="H2193" s="1">
        <v>161.44999999999999</v>
      </c>
      <c r="I2193" t="s">
        <v>24</v>
      </c>
      <c r="J2193">
        <v>0</v>
      </c>
      <c r="K2193">
        <v>9</v>
      </c>
    </row>
    <row r="2194" spans="1:11" x14ac:dyDescent="0.35">
      <c r="A2194" t="s">
        <v>2231</v>
      </c>
      <c r="B2194">
        <v>20</v>
      </c>
      <c r="C2194" t="s">
        <v>12</v>
      </c>
      <c r="D2194" t="s">
        <v>30</v>
      </c>
      <c r="E2194">
        <v>10</v>
      </c>
      <c r="F2194" t="s">
        <v>33</v>
      </c>
      <c r="G2194" t="s">
        <v>37</v>
      </c>
      <c r="H2194" s="1">
        <v>162.82</v>
      </c>
      <c r="I2194" t="s">
        <v>24</v>
      </c>
      <c r="J2194">
        <v>2</v>
      </c>
      <c r="K2194">
        <v>4</v>
      </c>
    </row>
    <row r="2195" spans="1:11" x14ac:dyDescent="0.35">
      <c r="A2195" t="s">
        <v>2232</v>
      </c>
      <c r="B2195">
        <v>37</v>
      </c>
      <c r="C2195" t="s">
        <v>12</v>
      </c>
      <c r="D2195" t="s">
        <v>21</v>
      </c>
      <c r="E2195">
        <v>22</v>
      </c>
      <c r="F2195" t="s">
        <v>26</v>
      </c>
      <c r="G2195" t="s">
        <v>34</v>
      </c>
      <c r="H2195" s="1">
        <v>207.74</v>
      </c>
      <c r="I2195" t="s">
        <v>28</v>
      </c>
      <c r="J2195">
        <v>0</v>
      </c>
      <c r="K2195">
        <v>2</v>
      </c>
    </row>
    <row r="2196" spans="1:11" x14ac:dyDescent="0.35">
      <c r="A2196" t="s">
        <v>2233</v>
      </c>
      <c r="B2196">
        <v>70</v>
      </c>
      <c r="C2196" t="s">
        <v>12</v>
      </c>
      <c r="D2196" t="s">
        <v>19</v>
      </c>
      <c r="E2196">
        <v>22</v>
      </c>
      <c r="F2196" t="s">
        <v>14</v>
      </c>
      <c r="G2196" t="s">
        <v>34</v>
      </c>
      <c r="H2196" s="1">
        <v>0</v>
      </c>
      <c r="I2196" t="s">
        <v>16</v>
      </c>
      <c r="J2196">
        <v>2</v>
      </c>
      <c r="K2196">
        <v>4</v>
      </c>
    </row>
    <row r="2197" spans="1:11" x14ac:dyDescent="0.35">
      <c r="A2197" t="s">
        <v>2234</v>
      </c>
      <c r="B2197">
        <v>62</v>
      </c>
      <c r="C2197" t="s">
        <v>18</v>
      </c>
      <c r="D2197" t="s">
        <v>19</v>
      </c>
      <c r="E2197">
        <v>7</v>
      </c>
      <c r="F2197" t="s">
        <v>22</v>
      </c>
      <c r="G2197" t="s">
        <v>23</v>
      </c>
      <c r="H2197" s="1">
        <v>61.53</v>
      </c>
      <c r="I2197" t="s">
        <v>24</v>
      </c>
      <c r="J2197">
        <v>1</v>
      </c>
      <c r="K2197">
        <v>9</v>
      </c>
    </row>
    <row r="2198" spans="1:11" x14ac:dyDescent="0.35">
      <c r="A2198" t="s">
        <v>2235</v>
      </c>
      <c r="B2198">
        <v>60</v>
      </c>
      <c r="C2198" t="s">
        <v>12</v>
      </c>
      <c r="D2198" t="s">
        <v>19</v>
      </c>
      <c r="E2198">
        <v>17</v>
      </c>
      <c r="F2198" t="s">
        <v>22</v>
      </c>
      <c r="G2198" t="s">
        <v>37</v>
      </c>
      <c r="H2198" s="1">
        <v>144.13999999999999</v>
      </c>
      <c r="I2198" t="s">
        <v>24</v>
      </c>
      <c r="J2198">
        <v>1</v>
      </c>
      <c r="K2198">
        <v>5</v>
      </c>
    </row>
    <row r="2199" spans="1:11" x14ac:dyDescent="0.35">
      <c r="A2199" t="s">
        <v>2236</v>
      </c>
      <c r="B2199">
        <v>38</v>
      </c>
      <c r="C2199" t="s">
        <v>12</v>
      </c>
      <c r="D2199" t="s">
        <v>13</v>
      </c>
      <c r="E2199">
        <v>10</v>
      </c>
      <c r="F2199" t="s">
        <v>33</v>
      </c>
      <c r="G2199" t="s">
        <v>37</v>
      </c>
      <c r="H2199" s="1">
        <v>109.35</v>
      </c>
      <c r="I2199" t="s">
        <v>24</v>
      </c>
      <c r="J2199">
        <v>1</v>
      </c>
      <c r="K2199">
        <v>4</v>
      </c>
    </row>
    <row r="2200" spans="1:11" x14ac:dyDescent="0.35">
      <c r="A2200" t="s">
        <v>2237</v>
      </c>
      <c r="B2200">
        <v>85</v>
      </c>
      <c r="C2200" t="s">
        <v>18</v>
      </c>
      <c r="D2200" t="s">
        <v>19</v>
      </c>
      <c r="E2200">
        <v>17</v>
      </c>
      <c r="F2200" t="s">
        <v>31</v>
      </c>
      <c r="G2200" t="s">
        <v>27</v>
      </c>
      <c r="H2200" s="1">
        <v>92.33</v>
      </c>
      <c r="I2200" t="s">
        <v>24</v>
      </c>
      <c r="J2200">
        <v>1</v>
      </c>
      <c r="K2200">
        <v>4</v>
      </c>
    </row>
    <row r="2201" spans="1:11" x14ac:dyDescent="0.35">
      <c r="A2201" t="s">
        <v>2238</v>
      </c>
      <c r="B2201">
        <v>48</v>
      </c>
      <c r="C2201" t="s">
        <v>18</v>
      </c>
      <c r="D2201" t="s">
        <v>30</v>
      </c>
      <c r="E2201">
        <v>3</v>
      </c>
      <c r="F2201" t="s">
        <v>22</v>
      </c>
      <c r="G2201" t="s">
        <v>27</v>
      </c>
      <c r="H2201" s="1">
        <v>96.44</v>
      </c>
      <c r="I2201" t="s">
        <v>24</v>
      </c>
      <c r="J2201">
        <v>0</v>
      </c>
      <c r="K2201">
        <v>8</v>
      </c>
    </row>
    <row r="2202" spans="1:11" x14ac:dyDescent="0.35">
      <c r="A2202" t="s">
        <v>2239</v>
      </c>
      <c r="B2202">
        <v>30</v>
      </c>
      <c r="C2202" t="s">
        <v>18</v>
      </c>
      <c r="D2202" t="s">
        <v>30</v>
      </c>
      <c r="E2202">
        <v>13</v>
      </c>
      <c r="F2202" t="s">
        <v>26</v>
      </c>
      <c r="G2202" t="s">
        <v>15</v>
      </c>
      <c r="H2202" s="1">
        <v>442.84</v>
      </c>
      <c r="I2202" t="s">
        <v>24</v>
      </c>
      <c r="J2202">
        <v>2</v>
      </c>
      <c r="K2202">
        <v>8</v>
      </c>
    </row>
    <row r="2203" spans="1:11" x14ac:dyDescent="0.35">
      <c r="A2203" t="s">
        <v>2240</v>
      </c>
      <c r="B2203">
        <v>21</v>
      </c>
      <c r="C2203" t="s">
        <v>12</v>
      </c>
      <c r="D2203" t="s">
        <v>19</v>
      </c>
      <c r="E2203">
        <v>23</v>
      </c>
      <c r="F2203" t="s">
        <v>22</v>
      </c>
      <c r="G2203" t="s">
        <v>37</v>
      </c>
      <c r="H2203" s="1">
        <v>95.87</v>
      </c>
      <c r="I2203" t="s">
        <v>24</v>
      </c>
      <c r="J2203">
        <v>4</v>
      </c>
      <c r="K2203">
        <v>1</v>
      </c>
    </row>
    <row r="2204" spans="1:11" x14ac:dyDescent="0.35">
      <c r="A2204" t="s">
        <v>2241</v>
      </c>
      <c r="B2204">
        <v>31</v>
      </c>
      <c r="C2204" t="s">
        <v>18</v>
      </c>
      <c r="D2204" t="s">
        <v>41</v>
      </c>
      <c r="E2204">
        <v>13</v>
      </c>
      <c r="F2204" t="s">
        <v>31</v>
      </c>
      <c r="G2204" t="s">
        <v>34</v>
      </c>
      <c r="H2204" s="1">
        <v>208.07</v>
      </c>
      <c r="I2204" t="s">
        <v>28</v>
      </c>
      <c r="J2204">
        <v>0</v>
      </c>
      <c r="K2204">
        <v>6</v>
      </c>
    </row>
    <row r="2205" spans="1:11" x14ac:dyDescent="0.35">
      <c r="A2205" t="s">
        <v>2242</v>
      </c>
      <c r="B2205">
        <v>70</v>
      </c>
      <c r="C2205" t="s">
        <v>18</v>
      </c>
      <c r="D2205" t="s">
        <v>41</v>
      </c>
      <c r="E2205">
        <v>12</v>
      </c>
      <c r="F2205" t="s">
        <v>31</v>
      </c>
      <c r="G2205" t="s">
        <v>15</v>
      </c>
      <c r="H2205" s="1">
        <v>138.59</v>
      </c>
      <c r="I2205" t="s">
        <v>43</v>
      </c>
      <c r="J2205">
        <v>0</v>
      </c>
      <c r="K2205">
        <v>7</v>
      </c>
    </row>
    <row r="2206" spans="1:11" x14ac:dyDescent="0.35">
      <c r="A2206" t="s">
        <v>2243</v>
      </c>
      <c r="B2206">
        <v>84</v>
      </c>
      <c r="C2206" t="s">
        <v>18</v>
      </c>
      <c r="D2206" t="s">
        <v>21</v>
      </c>
      <c r="E2206">
        <v>42</v>
      </c>
      <c r="F2206" t="s">
        <v>31</v>
      </c>
      <c r="G2206" t="s">
        <v>15</v>
      </c>
      <c r="H2206" s="1">
        <v>81.09</v>
      </c>
      <c r="I2206" t="s">
        <v>28</v>
      </c>
      <c r="J2206">
        <v>1</v>
      </c>
      <c r="K2206">
        <v>1</v>
      </c>
    </row>
    <row r="2207" spans="1:11" x14ac:dyDescent="0.35">
      <c r="A2207" t="s">
        <v>2244</v>
      </c>
      <c r="B2207">
        <v>25</v>
      </c>
      <c r="C2207" t="s">
        <v>12</v>
      </c>
      <c r="D2207" t="s">
        <v>21</v>
      </c>
      <c r="E2207">
        <v>39</v>
      </c>
      <c r="F2207" t="s">
        <v>26</v>
      </c>
      <c r="G2207" t="s">
        <v>27</v>
      </c>
      <c r="H2207" s="1">
        <v>143.53</v>
      </c>
      <c r="I2207" t="s">
        <v>24</v>
      </c>
      <c r="J2207">
        <v>2</v>
      </c>
      <c r="K2207">
        <v>1</v>
      </c>
    </row>
    <row r="2208" spans="1:11" x14ac:dyDescent="0.35">
      <c r="A2208" t="s">
        <v>2245</v>
      </c>
      <c r="B2208">
        <v>38</v>
      </c>
      <c r="C2208" t="s">
        <v>18</v>
      </c>
      <c r="D2208" t="s">
        <v>30</v>
      </c>
      <c r="E2208">
        <v>7</v>
      </c>
      <c r="F2208" t="s">
        <v>26</v>
      </c>
      <c r="G2208" t="s">
        <v>27</v>
      </c>
      <c r="H2208" s="1">
        <v>28.53</v>
      </c>
      <c r="I2208" t="s">
        <v>24</v>
      </c>
      <c r="J2208">
        <v>0</v>
      </c>
      <c r="K2208">
        <v>7</v>
      </c>
    </row>
    <row r="2209" spans="1:11" x14ac:dyDescent="0.35">
      <c r="A2209" t="s">
        <v>2246</v>
      </c>
      <c r="B2209">
        <v>41</v>
      </c>
      <c r="C2209" t="s">
        <v>18</v>
      </c>
      <c r="D2209" t="s">
        <v>19</v>
      </c>
      <c r="E2209">
        <v>21</v>
      </c>
      <c r="F2209" t="s">
        <v>33</v>
      </c>
      <c r="G2209" t="s">
        <v>23</v>
      </c>
      <c r="H2209" s="1">
        <v>505.81</v>
      </c>
      <c r="I2209" t="s">
        <v>24</v>
      </c>
      <c r="J2209">
        <v>4</v>
      </c>
      <c r="K2209">
        <v>5</v>
      </c>
    </row>
    <row r="2210" spans="1:11" x14ac:dyDescent="0.35">
      <c r="A2210" t="s">
        <v>2247</v>
      </c>
      <c r="B2210">
        <v>19</v>
      </c>
      <c r="C2210" t="s">
        <v>18</v>
      </c>
      <c r="D2210" t="s">
        <v>21</v>
      </c>
      <c r="E2210">
        <v>23</v>
      </c>
      <c r="F2210" t="s">
        <v>31</v>
      </c>
      <c r="G2210" t="s">
        <v>23</v>
      </c>
      <c r="H2210" s="1">
        <v>365.27</v>
      </c>
      <c r="I2210" t="s">
        <v>24</v>
      </c>
      <c r="J2210">
        <v>4</v>
      </c>
      <c r="K2210">
        <v>2</v>
      </c>
    </row>
    <row r="2211" spans="1:11" x14ac:dyDescent="0.35">
      <c r="A2211" t="s">
        <v>2248</v>
      </c>
      <c r="B2211">
        <v>24</v>
      </c>
      <c r="C2211" t="s">
        <v>18</v>
      </c>
      <c r="D2211" t="s">
        <v>30</v>
      </c>
      <c r="E2211">
        <v>14</v>
      </c>
      <c r="F2211" t="s">
        <v>31</v>
      </c>
      <c r="G2211" t="s">
        <v>37</v>
      </c>
      <c r="H2211" s="1">
        <v>116</v>
      </c>
      <c r="I2211" t="s">
        <v>28</v>
      </c>
      <c r="J2211">
        <v>1</v>
      </c>
      <c r="K2211">
        <v>7</v>
      </c>
    </row>
    <row r="2212" spans="1:11" x14ac:dyDescent="0.35">
      <c r="A2212" t="s">
        <v>2249</v>
      </c>
      <c r="B2212">
        <v>34</v>
      </c>
      <c r="C2212" t="s">
        <v>12</v>
      </c>
      <c r="D2212" t="s">
        <v>57</v>
      </c>
      <c r="E2212">
        <v>19</v>
      </c>
      <c r="F2212" t="s">
        <v>33</v>
      </c>
      <c r="G2212" t="s">
        <v>27</v>
      </c>
      <c r="H2212" s="1">
        <v>175.11</v>
      </c>
      <c r="I2212" t="s">
        <v>28</v>
      </c>
      <c r="J2212">
        <v>2</v>
      </c>
      <c r="K2212">
        <v>2</v>
      </c>
    </row>
    <row r="2213" spans="1:11" x14ac:dyDescent="0.35">
      <c r="A2213" t="s">
        <v>2250</v>
      </c>
      <c r="B2213">
        <v>28</v>
      </c>
      <c r="C2213" t="s">
        <v>18</v>
      </c>
      <c r="D2213" t="s">
        <v>13</v>
      </c>
      <c r="E2213">
        <v>10</v>
      </c>
      <c r="F2213" t="s">
        <v>31</v>
      </c>
      <c r="G2213" t="s">
        <v>27</v>
      </c>
      <c r="H2213" s="1">
        <v>25.92</v>
      </c>
      <c r="I2213" t="s">
        <v>24</v>
      </c>
      <c r="J2213">
        <v>0</v>
      </c>
      <c r="K2213">
        <v>8</v>
      </c>
    </row>
    <row r="2214" spans="1:11" x14ac:dyDescent="0.35">
      <c r="A2214" t="s">
        <v>2251</v>
      </c>
      <c r="B2214">
        <v>46</v>
      </c>
      <c r="C2214" t="s">
        <v>12</v>
      </c>
      <c r="D2214" t="s">
        <v>21</v>
      </c>
      <c r="E2214">
        <v>13</v>
      </c>
      <c r="F2214" t="s">
        <v>26</v>
      </c>
      <c r="G2214" t="s">
        <v>23</v>
      </c>
      <c r="H2214" s="1">
        <v>587.78</v>
      </c>
      <c r="I2214" t="s">
        <v>24</v>
      </c>
      <c r="J2214">
        <v>0</v>
      </c>
      <c r="K2214">
        <v>8</v>
      </c>
    </row>
    <row r="2215" spans="1:11" x14ac:dyDescent="0.35">
      <c r="A2215" t="s">
        <v>2252</v>
      </c>
      <c r="B2215">
        <v>28</v>
      </c>
      <c r="C2215" t="s">
        <v>189</v>
      </c>
      <c r="D2215" t="s">
        <v>41</v>
      </c>
      <c r="E2215">
        <v>3</v>
      </c>
      <c r="F2215" t="s">
        <v>22</v>
      </c>
      <c r="G2215" t="s">
        <v>15</v>
      </c>
      <c r="H2215" s="1">
        <v>163.82</v>
      </c>
      <c r="I2215" t="s">
        <v>28</v>
      </c>
      <c r="J2215">
        <v>0</v>
      </c>
      <c r="K2215">
        <v>7</v>
      </c>
    </row>
    <row r="2216" spans="1:11" x14ac:dyDescent="0.35">
      <c r="A2216" t="s">
        <v>2253</v>
      </c>
      <c r="B2216">
        <v>20</v>
      </c>
      <c r="C2216" t="s">
        <v>12</v>
      </c>
      <c r="D2216" t="s">
        <v>19</v>
      </c>
      <c r="E2216">
        <v>19</v>
      </c>
      <c r="F2216" t="s">
        <v>22</v>
      </c>
      <c r="G2216" t="s">
        <v>15</v>
      </c>
      <c r="H2216" s="1">
        <v>407.03</v>
      </c>
      <c r="I2216" t="s">
        <v>24</v>
      </c>
      <c r="J2216">
        <v>3</v>
      </c>
      <c r="K2216">
        <v>1</v>
      </c>
    </row>
    <row r="2217" spans="1:11" x14ac:dyDescent="0.35">
      <c r="A2217" t="s">
        <v>2254</v>
      </c>
      <c r="B2217">
        <v>35</v>
      </c>
      <c r="C2217" t="s">
        <v>18</v>
      </c>
      <c r="D2217" t="s">
        <v>19</v>
      </c>
      <c r="E2217">
        <v>24</v>
      </c>
      <c r="F2217" t="s">
        <v>31</v>
      </c>
      <c r="G2217" t="s">
        <v>23</v>
      </c>
      <c r="H2217" s="1">
        <v>249.93</v>
      </c>
      <c r="I2217" t="s">
        <v>24</v>
      </c>
      <c r="J2217">
        <v>1</v>
      </c>
      <c r="K2217">
        <v>2</v>
      </c>
    </row>
    <row r="2218" spans="1:11" x14ac:dyDescent="0.35">
      <c r="A2218" t="s">
        <v>2255</v>
      </c>
      <c r="B2218">
        <v>24</v>
      </c>
      <c r="C2218" t="s">
        <v>12</v>
      </c>
      <c r="D2218" t="s">
        <v>19</v>
      </c>
      <c r="E2218">
        <v>7</v>
      </c>
      <c r="F2218" t="s">
        <v>22</v>
      </c>
      <c r="G2218" t="s">
        <v>15</v>
      </c>
      <c r="H2218" s="1">
        <v>231.83</v>
      </c>
      <c r="I2218" t="s">
        <v>24</v>
      </c>
      <c r="J2218">
        <v>0</v>
      </c>
      <c r="K2218">
        <v>7</v>
      </c>
    </row>
    <row r="2219" spans="1:11" x14ac:dyDescent="0.35">
      <c r="A2219" t="s">
        <v>2256</v>
      </c>
      <c r="B2219">
        <v>59</v>
      </c>
      <c r="C2219" t="s">
        <v>12</v>
      </c>
      <c r="D2219" t="s">
        <v>21</v>
      </c>
      <c r="E2219">
        <v>26</v>
      </c>
      <c r="F2219" t="s">
        <v>22</v>
      </c>
      <c r="G2219" t="s">
        <v>23</v>
      </c>
      <c r="H2219" s="1">
        <v>96.42</v>
      </c>
      <c r="I2219" t="s">
        <v>28</v>
      </c>
      <c r="J2219">
        <v>1</v>
      </c>
      <c r="K2219">
        <v>1</v>
      </c>
    </row>
    <row r="2220" spans="1:11" x14ac:dyDescent="0.35">
      <c r="A2220" t="s">
        <v>2257</v>
      </c>
      <c r="B2220">
        <v>60</v>
      </c>
      <c r="C2220" t="s">
        <v>12</v>
      </c>
      <c r="D2220" t="s">
        <v>19</v>
      </c>
      <c r="E2220">
        <v>24</v>
      </c>
      <c r="F2220" t="s">
        <v>22</v>
      </c>
      <c r="G2220" t="s">
        <v>15</v>
      </c>
      <c r="H2220" s="1">
        <v>155.94</v>
      </c>
      <c r="I2220" t="s">
        <v>28</v>
      </c>
      <c r="J2220">
        <v>2</v>
      </c>
      <c r="K2220">
        <v>5</v>
      </c>
    </row>
    <row r="2221" spans="1:11" x14ac:dyDescent="0.35">
      <c r="A2221" t="s">
        <v>2258</v>
      </c>
      <c r="B2221">
        <v>50</v>
      </c>
      <c r="C2221" t="s">
        <v>12</v>
      </c>
      <c r="D2221" t="s">
        <v>19</v>
      </c>
      <c r="E2221">
        <v>20</v>
      </c>
      <c r="F2221" t="s">
        <v>26</v>
      </c>
      <c r="G2221" t="s">
        <v>27</v>
      </c>
      <c r="H2221" s="1">
        <v>128.46</v>
      </c>
      <c r="I2221" t="s">
        <v>28</v>
      </c>
      <c r="J2221">
        <v>3</v>
      </c>
      <c r="K2221">
        <v>4</v>
      </c>
    </row>
    <row r="2222" spans="1:11" x14ac:dyDescent="0.35">
      <c r="A2222" t="s">
        <v>2259</v>
      </c>
      <c r="B2222">
        <v>20</v>
      </c>
      <c r="C2222" t="s">
        <v>12</v>
      </c>
      <c r="D2222" t="s">
        <v>21</v>
      </c>
      <c r="E2222">
        <v>44</v>
      </c>
      <c r="F2222" t="s">
        <v>22</v>
      </c>
      <c r="G2222" t="s">
        <v>37</v>
      </c>
      <c r="H2222" s="1">
        <v>213.28</v>
      </c>
      <c r="I2222" t="s">
        <v>24</v>
      </c>
      <c r="J2222">
        <v>1</v>
      </c>
      <c r="K2222">
        <v>3</v>
      </c>
    </row>
    <row r="2223" spans="1:11" x14ac:dyDescent="0.35">
      <c r="A2223" t="s">
        <v>2260</v>
      </c>
      <c r="B2223">
        <v>76</v>
      </c>
      <c r="C2223" t="s">
        <v>12</v>
      </c>
      <c r="D2223" t="s">
        <v>200</v>
      </c>
      <c r="E2223">
        <v>12</v>
      </c>
      <c r="F2223" t="s">
        <v>26</v>
      </c>
      <c r="G2223" t="s">
        <v>34</v>
      </c>
      <c r="H2223" s="1">
        <v>211.85</v>
      </c>
      <c r="I2223" t="s">
        <v>28</v>
      </c>
      <c r="J2223">
        <v>3</v>
      </c>
      <c r="K2223">
        <v>6</v>
      </c>
    </row>
    <row r="2224" spans="1:11" x14ac:dyDescent="0.35">
      <c r="A2224" t="s">
        <v>2261</v>
      </c>
      <c r="B2224">
        <v>78</v>
      </c>
      <c r="C2224" t="s">
        <v>18</v>
      </c>
      <c r="D2224" t="s">
        <v>19</v>
      </c>
      <c r="E2224">
        <v>21</v>
      </c>
      <c r="F2224" t="s">
        <v>22</v>
      </c>
      <c r="G2224" t="s">
        <v>15</v>
      </c>
      <c r="H2224" s="1">
        <v>408.73</v>
      </c>
      <c r="I2224" t="s">
        <v>28</v>
      </c>
      <c r="J2224">
        <v>3</v>
      </c>
      <c r="K2224">
        <v>2</v>
      </c>
    </row>
    <row r="2225" spans="1:11" x14ac:dyDescent="0.35">
      <c r="A2225" t="s">
        <v>2262</v>
      </c>
      <c r="B2225">
        <v>67</v>
      </c>
      <c r="C2225" t="s">
        <v>12</v>
      </c>
      <c r="D2225" t="s">
        <v>13</v>
      </c>
      <c r="E2225">
        <v>13</v>
      </c>
      <c r="F2225" t="s">
        <v>22</v>
      </c>
      <c r="G2225" t="s">
        <v>27</v>
      </c>
      <c r="H2225" s="1">
        <v>104.45</v>
      </c>
      <c r="I2225" t="s">
        <v>24</v>
      </c>
      <c r="J2225">
        <v>1</v>
      </c>
      <c r="K2225">
        <v>5</v>
      </c>
    </row>
    <row r="2226" spans="1:11" x14ac:dyDescent="0.35">
      <c r="A2226" t="s">
        <v>2263</v>
      </c>
      <c r="B2226">
        <v>20</v>
      </c>
      <c r="C2226" t="s">
        <v>18</v>
      </c>
      <c r="D2226" t="s">
        <v>57</v>
      </c>
      <c r="E2226">
        <v>28</v>
      </c>
      <c r="F2226" t="s">
        <v>33</v>
      </c>
      <c r="G2226" t="s">
        <v>23</v>
      </c>
      <c r="H2226" s="1">
        <v>270.02999999999997</v>
      </c>
      <c r="I2226" t="s">
        <v>24</v>
      </c>
      <c r="J2226">
        <v>1</v>
      </c>
      <c r="K2226">
        <v>3</v>
      </c>
    </row>
    <row r="2227" spans="1:11" x14ac:dyDescent="0.35">
      <c r="A2227" t="s">
        <v>2264</v>
      </c>
      <c r="B2227">
        <v>32</v>
      </c>
      <c r="C2227" t="s">
        <v>12</v>
      </c>
      <c r="D2227" t="s">
        <v>19</v>
      </c>
      <c r="E2227">
        <v>15</v>
      </c>
      <c r="F2227" t="s">
        <v>31</v>
      </c>
      <c r="G2227" t="s">
        <v>34</v>
      </c>
      <c r="H2227" s="1">
        <v>93.67</v>
      </c>
      <c r="I2227" t="s">
        <v>28</v>
      </c>
      <c r="J2227">
        <v>1</v>
      </c>
      <c r="K2227">
        <v>7</v>
      </c>
    </row>
    <row r="2228" spans="1:11" x14ac:dyDescent="0.35">
      <c r="A2228" t="s">
        <v>2265</v>
      </c>
      <c r="B2228">
        <v>83</v>
      </c>
      <c r="C2228" t="s">
        <v>18</v>
      </c>
      <c r="D2228" t="s">
        <v>19</v>
      </c>
      <c r="E2228">
        <v>16</v>
      </c>
      <c r="F2228" t="s">
        <v>33</v>
      </c>
      <c r="G2228" t="s">
        <v>23</v>
      </c>
      <c r="H2228" s="1">
        <v>208.17</v>
      </c>
      <c r="I2228" t="s">
        <v>24</v>
      </c>
      <c r="J2228">
        <v>0</v>
      </c>
      <c r="K2228">
        <v>4</v>
      </c>
    </row>
    <row r="2229" spans="1:11" x14ac:dyDescent="0.35">
      <c r="A2229" t="s">
        <v>2266</v>
      </c>
      <c r="B2229">
        <v>43</v>
      </c>
      <c r="C2229" t="s">
        <v>18</v>
      </c>
      <c r="D2229" t="s">
        <v>19</v>
      </c>
      <c r="E2229">
        <v>20</v>
      </c>
      <c r="F2229" t="s">
        <v>22</v>
      </c>
      <c r="G2229" t="s">
        <v>37</v>
      </c>
      <c r="H2229" s="1">
        <v>196.88</v>
      </c>
      <c r="I2229" t="s">
        <v>24</v>
      </c>
      <c r="J2229">
        <v>1</v>
      </c>
      <c r="K2229">
        <v>2</v>
      </c>
    </row>
    <row r="2230" spans="1:11" x14ac:dyDescent="0.35">
      <c r="A2230" t="s">
        <v>2267</v>
      </c>
      <c r="B2230">
        <v>80</v>
      </c>
      <c r="C2230" t="s">
        <v>12</v>
      </c>
      <c r="D2230" t="s">
        <v>19</v>
      </c>
      <c r="E2230">
        <v>18</v>
      </c>
      <c r="F2230" t="s">
        <v>33</v>
      </c>
      <c r="G2230" t="s">
        <v>15</v>
      </c>
      <c r="H2230" s="1">
        <v>406.06</v>
      </c>
      <c r="I2230" t="s">
        <v>24</v>
      </c>
      <c r="J2230">
        <v>3</v>
      </c>
      <c r="K2230">
        <v>6</v>
      </c>
    </row>
    <row r="2231" spans="1:11" x14ac:dyDescent="0.35">
      <c r="A2231" t="s">
        <v>2268</v>
      </c>
      <c r="B2231">
        <v>53</v>
      </c>
      <c r="C2231" t="s">
        <v>18</v>
      </c>
      <c r="D2231" t="s">
        <v>13</v>
      </c>
      <c r="E2231">
        <v>19</v>
      </c>
      <c r="F2231" t="s">
        <v>14</v>
      </c>
      <c r="G2231" t="s">
        <v>37</v>
      </c>
      <c r="H2231" s="1">
        <v>0</v>
      </c>
      <c r="I2231" t="s">
        <v>16</v>
      </c>
      <c r="J2231">
        <v>2</v>
      </c>
      <c r="K2231">
        <v>1</v>
      </c>
    </row>
    <row r="2232" spans="1:11" x14ac:dyDescent="0.35">
      <c r="A2232" t="s">
        <v>2269</v>
      </c>
      <c r="B2232">
        <v>36</v>
      </c>
      <c r="C2232" t="s">
        <v>12</v>
      </c>
      <c r="D2232" t="s">
        <v>21</v>
      </c>
      <c r="E2232">
        <v>26</v>
      </c>
      <c r="F2232" t="s">
        <v>33</v>
      </c>
      <c r="G2232" t="s">
        <v>15</v>
      </c>
      <c r="H2232" s="1">
        <v>147.26</v>
      </c>
      <c r="I2232" t="s">
        <v>24</v>
      </c>
      <c r="J2232">
        <v>2</v>
      </c>
      <c r="K2232">
        <v>2</v>
      </c>
    </row>
    <row r="2233" spans="1:11" x14ac:dyDescent="0.35">
      <c r="A2233" t="s">
        <v>2270</v>
      </c>
      <c r="B2233">
        <v>47</v>
      </c>
      <c r="C2233" t="s">
        <v>12</v>
      </c>
      <c r="D2233" t="s">
        <v>57</v>
      </c>
      <c r="E2233">
        <v>24</v>
      </c>
      <c r="F2233" t="s">
        <v>26</v>
      </c>
      <c r="G2233" t="s">
        <v>27</v>
      </c>
      <c r="H2233" s="1">
        <v>116.08</v>
      </c>
      <c r="I2233" t="s">
        <v>24</v>
      </c>
      <c r="J2233">
        <v>1</v>
      </c>
      <c r="K2233">
        <v>3</v>
      </c>
    </row>
    <row r="2234" spans="1:11" x14ac:dyDescent="0.35">
      <c r="A2234" t="s">
        <v>2271</v>
      </c>
      <c r="B2234">
        <v>37</v>
      </c>
      <c r="C2234" t="s">
        <v>12</v>
      </c>
      <c r="D2234" t="s">
        <v>30</v>
      </c>
      <c r="E2234">
        <v>10</v>
      </c>
      <c r="F2234" t="s">
        <v>14</v>
      </c>
      <c r="G2234" t="s">
        <v>37</v>
      </c>
      <c r="H2234" s="1">
        <v>0</v>
      </c>
      <c r="I2234" t="s">
        <v>16</v>
      </c>
      <c r="J2234">
        <v>2</v>
      </c>
      <c r="K2234">
        <v>5</v>
      </c>
    </row>
    <row r="2235" spans="1:11" x14ac:dyDescent="0.35">
      <c r="A2235" t="s">
        <v>2272</v>
      </c>
      <c r="B2235">
        <v>66</v>
      </c>
      <c r="C2235" t="s">
        <v>18</v>
      </c>
      <c r="D2235" t="s">
        <v>19</v>
      </c>
      <c r="E2235">
        <v>23</v>
      </c>
      <c r="F2235" t="s">
        <v>14</v>
      </c>
      <c r="G2235" t="s">
        <v>15</v>
      </c>
      <c r="H2235" s="1">
        <v>0</v>
      </c>
      <c r="I2235" t="s">
        <v>16</v>
      </c>
      <c r="J2235">
        <v>1</v>
      </c>
      <c r="K2235">
        <v>3</v>
      </c>
    </row>
    <row r="2236" spans="1:11" x14ac:dyDescent="0.35">
      <c r="A2236" t="s">
        <v>2273</v>
      </c>
      <c r="B2236">
        <v>29</v>
      </c>
      <c r="C2236" t="s">
        <v>12</v>
      </c>
      <c r="D2236" t="s">
        <v>21</v>
      </c>
      <c r="E2236">
        <v>29</v>
      </c>
      <c r="F2236" t="s">
        <v>14</v>
      </c>
      <c r="G2236" t="s">
        <v>34</v>
      </c>
      <c r="H2236" s="1">
        <v>0</v>
      </c>
      <c r="I2236" t="s">
        <v>16</v>
      </c>
      <c r="J2236">
        <v>2</v>
      </c>
      <c r="K2236">
        <v>5</v>
      </c>
    </row>
    <row r="2237" spans="1:11" x14ac:dyDescent="0.35">
      <c r="A2237" t="s">
        <v>2274</v>
      </c>
      <c r="B2237">
        <v>48</v>
      </c>
      <c r="C2237" t="s">
        <v>18</v>
      </c>
      <c r="D2237" t="s">
        <v>19</v>
      </c>
      <c r="E2237">
        <v>18</v>
      </c>
      <c r="F2237" t="s">
        <v>26</v>
      </c>
      <c r="G2237" t="s">
        <v>23</v>
      </c>
      <c r="H2237" s="1">
        <v>230.69</v>
      </c>
      <c r="I2237" t="s">
        <v>24</v>
      </c>
      <c r="J2237">
        <v>0</v>
      </c>
      <c r="K2237">
        <v>8</v>
      </c>
    </row>
    <row r="2238" spans="1:11" x14ac:dyDescent="0.35">
      <c r="A2238" t="s">
        <v>2275</v>
      </c>
      <c r="B2238">
        <v>29</v>
      </c>
      <c r="C2238" t="s">
        <v>12</v>
      </c>
      <c r="D2238" t="s">
        <v>244</v>
      </c>
      <c r="E2238">
        <v>6</v>
      </c>
      <c r="F2238" t="s">
        <v>26</v>
      </c>
      <c r="G2238" t="s">
        <v>15</v>
      </c>
      <c r="H2238" s="1">
        <v>142.59</v>
      </c>
      <c r="I2238" t="s">
        <v>24</v>
      </c>
      <c r="J2238">
        <v>0</v>
      </c>
      <c r="K2238">
        <v>7</v>
      </c>
    </row>
    <row r="2239" spans="1:11" x14ac:dyDescent="0.35">
      <c r="A2239" t="s">
        <v>2276</v>
      </c>
      <c r="B2239">
        <v>44</v>
      </c>
      <c r="C2239" t="s">
        <v>12</v>
      </c>
      <c r="D2239" t="s">
        <v>21</v>
      </c>
      <c r="E2239">
        <v>42</v>
      </c>
      <c r="F2239" t="s">
        <v>33</v>
      </c>
      <c r="G2239" t="s">
        <v>27</v>
      </c>
      <c r="H2239" s="1">
        <v>157.13999999999999</v>
      </c>
      <c r="I2239" t="s">
        <v>28</v>
      </c>
      <c r="J2239">
        <v>1</v>
      </c>
      <c r="K2239">
        <v>4</v>
      </c>
    </row>
    <row r="2240" spans="1:11" x14ac:dyDescent="0.35">
      <c r="A2240" t="s">
        <v>2277</v>
      </c>
      <c r="B2240">
        <v>55</v>
      </c>
      <c r="C2240" t="s">
        <v>12</v>
      </c>
      <c r="D2240" t="s">
        <v>21</v>
      </c>
      <c r="E2240">
        <v>45</v>
      </c>
      <c r="F2240" t="s">
        <v>14</v>
      </c>
      <c r="G2240" t="s">
        <v>37</v>
      </c>
      <c r="H2240" s="1">
        <v>0</v>
      </c>
      <c r="I2240" t="s">
        <v>16</v>
      </c>
      <c r="J2240">
        <v>2</v>
      </c>
      <c r="K2240">
        <v>3</v>
      </c>
    </row>
    <row r="2241" spans="1:11" x14ac:dyDescent="0.35">
      <c r="A2241" t="s">
        <v>2278</v>
      </c>
      <c r="B2241">
        <v>50</v>
      </c>
      <c r="C2241" t="s">
        <v>18</v>
      </c>
      <c r="D2241" t="s">
        <v>21</v>
      </c>
      <c r="E2241">
        <v>30</v>
      </c>
      <c r="F2241" t="s">
        <v>33</v>
      </c>
      <c r="G2241" t="s">
        <v>27</v>
      </c>
      <c r="H2241" s="1">
        <v>57.01</v>
      </c>
      <c r="I2241" t="s">
        <v>24</v>
      </c>
      <c r="J2241">
        <v>4</v>
      </c>
      <c r="K2241">
        <v>2</v>
      </c>
    </row>
    <row r="2242" spans="1:11" x14ac:dyDescent="0.35">
      <c r="A2242" t="s">
        <v>2279</v>
      </c>
      <c r="B2242">
        <v>55</v>
      </c>
      <c r="C2242" t="s">
        <v>12</v>
      </c>
      <c r="D2242" t="s">
        <v>21</v>
      </c>
      <c r="E2242">
        <v>16</v>
      </c>
      <c r="F2242" t="s">
        <v>33</v>
      </c>
      <c r="G2242" t="s">
        <v>23</v>
      </c>
      <c r="H2242" s="1">
        <v>480.77</v>
      </c>
      <c r="I2242" t="s">
        <v>24</v>
      </c>
      <c r="J2242">
        <v>3</v>
      </c>
      <c r="K2242">
        <v>4</v>
      </c>
    </row>
    <row r="2243" spans="1:11" x14ac:dyDescent="0.35">
      <c r="A2243" t="s">
        <v>2280</v>
      </c>
      <c r="B2243">
        <v>57</v>
      </c>
      <c r="C2243" t="s">
        <v>18</v>
      </c>
      <c r="D2243" t="s">
        <v>19</v>
      </c>
      <c r="E2243">
        <v>22</v>
      </c>
      <c r="F2243" t="s">
        <v>22</v>
      </c>
      <c r="G2243" t="s">
        <v>27</v>
      </c>
      <c r="H2243" s="1">
        <v>88.77</v>
      </c>
      <c r="I2243" t="s">
        <v>24</v>
      </c>
      <c r="J2243">
        <v>1</v>
      </c>
      <c r="K2243">
        <v>2</v>
      </c>
    </row>
    <row r="2244" spans="1:11" x14ac:dyDescent="0.35">
      <c r="A2244" t="s">
        <v>2281</v>
      </c>
      <c r="B2244">
        <v>75</v>
      </c>
      <c r="C2244" t="s">
        <v>18</v>
      </c>
      <c r="D2244" t="s">
        <v>21</v>
      </c>
      <c r="E2244">
        <v>40</v>
      </c>
      <c r="F2244" t="s">
        <v>22</v>
      </c>
      <c r="G2244" t="s">
        <v>34</v>
      </c>
      <c r="H2244" s="1">
        <v>167.88</v>
      </c>
      <c r="I2244" t="s">
        <v>24</v>
      </c>
      <c r="J2244">
        <v>1</v>
      </c>
      <c r="K2244">
        <v>5</v>
      </c>
    </row>
    <row r="2245" spans="1:11" x14ac:dyDescent="0.35">
      <c r="A2245" t="s">
        <v>2282</v>
      </c>
      <c r="B2245">
        <v>49</v>
      </c>
      <c r="C2245" t="s">
        <v>12</v>
      </c>
      <c r="D2245" t="s">
        <v>30</v>
      </c>
      <c r="E2245">
        <v>12</v>
      </c>
      <c r="F2245" t="s">
        <v>31</v>
      </c>
      <c r="G2245" t="s">
        <v>37</v>
      </c>
      <c r="H2245" s="1">
        <v>159.21</v>
      </c>
      <c r="I2245" t="s">
        <v>24</v>
      </c>
      <c r="J2245">
        <v>0</v>
      </c>
      <c r="K2245">
        <v>8</v>
      </c>
    </row>
    <row r="2246" spans="1:11" x14ac:dyDescent="0.35">
      <c r="A2246" t="s">
        <v>2283</v>
      </c>
      <c r="B2246">
        <v>60</v>
      </c>
      <c r="C2246" t="s">
        <v>18</v>
      </c>
      <c r="D2246" t="s">
        <v>30</v>
      </c>
      <c r="E2246">
        <v>5</v>
      </c>
      <c r="F2246" t="s">
        <v>26</v>
      </c>
      <c r="G2246" t="s">
        <v>27</v>
      </c>
      <c r="H2246" s="1">
        <v>155.9</v>
      </c>
      <c r="I2246" t="s">
        <v>24</v>
      </c>
      <c r="J2246">
        <v>0</v>
      </c>
      <c r="K2246">
        <v>9</v>
      </c>
    </row>
    <row r="2247" spans="1:11" x14ac:dyDescent="0.35">
      <c r="A2247" t="s">
        <v>2284</v>
      </c>
      <c r="B2247">
        <v>81</v>
      </c>
      <c r="C2247" t="s">
        <v>528</v>
      </c>
      <c r="D2247" t="s">
        <v>19</v>
      </c>
      <c r="E2247">
        <v>7</v>
      </c>
      <c r="F2247" t="s">
        <v>26</v>
      </c>
      <c r="G2247" t="s">
        <v>15</v>
      </c>
      <c r="H2247" s="1">
        <v>257.42</v>
      </c>
      <c r="I2247" t="s">
        <v>24</v>
      </c>
      <c r="J2247">
        <v>1</v>
      </c>
      <c r="K2247">
        <v>7</v>
      </c>
    </row>
    <row r="2248" spans="1:11" x14ac:dyDescent="0.35">
      <c r="A2248" t="s">
        <v>2285</v>
      </c>
      <c r="B2248">
        <v>33</v>
      </c>
      <c r="C2248" t="s">
        <v>18</v>
      </c>
      <c r="D2248" t="s">
        <v>19</v>
      </c>
      <c r="E2248">
        <v>15</v>
      </c>
      <c r="F2248" t="s">
        <v>14</v>
      </c>
      <c r="G2248" t="s">
        <v>27</v>
      </c>
      <c r="H2248" s="1">
        <v>0</v>
      </c>
      <c r="I2248" t="s">
        <v>16</v>
      </c>
      <c r="J2248">
        <v>0</v>
      </c>
      <c r="K2248">
        <v>8</v>
      </c>
    </row>
    <row r="2249" spans="1:11" x14ac:dyDescent="0.35">
      <c r="A2249" t="s">
        <v>2286</v>
      </c>
      <c r="B2249">
        <v>60</v>
      </c>
      <c r="C2249" t="s">
        <v>12</v>
      </c>
      <c r="D2249" t="s">
        <v>13</v>
      </c>
      <c r="E2249">
        <v>7</v>
      </c>
      <c r="F2249" t="s">
        <v>26</v>
      </c>
      <c r="G2249" t="s">
        <v>34</v>
      </c>
      <c r="H2249" s="1">
        <v>207.56</v>
      </c>
      <c r="I2249" t="s">
        <v>24</v>
      </c>
      <c r="J2249">
        <v>0</v>
      </c>
      <c r="K2249">
        <v>8</v>
      </c>
    </row>
    <row r="2250" spans="1:11" x14ac:dyDescent="0.35">
      <c r="A2250" t="s">
        <v>2287</v>
      </c>
      <c r="B2250">
        <v>82</v>
      </c>
      <c r="C2250" t="s">
        <v>12</v>
      </c>
      <c r="D2250" t="s">
        <v>57</v>
      </c>
      <c r="E2250">
        <v>12</v>
      </c>
      <c r="F2250" t="s">
        <v>33</v>
      </c>
      <c r="G2250" t="s">
        <v>34</v>
      </c>
      <c r="H2250" s="1">
        <v>176.06</v>
      </c>
      <c r="I2250" t="s">
        <v>24</v>
      </c>
      <c r="J2250">
        <v>0</v>
      </c>
      <c r="K2250">
        <v>7</v>
      </c>
    </row>
    <row r="2251" spans="1:11" x14ac:dyDescent="0.35">
      <c r="A2251" t="s">
        <v>2288</v>
      </c>
      <c r="B2251">
        <v>68</v>
      </c>
      <c r="C2251" t="s">
        <v>12</v>
      </c>
      <c r="D2251" t="s">
        <v>13</v>
      </c>
      <c r="E2251">
        <v>18</v>
      </c>
      <c r="F2251" t="s">
        <v>22</v>
      </c>
      <c r="G2251" t="s">
        <v>27</v>
      </c>
      <c r="H2251" s="1">
        <v>150.53</v>
      </c>
      <c r="I2251" t="s">
        <v>24</v>
      </c>
      <c r="J2251">
        <v>0</v>
      </c>
      <c r="K2251">
        <v>6</v>
      </c>
    </row>
    <row r="2252" spans="1:11" x14ac:dyDescent="0.35">
      <c r="A2252" t="s">
        <v>2289</v>
      </c>
      <c r="B2252">
        <v>72</v>
      </c>
      <c r="C2252" t="s">
        <v>12</v>
      </c>
      <c r="D2252" t="s">
        <v>13</v>
      </c>
      <c r="E2252">
        <v>21</v>
      </c>
      <c r="F2252" t="s">
        <v>22</v>
      </c>
      <c r="G2252" t="s">
        <v>37</v>
      </c>
      <c r="H2252" s="1">
        <v>101.99</v>
      </c>
      <c r="I2252" t="s">
        <v>24</v>
      </c>
      <c r="J2252">
        <v>2</v>
      </c>
      <c r="K2252">
        <v>4</v>
      </c>
    </row>
    <row r="2253" spans="1:11" x14ac:dyDescent="0.35">
      <c r="A2253" t="s">
        <v>2290</v>
      </c>
      <c r="B2253">
        <v>56</v>
      </c>
      <c r="C2253" t="s">
        <v>12</v>
      </c>
      <c r="D2253" t="s">
        <v>13</v>
      </c>
      <c r="E2253">
        <v>19</v>
      </c>
      <c r="F2253" t="s">
        <v>22</v>
      </c>
      <c r="G2253" t="s">
        <v>34</v>
      </c>
      <c r="H2253" s="1">
        <v>207.05</v>
      </c>
      <c r="I2253" t="s">
        <v>24</v>
      </c>
      <c r="J2253">
        <v>4</v>
      </c>
      <c r="K2253">
        <v>5</v>
      </c>
    </row>
    <row r="2254" spans="1:11" x14ac:dyDescent="0.35">
      <c r="A2254" t="s">
        <v>2291</v>
      </c>
      <c r="B2254">
        <v>59</v>
      </c>
      <c r="C2254" t="s">
        <v>18</v>
      </c>
      <c r="D2254" t="s">
        <v>19</v>
      </c>
      <c r="E2254">
        <v>13</v>
      </c>
      <c r="F2254" t="s">
        <v>26</v>
      </c>
      <c r="G2254" t="s">
        <v>23</v>
      </c>
      <c r="H2254" s="1">
        <v>599.59</v>
      </c>
      <c r="I2254" t="s">
        <v>24</v>
      </c>
      <c r="J2254">
        <v>0</v>
      </c>
      <c r="K2254">
        <v>7</v>
      </c>
    </row>
    <row r="2255" spans="1:11" x14ac:dyDescent="0.35">
      <c r="A2255" t="s">
        <v>2292</v>
      </c>
      <c r="B2255">
        <v>26</v>
      </c>
      <c r="C2255" t="s">
        <v>18</v>
      </c>
      <c r="D2255" t="s">
        <v>200</v>
      </c>
      <c r="E2255">
        <v>11</v>
      </c>
      <c r="F2255" t="s">
        <v>26</v>
      </c>
      <c r="G2255" t="s">
        <v>37</v>
      </c>
      <c r="H2255" s="1">
        <v>217.9</v>
      </c>
      <c r="I2255" t="s">
        <v>24</v>
      </c>
      <c r="J2255">
        <v>1</v>
      </c>
      <c r="K2255">
        <v>5</v>
      </c>
    </row>
    <row r="2256" spans="1:11" x14ac:dyDescent="0.35">
      <c r="A2256" t="s">
        <v>2293</v>
      </c>
      <c r="B2256">
        <v>57</v>
      </c>
      <c r="C2256" t="s">
        <v>12</v>
      </c>
      <c r="D2256" t="s">
        <v>30</v>
      </c>
      <c r="E2256">
        <v>3</v>
      </c>
      <c r="F2256" t="s">
        <v>22</v>
      </c>
      <c r="G2256" t="s">
        <v>27</v>
      </c>
      <c r="H2256" s="1">
        <v>162.85</v>
      </c>
      <c r="I2256" t="s">
        <v>24</v>
      </c>
      <c r="J2256">
        <v>0</v>
      </c>
      <c r="K2256">
        <v>7</v>
      </c>
    </row>
    <row r="2257" spans="1:11" x14ac:dyDescent="0.35">
      <c r="A2257" t="s">
        <v>2294</v>
      </c>
      <c r="B2257">
        <v>43</v>
      </c>
      <c r="C2257" t="s">
        <v>12</v>
      </c>
      <c r="D2257" t="s">
        <v>13</v>
      </c>
      <c r="E2257">
        <v>18</v>
      </c>
      <c r="F2257" t="s">
        <v>22</v>
      </c>
      <c r="G2257" t="s">
        <v>27</v>
      </c>
      <c r="H2257" s="1">
        <v>157.79</v>
      </c>
      <c r="I2257" t="s">
        <v>24</v>
      </c>
      <c r="J2257">
        <v>2</v>
      </c>
      <c r="K2257">
        <v>7</v>
      </c>
    </row>
    <row r="2258" spans="1:11" x14ac:dyDescent="0.35">
      <c r="A2258" t="s">
        <v>2295</v>
      </c>
      <c r="B2258">
        <v>48</v>
      </c>
      <c r="C2258" t="s">
        <v>12</v>
      </c>
      <c r="D2258" t="s">
        <v>47</v>
      </c>
      <c r="E2258">
        <v>9</v>
      </c>
      <c r="F2258" t="s">
        <v>22</v>
      </c>
      <c r="G2258" t="s">
        <v>23</v>
      </c>
      <c r="H2258" s="1">
        <v>479.96</v>
      </c>
      <c r="I2258" t="s">
        <v>24</v>
      </c>
      <c r="J2258">
        <v>2</v>
      </c>
      <c r="K2258">
        <v>6</v>
      </c>
    </row>
    <row r="2259" spans="1:11" x14ac:dyDescent="0.35">
      <c r="A2259" t="s">
        <v>2296</v>
      </c>
      <c r="B2259">
        <v>84</v>
      </c>
      <c r="C2259" t="s">
        <v>12</v>
      </c>
      <c r="D2259" t="s">
        <v>21</v>
      </c>
      <c r="E2259">
        <v>12</v>
      </c>
      <c r="F2259" t="s">
        <v>14</v>
      </c>
      <c r="G2259" t="s">
        <v>23</v>
      </c>
      <c r="H2259" s="1">
        <v>0</v>
      </c>
      <c r="I2259" t="s">
        <v>16</v>
      </c>
      <c r="J2259">
        <v>1</v>
      </c>
      <c r="K2259">
        <v>8</v>
      </c>
    </row>
    <row r="2260" spans="1:11" x14ac:dyDescent="0.35">
      <c r="A2260" t="s">
        <v>2297</v>
      </c>
      <c r="B2260">
        <v>47</v>
      </c>
      <c r="C2260" t="s">
        <v>12</v>
      </c>
      <c r="D2260" t="s">
        <v>21</v>
      </c>
      <c r="E2260">
        <v>12</v>
      </c>
      <c r="F2260" t="s">
        <v>33</v>
      </c>
      <c r="G2260" t="s">
        <v>15</v>
      </c>
      <c r="H2260" s="1">
        <v>122.94</v>
      </c>
      <c r="I2260" t="s">
        <v>28</v>
      </c>
      <c r="J2260">
        <v>0</v>
      </c>
      <c r="K2260">
        <v>8</v>
      </c>
    </row>
    <row r="2261" spans="1:11" x14ac:dyDescent="0.35">
      <c r="A2261" t="s">
        <v>2298</v>
      </c>
      <c r="B2261">
        <v>73</v>
      </c>
      <c r="C2261" t="s">
        <v>12</v>
      </c>
      <c r="D2261" t="s">
        <v>19</v>
      </c>
      <c r="E2261">
        <v>9</v>
      </c>
      <c r="F2261" t="s">
        <v>14</v>
      </c>
      <c r="G2261" t="s">
        <v>15</v>
      </c>
      <c r="H2261" s="1">
        <v>0</v>
      </c>
      <c r="I2261" t="s">
        <v>16</v>
      </c>
      <c r="J2261">
        <v>0</v>
      </c>
      <c r="K2261">
        <v>7</v>
      </c>
    </row>
    <row r="2262" spans="1:11" x14ac:dyDescent="0.35">
      <c r="A2262" t="s">
        <v>2299</v>
      </c>
      <c r="B2262">
        <v>68</v>
      </c>
      <c r="C2262" t="s">
        <v>18</v>
      </c>
      <c r="D2262" t="s">
        <v>13</v>
      </c>
      <c r="E2262">
        <v>23</v>
      </c>
      <c r="F2262" t="s">
        <v>26</v>
      </c>
      <c r="G2262" t="s">
        <v>15</v>
      </c>
      <c r="H2262" s="1">
        <v>187.34</v>
      </c>
      <c r="I2262" t="s">
        <v>24</v>
      </c>
      <c r="J2262">
        <v>1</v>
      </c>
      <c r="K2262">
        <v>1</v>
      </c>
    </row>
    <row r="2263" spans="1:11" x14ac:dyDescent="0.35">
      <c r="A2263" t="s">
        <v>2300</v>
      </c>
      <c r="B2263">
        <v>37</v>
      </c>
      <c r="C2263" t="s">
        <v>12</v>
      </c>
      <c r="D2263" t="s">
        <v>21</v>
      </c>
      <c r="E2263">
        <v>27</v>
      </c>
      <c r="F2263" t="s">
        <v>33</v>
      </c>
      <c r="G2263" t="s">
        <v>15</v>
      </c>
      <c r="H2263" s="1">
        <v>147.31</v>
      </c>
      <c r="I2263" t="s">
        <v>24</v>
      </c>
      <c r="J2263">
        <v>1</v>
      </c>
      <c r="K2263">
        <v>5</v>
      </c>
    </row>
    <row r="2264" spans="1:11" x14ac:dyDescent="0.35">
      <c r="A2264" t="s">
        <v>2301</v>
      </c>
      <c r="B2264">
        <v>37</v>
      </c>
      <c r="C2264" t="s">
        <v>18</v>
      </c>
      <c r="D2264" t="s">
        <v>47</v>
      </c>
      <c r="E2264">
        <v>9</v>
      </c>
      <c r="F2264" t="s">
        <v>31</v>
      </c>
      <c r="G2264" t="s">
        <v>37</v>
      </c>
      <c r="H2264" s="1">
        <v>149.27000000000001</v>
      </c>
      <c r="I2264" t="s">
        <v>24</v>
      </c>
      <c r="J2264">
        <v>1</v>
      </c>
      <c r="K2264">
        <v>5</v>
      </c>
    </row>
    <row r="2265" spans="1:11" x14ac:dyDescent="0.35">
      <c r="A2265" t="s">
        <v>2302</v>
      </c>
      <c r="B2265">
        <v>64</v>
      </c>
      <c r="C2265" t="s">
        <v>18</v>
      </c>
      <c r="D2265" t="s">
        <v>21</v>
      </c>
      <c r="E2265">
        <v>35</v>
      </c>
      <c r="F2265" t="s">
        <v>22</v>
      </c>
      <c r="G2265" t="s">
        <v>23</v>
      </c>
      <c r="H2265" s="1">
        <v>475.46</v>
      </c>
      <c r="I2265" t="s">
        <v>24</v>
      </c>
      <c r="J2265">
        <v>0</v>
      </c>
      <c r="K2265">
        <v>1</v>
      </c>
    </row>
    <row r="2266" spans="1:11" x14ac:dyDescent="0.35">
      <c r="A2266" t="s">
        <v>2303</v>
      </c>
      <c r="B2266">
        <v>60</v>
      </c>
      <c r="C2266" t="s">
        <v>18</v>
      </c>
      <c r="D2266" t="s">
        <v>19</v>
      </c>
      <c r="E2266">
        <v>9</v>
      </c>
      <c r="F2266" t="s">
        <v>33</v>
      </c>
      <c r="G2266" t="s">
        <v>34</v>
      </c>
      <c r="H2266" s="1">
        <v>100.21</v>
      </c>
      <c r="I2266" t="s">
        <v>28</v>
      </c>
      <c r="J2266">
        <v>3</v>
      </c>
      <c r="K2266">
        <v>8</v>
      </c>
    </row>
    <row r="2267" spans="1:11" x14ac:dyDescent="0.35">
      <c r="A2267" t="s">
        <v>2304</v>
      </c>
      <c r="B2267">
        <v>71</v>
      </c>
      <c r="C2267" t="s">
        <v>189</v>
      </c>
      <c r="D2267" t="s">
        <v>200</v>
      </c>
      <c r="E2267">
        <v>13</v>
      </c>
      <c r="F2267" t="s">
        <v>14</v>
      </c>
      <c r="G2267" t="s">
        <v>15</v>
      </c>
      <c r="H2267" s="1">
        <v>0</v>
      </c>
      <c r="I2267" t="s">
        <v>16</v>
      </c>
      <c r="J2267">
        <v>1</v>
      </c>
      <c r="K2267">
        <v>8</v>
      </c>
    </row>
    <row r="2268" spans="1:11" x14ac:dyDescent="0.35">
      <c r="A2268" t="s">
        <v>2305</v>
      </c>
      <c r="B2268">
        <v>80</v>
      </c>
      <c r="C2268" t="s">
        <v>18</v>
      </c>
      <c r="D2268" t="s">
        <v>19</v>
      </c>
      <c r="E2268">
        <v>10</v>
      </c>
      <c r="F2268" t="s">
        <v>33</v>
      </c>
      <c r="G2268" t="s">
        <v>23</v>
      </c>
      <c r="H2268" s="1">
        <v>132.78</v>
      </c>
      <c r="I2268" t="s">
        <v>24</v>
      </c>
      <c r="J2268">
        <v>0</v>
      </c>
      <c r="K2268">
        <v>7</v>
      </c>
    </row>
    <row r="2269" spans="1:11" x14ac:dyDescent="0.35">
      <c r="A2269" t="s">
        <v>2306</v>
      </c>
      <c r="B2269">
        <v>25</v>
      </c>
      <c r="C2269" t="s">
        <v>12</v>
      </c>
      <c r="D2269" t="s">
        <v>13</v>
      </c>
      <c r="E2269">
        <v>24</v>
      </c>
      <c r="F2269" t="s">
        <v>33</v>
      </c>
      <c r="G2269" t="s">
        <v>37</v>
      </c>
      <c r="H2269" s="1">
        <v>109.64</v>
      </c>
      <c r="I2269" t="s">
        <v>28</v>
      </c>
      <c r="J2269">
        <v>0</v>
      </c>
      <c r="K2269">
        <v>5</v>
      </c>
    </row>
    <row r="2270" spans="1:11" x14ac:dyDescent="0.35">
      <c r="A2270" t="s">
        <v>2307</v>
      </c>
      <c r="B2270">
        <v>77</v>
      </c>
      <c r="C2270" t="s">
        <v>18</v>
      </c>
      <c r="D2270" t="s">
        <v>19</v>
      </c>
      <c r="E2270">
        <v>6</v>
      </c>
      <c r="F2270" t="s">
        <v>31</v>
      </c>
      <c r="G2270" t="s">
        <v>23</v>
      </c>
      <c r="H2270" s="1">
        <v>323.64999999999998</v>
      </c>
      <c r="I2270" t="s">
        <v>24</v>
      </c>
      <c r="J2270">
        <v>0</v>
      </c>
      <c r="K2270">
        <v>9</v>
      </c>
    </row>
    <row r="2271" spans="1:11" x14ac:dyDescent="0.35">
      <c r="A2271" t="s">
        <v>2308</v>
      </c>
      <c r="B2271">
        <v>45</v>
      </c>
      <c r="C2271" t="s">
        <v>12</v>
      </c>
      <c r="D2271" t="s">
        <v>200</v>
      </c>
      <c r="E2271">
        <v>15</v>
      </c>
      <c r="F2271" t="s">
        <v>22</v>
      </c>
      <c r="G2271" t="s">
        <v>27</v>
      </c>
      <c r="H2271" s="1">
        <v>165.19</v>
      </c>
      <c r="I2271" t="s">
        <v>24</v>
      </c>
      <c r="J2271">
        <v>1</v>
      </c>
      <c r="K2271">
        <v>5</v>
      </c>
    </row>
    <row r="2272" spans="1:11" x14ac:dyDescent="0.35">
      <c r="A2272" t="s">
        <v>2309</v>
      </c>
      <c r="B2272">
        <v>80</v>
      </c>
      <c r="C2272" t="s">
        <v>18</v>
      </c>
      <c r="D2272" t="s">
        <v>19</v>
      </c>
      <c r="E2272">
        <v>23</v>
      </c>
      <c r="F2272" t="s">
        <v>26</v>
      </c>
      <c r="G2272" t="s">
        <v>15</v>
      </c>
      <c r="H2272" s="1">
        <v>306.83</v>
      </c>
      <c r="I2272" t="s">
        <v>24</v>
      </c>
      <c r="J2272">
        <v>1</v>
      </c>
      <c r="K2272">
        <v>3</v>
      </c>
    </row>
    <row r="2273" spans="1:11" x14ac:dyDescent="0.35">
      <c r="A2273" t="s">
        <v>2310</v>
      </c>
      <c r="B2273">
        <v>84</v>
      </c>
      <c r="C2273" t="s">
        <v>18</v>
      </c>
      <c r="D2273" t="s">
        <v>21</v>
      </c>
      <c r="E2273">
        <v>15</v>
      </c>
      <c r="F2273" t="s">
        <v>31</v>
      </c>
      <c r="G2273" t="s">
        <v>34</v>
      </c>
      <c r="H2273" s="1">
        <v>118.08</v>
      </c>
      <c r="I2273" t="s">
        <v>24</v>
      </c>
      <c r="J2273">
        <v>0</v>
      </c>
      <c r="K2273">
        <v>5</v>
      </c>
    </row>
    <row r="2274" spans="1:11" x14ac:dyDescent="0.35">
      <c r="A2274" t="s">
        <v>2311</v>
      </c>
      <c r="B2274">
        <v>33</v>
      </c>
      <c r="C2274" t="s">
        <v>12</v>
      </c>
      <c r="D2274" t="s">
        <v>30</v>
      </c>
      <c r="E2274">
        <v>8</v>
      </c>
      <c r="F2274" t="s">
        <v>33</v>
      </c>
      <c r="G2274" t="s">
        <v>37</v>
      </c>
      <c r="H2274" s="1">
        <v>155.37</v>
      </c>
      <c r="I2274" t="s">
        <v>24</v>
      </c>
      <c r="J2274">
        <v>0</v>
      </c>
      <c r="K2274">
        <v>8</v>
      </c>
    </row>
    <row r="2275" spans="1:11" x14ac:dyDescent="0.35">
      <c r="A2275" t="s">
        <v>2312</v>
      </c>
      <c r="B2275">
        <v>41</v>
      </c>
      <c r="C2275" t="s">
        <v>18</v>
      </c>
      <c r="D2275" t="s">
        <v>13</v>
      </c>
      <c r="E2275">
        <v>7</v>
      </c>
      <c r="F2275" t="s">
        <v>22</v>
      </c>
      <c r="G2275" t="s">
        <v>34</v>
      </c>
      <c r="H2275" s="1">
        <v>144.43</v>
      </c>
      <c r="I2275" t="s">
        <v>24</v>
      </c>
      <c r="J2275">
        <v>0</v>
      </c>
      <c r="K2275">
        <v>9</v>
      </c>
    </row>
    <row r="2276" spans="1:11" x14ac:dyDescent="0.35">
      <c r="A2276" t="s">
        <v>2313</v>
      </c>
      <c r="B2276">
        <v>54</v>
      </c>
      <c r="C2276" t="s">
        <v>12</v>
      </c>
      <c r="D2276" t="s">
        <v>19</v>
      </c>
      <c r="E2276">
        <v>18</v>
      </c>
      <c r="F2276" t="s">
        <v>22</v>
      </c>
      <c r="G2276" t="s">
        <v>34</v>
      </c>
      <c r="H2276" s="1">
        <v>103.87</v>
      </c>
      <c r="I2276" t="s">
        <v>24</v>
      </c>
      <c r="J2276">
        <v>2</v>
      </c>
      <c r="K2276">
        <v>4</v>
      </c>
    </row>
    <row r="2277" spans="1:11" x14ac:dyDescent="0.35">
      <c r="A2277" t="s">
        <v>2314</v>
      </c>
      <c r="B2277">
        <v>20</v>
      </c>
      <c r="C2277" t="s">
        <v>12</v>
      </c>
      <c r="D2277" t="s">
        <v>13</v>
      </c>
      <c r="E2277">
        <v>19</v>
      </c>
      <c r="F2277" t="s">
        <v>33</v>
      </c>
      <c r="G2277" t="s">
        <v>37</v>
      </c>
      <c r="H2277" s="1">
        <v>180.62</v>
      </c>
      <c r="I2277" t="s">
        <v>24</v>
      </c>
      <c r="J2277">
        <v>1</v>
      </c>
      <c r="K2277">
        <v>3</v>
      </c>
    </row>
    <row r="2278" spans="1:11" x14ac:dyDescent="0.35">
      <c r="A2278" t="s">
        <v>2315</v>
      </c>
      <c r="B2278">
        <v>69</v>
      </c>
      <c r="C2278" t="s">
        <v>18</v>
      </c>
      <c r="D2278" t="s">
        <v>47</v>
      </c>
      <c r="E2278">
        <v>13</v>
      </c>
      <c r="F2278" t="s">
        <v>33</v>
      </c>
      <c r="G2278" t="s">
        <v>23</v>
      </c>
      <c r="H2278" s="1">
        <v>85.02</v>
      </c>
      <c r="I2278" t="s">
        <v>24</v>
      </c>
      <c r="J2278">
        <v>3</v>
      </c>
      <c r="K2278">
        <v>6</v>
      </c>
    </row>
    <row r="2279" spans="1:11" x14ac:dyDescent="0.35">
      <c r="A2279" t="s">
        <v>2316</v>
      </c>
      <c r="B2279">
        <v>68</v>
      </c>
      <c r="C2279" t="s">
        <v>18</v>
      </c>
      <c r="D2279" t="s">
        <v>19</v>
      </c>
      <c r="E2279">
        <v>11</v>
      </c>
      <c r="F2279" t="s">
        <v>22</v>
      </c>
      <c r="G2279" t="s">
        <v>34</v>
      </c>
      <c r="H2279" s="1">
        <v>156.01</v>
      </c>
      <c r="I2279" t="s">
        <v>24</v>
      </c>
      <c r="J2279">
        <v>0</v>
      </c>
      <c r="K2279">
        <v>5</v>
      </c>
    </row>
    <row r="2280" spans="1:11" x14ac:dyDescent="0.35">
      <c r="A2280" t="s">
        <v>2317</v>
      </c>
      <c r="B2280">
        <v>68</v>
      </c>
      <c r="C2280" t="s">
        <v>12</v>
      </c>
      <c r="D2280" t="s">
        <v>47</v>
      </c>
      <c r="E2280">
        <v>4</v>
      </c>
      <c r="F2280" t="s">
        <v>22</v>
      </c>
      <c r="G2280" t="s">
        <v>34</v>
      </c>
      <c r="H2280" s="1">
        <v>139.46</v>
      </c>
      <c r="I2280" t="s">
        <v>24</v>
      </c>
      <c r="J2280">
        <v>0</v>
      </c>
      <c r="K2280">
        <v>9</v>
      </c>
    </row>
    <row r="2281" spans="1:11" x14ac:dyDescent="0.35">
      <c r="A2281" t="s">
        <v>2318</v>
      </c>
      <c r="B2281">
        <v>76</v>
      </c>
      <c r="C2281" t="s">
        <v>18</v>
      </c>
      <c r="D2281" t="s">
        <v>19</v>
      </c>
      <c r="E2281">
        <v>22</v>
      </c>
      <c r="F2281" t="s">
        <v>22</v>
      </c>
      <c r="G2281" t="s">
        <v>15</v>
      </c>
      <c r="H2281" s="1">
        <v>106.79</v>
      </c>
      <c r="I2281" t="s">
        <v>24</v>
      </c>
      <c r="J2281">
        <v>3</v>
      </c>
      <c r="K2281">
        <v>4</v>
      </c>
    </row>
    <row r="2282" spans="1:11" x14ac:dyDescent="0.35">
      <c r="A2282" t="s">
        <v>2319</v>
      </c>
      <c r="B2282">
        <v>44</v>
      </c>
      <c r="C2282" t="s">
        <v>12</v>
      </c>
      <c r="D2282" t="s">
        <v>19</v>
      </c>
      <c r="E2282">
        <v>21</v>
      </c>
      <c r="F2282" t="s">
        <v>22</v>
      </c>
      <c r="G2282" t="s">
        <v>34</v>
      </c>
      <c r="H2282" s="1">
        <v>106.11</v>
      </c>
      <c r="I2282" t="s">
        <v>24</v>
      </c>
      <c r="J2282">
        <v>1</v>
      </c>
      <c r="K2282">
        <v>1</v>
      </c>
    </row>
    <row r="2283" spans="1:11" x14ac:dyDescent="0.35">
      <c r="A2283" t="s">
        <v>2320</v>
      </c>
      <c r="B2283">
        <v>55</v>
      </c>
      <c r="C2283" t="s">
        <v>12</v>
      </c>
      <c r="D2283" t="s">
        <v>19</v>
      </c>
      <c r="E2283">
        <v>7</v>
      </c>
      <c r="F2283" t="s">
        <v>14</v>
      </c>
      <c r="G2283" t="s">
        <v>23</v>
      </c>
      <c r="H2283" s="1">
        <v>0</v>
      </c>
      <c r="I2283" t="s">
        <v>16</v>
      </c>
      <c r="J2283">
        <v>1</v>
      </c>
      <c r="K2283">
        <v>7</v>
      </c>
    </row>
    <row r="2284" spans="1:11" x14ac:dyDescent="0.35">
      <c r="A2284" t="s">
        <v>2321</v>
      </c>
      <c r="B2284">
        <v>67</v>
      </c>
      <c r="C2284" t="s">
        <v>18</v>
      </c>
      <c r="D2284" t="s">
        <v>13</v>
      </c>
      <c r="E2284">
        <v>14</v>
      </c>
      <c r="F2284" t="s">
        <v>22</v>
      </c>
      <c r="G2284" t="s">
        <v>23</v>
      </c>
      <c r="H2284" s="1">
        <v>63.09</v>
      </c>
      <c r="I2284" t="s">
        <v>24</v>
      </c>
      <c r="J2284">
        <v>1</v>
      </c>
      <c r="K2284">
        <v>7</v>
      </c>
    </row>
    <row r="2285" spans="1:11" x14ac:dyDescent="0.35">
      <c r="A2285" t="s">
        <v>2322</v>
      </c>
      <c r="B2285">
        <v>21</v>
      </c>
      <c r="C2285" t="s">
        <v>18</v>
      </c>
      <c r="D2285" t="s">
        <v>19</v>
      </c>
      <c r="E2285">
        <v>17</v>
      </c>
      <c r="F2285" t="s">
        <v>22</v>
      </c>
      <c r="G2285" t="s">
        <v>15</v>
      </c>
      <c r="H2285" s="1">
        <v>243.55</v>
      </c>
      <c r="I2285" t="s">
        <v>24</v>
      </c>
      <c r="J2285">
        <v>2</v>
      </c>
      <c r="K2285">
        <v>6</v>
      </c>
    </row>
    <row r="2286" spans="1:11" x14ac:dyDescent="0.35">
      <c r="A2286" t="s">
        <v>2323</v>
      </c>
      <c r="B2286">
        <v>22</v>
      </c>
      <c r="C2286" t="s">
        <v>12</v>
      </c>
      <c r="D2286" t="s">
        <v>13</v>
      </c>
      <c r="E2286">
        <v>13</v>
      </c>
      <c r="F2286" t="s">
        <v>31</v>
      </c>
      <c r="G2286" t="s">
        <v>37</v>
      </c>
      <c r="H2286" s="1">
        <v>153.97</v>
      </c>
      <c r="I2286" t="s">
        <v>24</v>
      </c>
      <c r="J2286">
        <v>3</v>
      </c>
      <c r="K2286">
        <v>4</v>
      </c>
    </row>
    <row r="2287" spans="1:11" x14ac:dyDescent="0.35">
      <c r="A2287" t="s">
        <v>2324</v>
      </c>
      <c r="B2287">
        <v>77</v>
      </c>
      <c r="C2287" t="s">
        <v>18</v>
      </c>
      <c r="D2287" t="s">
        <v>19</v>
      </c>
      <c r="E2287">
        <v>15</v>
      </c>
      <c r="F2287" t="s">
        <v>26</v>
      </c>
      <c r="G2287" t="s">
        <v>23</v>
      </c>
      <c r="H2287" s="1">
        <v>357.76</v>
      </c>
      <c r="I2287" t="s">
        <v>24</v>
      </c>
      <c r="J2287">
        <v>0</v>
      </c>
      <c r="K2287">
        <v>5</v>
      </c>
    </row>
    <row r="2288" spans="1:11" x14ac:dyDescent="0.35">
      <c r="A2288" t="s">
        <v>2325</v>
      </c>
      <c r="B2288">
        <v>81</v>
      </c>
      <c r="C2288" t="s">
        <v>18</v>
      </c>
      <c r="D2288" t="s">
        <v>21</v>
      </c>
      <c r="E2288">
        <v>20</v>
      </c>
      <c r="F2288" t="s">
        <v>33</v>
      </c>
      <c r="G2288" t="s">
        <v>34</v>
      </c>
      <c r="H2288" s="1">
        <v>136.87</v>
      </c>
      <c r="I2288" t="s">
        <v>24</v>
      </c>
      <c r="J2288">
        <v>0</v>
      </c>
      <c r="K2288">
        <v>4</v>
      </c>
    </row>
    <row r="2289" spans="1:11" x14ac:dyDescent="0.35">
      <c r="A2289" t="s">
        <v>2326</v>
      </c>
      <c r="B2289">
        <v>84</v>
      </c>
      <c r="C2289" t="s">
        <v>12</v>
      </c>
      <c r="D2289" t="s">
        <v>19</v>
      </c>
      <c r="E2289">
        <v>20</v>
      </c>
      <c r="F2289" t="s">
        <v>33</v>
      </c>
      <c r="G2289" t="s">
        <v>34</v>
      </c>
      <c r="H2289" s="1">
        <v>90.58</v>
      </c>
      <c r="I2289" t="s">
        <v>24</v>
      </c>
      <c r="J2289">
        <v>3</v>
      </c>
      <c r="K2289">
        <v>1</v>
      </c>
    </row>
    <row r="2290" spans="1:11" x14ac:dyDescent="0.35">
      <c r="A2290" t="s">
        <v>2327</v>
      </c>
      <c r="B2290">
        <v>25</v>
      </c>
      <c r="C2290" t="s">
        <v>12</v>
      </c>
      <c r="D2290" t="s">
        <v>30</v>
      </c>
      <c r="E2290">
        <v>9</v>
      </c>
      <c r="F2290" t="s">
        <v>33</v>
      </c>
      <c r="G2290" t="s">
        <v>37</v>
      </c>
      <c r="H2290" s="1">
        <v>185.22</v>
      </c>
      <c r="I2290" t="s">
        <v>24</v>
      </c>
      <c r="J2290">
        <v>2</v>
      </c>
      <c r="K2290">
        <v>6</v>
      </c>
    </row>
    <row r="2291" spans="1:11" x14ac:dyDescent="0.35">
      <c r="A2291" t="s">
        <v>2328</v>
      </c>
      <c r="B2291">
        <v>77</v>
      </c>
      <c r="C2291" t="s">
        <v>18</v>
      </c>
      <c r="D2291" t="s">
        <v>19</v>
      </c>
      <c r="E2291">
        <v>14</v>
      </c>
      <c r="F2291" t="s">
        <v>26</v>
      </c>
      <c r="G2291" t="s">
        <v>27</v>
      </c>
      <c r="H2291" s="1">
        <v>106.45</v>
      </c>
      <c r="I2291" t="s">
        <v>24</v>
      </c>
      <c r="J2291">
        <v>2</v>
      </c>
      <c r="K2291">
        <v>6</v>
      </c>
    </row>
    <row r="2292" spans="1:11" x14ac:dyDescent="0.35">
      <c r="A2292" t="s">
        <v>2329</v>
      </c>
      <c r="B2292">
        <v>61</v>
      </c>
      <c r="C2292" t="s">
        <v>12</v>
      </c>
      <c r="D2292" t="s">
        <v>19</v>
      </c>
      <c r="E2292">
        <v>16</v>
      </c>
      <c r="F2292" t="s">
        <v>31</v>
      </c>
      <c r="G2292" t="s">
        <v>27</v>
      </c>
      <c r="H2292" s="1">
        <v>130.28</v>
      </c>
      <c r="I2292" t="s">
        <v>24</v>
      </c>
      <c r="J2292">
        <v>3</v>
      </c>
      <c r="K2292">
        <v>8</v>
      </c>
    </row>
    <row r="2293" spans="1:11" x14ac:dyDescent="0.35">
      <c r="A2293" t="s">
        <v>2330</v>
      </c>
      <c r="B2293">
        <v>67</v>
      </c>
      <c r="C2293" t="s">
        <v>18</v>
      </c>
      <c r="D2293" t="s">
        <v>21</v>
      </c>
      <c r="E2293">
        <v>18</v>
      </c>
      <c r="F2293" t="s">
        <v>31</v>
      </c>
      <c r="G2293" t="s">
        <v>27</v>
      </c>
      <c r="H2293" s="1">
        <v>149.88999999999999</v>
      </c>
      <c r="I2293" t="s">
        <v>24</v>
      </c>
      <c r="J2293">
        <v>1</v>
      </c>
      <c r="K2293">
        <v>6</v>
      </c>
    </row>
    <row r="2294" spans="1:11" x14ac:dyDescent="0.35">
      <c r="A2294" t="s">
        <v>2331</v>
      </c>
      <c r="B2294">
        <v>26</v>
      </c>
      <c r="C2294" t="s">
        <v>18</v>
      </c>
      <c r="D2294" t="s">
        <v>19</v>
      </c>
      <c r="E2294">
        <v>24</v>
      </c>
      <c r="F2294" t="s">
        <v>22</v>
      </c>
      <c r="G2294" t="s">
        <v>27</v>
      </c>
      <c r="H2294" s="1">
        <v>87.73</v>
      </c>
      <c r="I2294" t="s">
        <v>24</v>
      </c>
      <c r="J2294">
        <v>1</v>
      </c>
      <c r="K2294">
        <v>5</v>
      </c>
    </row>
    <row r="2295" spans="1:11" x14ac:dyDescent="0.35">
      <c r="A2295" t="s">
        <v>2332</v>
      </c>
      <c r="B2295">
        <v>32</v>
      </c>
      <c r="C2295" t="s">
        <v>12</v>
      </c>
      <c r="D2295" t="s">
        <v>244</v>
      </c>
      <c r="E2295">
        <v>21</v>
      </c>
      <c r="F2295" t="s">
        <v>31</v>
      </c>
      <c r="G2295" t="s">
        <v>23</v>
      </c>
      <c r="H2295" s="1">
        <v>68.77</v>
      </c>
      <c r="I2295" t="s">
        <v>24</v>
      </c>
      <c r="J2295">
        <v>2</v>
      </c>
      <c r="K2295">
        <v>5</v>
      </c>
    </row>
    <row r="2296" spans="1:11" x14ac:dyDescent="0.35">
      <c r="A2296" t="s">
        <v>2333</v>
      </c>
      <c r="B2296">
        <v>49</v>
      </c>
      <c r="C2296" t="s">
        <v>18</v>
      </c>
      <c r="D2296" t="s">
        <v>19</v>
      </c>
      <c r="E2296">
        <v>10</v>
      </c>
      <c r="F2296" t="s">
        <v>31</v>
      </c>
      <c r="G2296" t="s">
        <v>27</v>
      </c>
      <c r="H2296" s="1">
        <v>38.950000000000003</v>
      </c>
      <c r="I2296" t="s">
        <v>24</v>
      </c>
      <c r="J2296">
        <v>3</v>
      </c>
      <c r="K2296">
        <v>5</v>
      </c>
    </row>
    <row r="2297" spans="1:11" x14ac:dyDescent="0.35">
      <c r="A2297" t="s">
        <v>2334</v>
      </c>
      <c r="B2297">
        <v>50</v>
      </c>
      <c r="C2297" t="s">
        <v>18</v>
      </c>
      <c r="D2297" t="s">
        <v>19</v>
      </c>
      <c r="E2297">
        <v>6</v>
      </c>
      <c r="F2297" t="s">
        <v>14</v>
      </c>
      <c r="G2297" t="s">
        <v>23</v>
      </c>
      <c r="H2297" s="1">
        <v>0</v>
      </c>
      <c r="I2297" t="s">
        <v>16</v>
      </c>
      <c r="J2297">
        <v>1</v>
      </c>
      <c r="K2297">
        <v>9</v>
      </c>
    </row>
    <row r="2298" spans="1:11" x14ac:dyDescent="0.35">
      <c r="A2298" t="s">
        <v>2335</v>
      </c>
      <c r="B2298">
        <v>36</v>
      </c>
      <c r="C2298" t="s">
        <v>18</v>
      </c>
      <c r="D2298" t="s">
        <v>19</v>
      </c>
      <c r="E2298">
        <v>12</v>
      </c>
      <c r="F2298" t="s">
        <v>31</v>
      </c>
      <c r="G2298" t="s">
        <v>23</v>
      </c>
      <c r="H2298" s="1">
        <v>160.05000000000001</v>
      </c>
      <c r="I2298" t="s">
        <v>28</v>
      </c>
      <c r="J2298">
        <v>3</v>
      </c>
      <c r="K2298">
        <v>4</v>
      </c>
    </row>
    <row r="2299" spans="1:11" x14ac:dyDescent="0.35">
      <c r="A2299" t="s">
        <v>2336</v>
      </c>
      <c r="B2299">
        <v>58</v>
      </c>
      <c r="C2299" t="s">
        <v>18</v>
      </c>
      <c r="D2299" t="s">
        <v>21</v>
      </c>
      <c r="E2299">
        <v>45</v>
      </c>
      <c r="F2299" t="s">
        <v>22</v>
      </c>
      <c r="G2299" t="s">
        <v>34</v>
      </c>
      <c r="H2299" s="1">
        <v>139.02000000000001</v>
      </c>
      <c r="I2299" t="s">
        <v>43</v>
      </c>
      <c r="J2299">
        <v>3</v>
      </c>
      <c r="K2299">
        <v>4</v>
      </c>
    </row>
    <row r="2300" spans="1:11" x14ac:dyDescent="0.35">
      <c r="A2300" t="s">
        <v>2337</v>
      </c>
      <c r="B2300">
        <v>22</v>
      </c>
      <c r="C2300" t="s">
        <v>12</v>
      </c>
      <c r="D2300" t="s">
        <v>30</v>
      </c>
      <c r="E2300">
        <v>11</v>
      </c>
      <c r="F2300" t="s">
        <v>22</v>
      </c>
      <c r="G2300" t="s">
        <v>23</v>
      </c>
      <c r="H2300" s="1">
        <v>101.79</v>
      </c>
      <c r="I2300" t="s">
        <v>24</v>
      </c>
      <c r="J2300">
        <v>2</v>
      </c>
      <c r="K2300">
        <v>6</v>
      </c>
    </row>
    <row r="2301" spans="1:11" x14ac:dyDescent="0.35">
      <c r="A2301" t="s">
        <v>2338</v>
      </c>
      <c r="B2301">
        <v>31</v>
      </c>
      <c r="C2301" t="s">
        <v>12</v>
      </c>
      <c r="D2301" t="s">
        <v>19</v>
      </c>
      <c r="E2301">
        <v>8</v>
      </c>
      <c r="F2301" t="s">
        <v>22</v>
      </c>
      <c r="G2301" t="s">
        <v>37</v>
      </c>
      <c r="H2301" s="1">
        <v>143.96</v>
      </c>
      <c r="I2301" t="s">
        <v>24</v>
      </c>
      <c r="J2301">
        <v>1</v>
      </c>
      <c r="K2301">
        <v>10</v>
      </c>
    </row>
    <row r="2302" spans="1:11" x14ac:dyDescent="0.35">
      <c r="A2302" t="s">
        <v>2339</v>
      </c>
      <c r="B2302">
        <v>24</v>
      </c>
      <c r="C2302" t="s">
        <v>18</v>
      </c>
      <c r="D2302" t="s">
        <v>21</v>
      </c>
      <c r="E2302">
        <v>21</v>
      </c>
      <c r="F2302" t="s">
        <v>22</v>
      </c>
      <c r="G2302" t="s">
        <v>15</v>
      </c>
      <c r="H2302" s="1">
        <v>131.26</v>
      </c>
      <c r="I2302" t="s">
        <v>24</v>
      </c>
      <c r="J2302">
        <v>2</v>
      </c>
      <c r="K2302">
        <v>5</v>
      </c>
    </row>
    <row r="2303" spans="1:11" x14ac:dyDescent="0.35">
      <c r="A2303" t="s">
        <v>2340</v>
      </c>
      <c r="B2303">
        <v>85</v>
      </c>
      <c r="C2303" t="s">
        <v>18</v>
      </c>
      <c r="D2303" t="s">
        <v>30</v>
      </c>
      <c r="E2303">
        <v>13</v>
      </c>
      <c r="F2303" t="s">
        <v>31</v>
      </c>
      <c r="G2303" t="s">
        <v>37</v>
      </c>
      <c r="H2303" s="1">
        <v>176.79</v>
      </c>
      <c r="I2303" t="s">
        <v>28</v>
      </c>
      <c r="J2303">
        <v>0</v>
      </c>
      <c r="K2303">
        <v>8</v>
      </c>
    </row>
    <row r="2304" spans="1:11" x14ac:dyDescent="0.35">
      <c r="A2304" t="s">
        <v>2341</v>
      </c>
      <c r="B2304">
        <v>67</v>
      </c>
      <c r="C2304" t="s">
        <v>12</v>
      </c>
      <c r="D2304" t="s">
        <v>30</v>
      </c>
      <c r="E2304">
        <v>2</v>
      </c>
      <c r="F2304" t="s">
        <v>22</v>
      </c>
      <c r="G2304" t="s">
        <v>34</v>
      </c>
      <c r="H2304" s="1">
        <v>146.33000000000001</v>
      </c>
      <c r="I2304" t="s">
        <v>24</v>
      </c>
      <c r="J2304">
        <v>0</v>
      </c>
      <c r="K2304">
        <v>9</v>
      </c>
    </row>
    <row r="2305" spans="1:11" x14ac:dyDescent="0.35">
      <c r="A2305" t="s">
        <v>2342</v>
      </c>
      <c r="B2305">
        <v>45</v>
      </c>
      <c r="C2305" t="s">
        <v>12</v>
      </c>
      <c r="D2305" t="s">
        <v>30</v>
      </c>
      <c r="E2305">
        <v>10</v>
      </c>
      <c r="F2305" t="s">
        <v>33</v>
      </c>
      <c r="G2305" t="s">
        <v>34</v>
      </c>
      <c r="H2305" s="1">
        <v>114.12</v>
      </c>
      <c r="I2305" t="s">
        <v>24</v>
      </c>
      <c r="J2305">
        <v>0</v>
      </c>
      <c r="K2305">
        <v>7</v>
      </c>
    </row>
    <row r="2306" spans="1:11" x14ac:dyDescent="0.35">
      <c r="A2306" t="s">
        <v>2343</v>
      </c>
      <c r="B2306">
        <v>42</v>
      </c>
      <c r="C2306" t="s">
        <v>12</v>
      </c>
      <c r="D2306" t="s">
        <v>19</v>
      </c>
      <c r="E2306">
        <v>6</v>
      </c>
      <c r="F2306" t="s">
        <v>22</v>
      </c>
      <c r="G2306" t="s">
        <v>27</v>
      </c>
      <c r="H2306" s="1">
        <v>76.98</v>
      </c>
      <c r="I2306" t="s">
        <v>24</v>
      </c>
      <c r="J2306">
        <v>0</v>
      </c>
      <c r="K2306">
        <v>9</v>
      </c>
    </row>
    <row r="2307" spans="1:11" x14ac:dyDescent="0.35">
      <c r="A2307" t="s">
        <v>2344</v>
      </c>
      <c r="B2307">
        <v>30</v>
      </c>
      <c r="C2307" t="s">
        <v>12</v>
      </c>
      <c r="D2307" t="s">
        <v>21</v>
      </c>
      <c r="E2307">
        <v>31</v>
      </c>
      <c r="F2307" t="s">
        <v>33</v>
      </c>
      <c r="G2307" t="s">
        <v>23</v>
      </c>
      <c r="H2307" s="1">
        <v>536.21</v>
      </c>
      <c r="I2307" t="s">
        <v>43</v>
      </c>
      <c r="J2307">
        <v>0</v>
      </c>
      <c r="K2307">
        <v>3</v>
      </c>
    </row>
    <row r="2308" spans="1:11" x14ac:dyDescent="0.35">
      <c r="A2308" t="s">
        <v>2345</v>
      </c>
      <c r="B2308">
        <v>58</v>
      </c>
      <c r="C2308" t="s">
        <v>12</v>
      </c>
      <c r="D2308" t="s">
        <v>19</v>
      </c>
      <c r="E2308">
        <v>23</v>
      </c>
      <c r="F2308" t="s">
        <v>31</v>
      </c>
      <c r="G2308" t="s">
        <v>23</v>
      </c>
      <c r="H2308" s="1">
        <v>398.22</v>
      </c>
      <c r="I2308" t="s">
        <v>43</v>
      </c>
      <c r="J2308">
        <v>0</v>
      </c>
      <c r="K2308">
        <v>1</v>
      </c>
    </row>
    <row r="2309" spans="1:11" x14ac:dyDescent="0.35">
      <c r="A2309" t="s">
        <v>2346</v>
      </c>
      <c r="B2309">
        <v>54</v>
      </c>
      <c r="C2309" t="s">
        <v>12</v>
      </c>
      <c r="D2309" t="s">
        <v>19</v>
      </c>
      <c r="E2309">
        <v>24</v>
      </c>
      <c r="F2309" t="s">
        <v>31</v>
      </c>
      <c r="G2309" t="s">
        <v>37</v>
      </c>
      <c r="H2309" s="1">
        <v>174.85</v>
      </c>
      <c r="I2309" t="s">
        <v>24</v>
      </c>
      <c r="J2309">
        <v>4</v>
      </c>
      <c r="K2309">
        <v>3</v>
      </c>
    </row>
    <row r="2310" spans="1:11" x14ac:dyDescent="0.35">
      <c r="A2310" t="s">
        <v>2347</v>
      </c>
      <c r="B2310">
        <v>36</v>
      </c>
      <c r="C2310" t="s">
        <v>18</v>
      </c>
      <c r="D2310" t="s">
        <v>21</v>
      </c>
      <c r="E2310">
        <v>46</v>
      </c>
      <c r="F2310" t="s">
        <v>33</v>
      </c>
      <c r="G2310" t="s">
        <v>27</v>
      </c>
      <c r="H2310" s="1">
        <v>21.96</v>
      </c>
      <c r="I2310" t="s">
        <v>24</v>
      </c>
      <c r="J2310">
        <v>2</v>
      </c>
      <c r="K2310">
        <v>3</v>
      </c>
    </row>
    <row r="2311" spans="1:11" x14ac:dyDescent="0.35">
      <c r="A2311" t="s">
        <v>2348</v>
      </c>
      <c r="B2311">
        <v>18</v>
      </c>
      <c r="C2311" t="s">
        <v>18</v>
      </c>
      <c r="D2311" t="s">
        <v>13</v>
      </c>
      <c r="E2311">
        <v>17</v>
      </c>
      <c r="F2311" t="s">
        <v>22</v>
      </c>
      <c r="G2311" t="s">
        <v>37</v>
      </c>
      <c r="H2311" s="1">
        <v>152.41</v>
      </c>
      <c r="I2311" t="s">
        <v>24</v>
      </c>
      <c r="J2311">
        <v>0</v>
      </c>
      <c r="K2311">
        <v>8</v>
      </c>
    </row>
    <row r="2312" spans="1:11" x14ac:dyDescent="0.35">
      <c r="A2312" t="s">
        <v>2349</v>
      </c>
      <c r="B2312">
        <v>22</v>
      </c>
      <c r="C2312" t="s">
        <v>18</v>
      </c>
      <c r="D2312" t="s">
        <v>41</v>
      </c>
      <c r="E2312">
        <v>2</v>
      </c>
      <c r="F2312" t="s">
        <v>33</v>
      </c>
      <c r="G2312" t="s">
        <v>23</v>
      </c>
      <c r="H2312" s="1">
        <v>424.87</v>
      </c>
      <c r="I2312" t="s">
        <v>28</v>
      </c>
      <c r="J2312">
        <v>0</v>
      </c>
      <c r="K2312">
        <v>7</v>
      </c>
    </row>
    <row r="2313" spans="1:11" x14ac:dyDescent="0.35">
      <c r="A2313" t="s">
        <v>2350</v>
      </c>
      <c r="B2313">
        <v>59</v>
      </c>
      <c r="C2313" t="s">
        <v>12</v>
      </c>
      <c r="D2313" t="s">
        <v>30</v>
      </c>
      <c r="E2313">
        <v>2</v>
      </c>
      <c r="F2313" t="s">
        <v>22</v>
      </c>
      <c r="G2313" t="s">
        <v>37</v>
      </c>
      <c r="H2313" s="1">
        <v>171.45</v>
      </c>
      <c r="I2313" t="s">
        <v>24</v>
      </c>
      <c r="J2313">
        <v>0</v>
      </c>
      <c r="K2313">
        <v>10</v>
      </c>
    </row>
    <row r="2314" spans="1:11" x14ac:dyDescent="0.35">
      <c r="A2314" t="s">
        <v>2351</v>
      </c>
      <c r="B2314">
        <v>30</v>
      </c>
      <c r="C2314" t="s">
        <v>18</v>
      </c>
      <c r="D2314" t="s">
        <v>13</v>
      </c>
      <c r="E2314">
        <v>14</v>
      </c>
      <c r="F2314" t="s">
        <v>33</v>
      </c>
      <c r="G2314" t="s">
        <v>34</v>
      </c>
      <c r="H2314" s="1">
        <v>153.18</v>
      </c>
      <c r="I2314" t="s">
        <v>24</v>
      </c>
      <c r="J2314">
        <v>1</v>
      </c>
      <c r="K2314">
        <v>5</v>
      </c>
    </row>
    <row r="2315" spans="1:11" x14ac:dyDescent="0.35">
      <c r="A2315" t="s">
        <v>2352</v>
      </c>
      <c r="B2315">
        <v>30</v>
      </c>
      <c r="C2315" t="s">
        <v>18</v>
      </c>
      <c r="D2315" t="s">
        <v>19</v>
      </c>
      <c r="E2315">
        <v>8</v>
      </c>
      <c r="F2315" t="s">
        <v>33</v>
      </c>
      <c r="G2315" t="s">
        <v>37</v>
      </c>
      <c r="H2315" s="1">
        <v>159.94999999999999</v>
      </c>
      <c r="I2315" t="s">
        <v>28</v>
      </c>
      <c r="J2315">
        <v>0</v>
      </c>
      <c r="K2315">
        <v>10</v>
      </c>
    </row>
    <row r="2316" spans="1:11" x14ac:dyDescent="0.35">
      <c r="A2316" t="s">
        <v>2353</v>
      </c>
      <c r="B2316">
        <v>65</v>
      </c>
      <c r="C2316" t="s">
        <v>18</v>
      </c>
      <c r="D2316" t="s">
        <v>21</v>
      </c>
      <c r="E2316">
        <v>31</v>
      </c>
      <c r="F2316" t="s">
        <v>22</v>
      </c>
      <c r="G2316" t="s">
        <v>34</v>
      </c>
      <c r="H2316" s="1">
        <v>199.26</v>
      </c>
      <c r="I2316" t="s">
        <v>24</v>
      </c>
      <c r="J2316">
        <v>2</v>
      </c>
      <c r="K2316">
        <v>3</v>
      </c>
    </row>
    <row r="2317" spans="1:11" x14ac:dyDescent="0.35">
      <c r="A2317" t="s">
        <v>2354</v>
      </c>
      <c r="B2317">
        <v>40</v>
      </c>
      <c r="C2317" t="s">
        <v>18</v>
      </c>
      <c r="D2317" t="s">
        <v>13</v>
      </c>
      <c r="E2317">
        <v>9</v>
      </c>
      <c r="F2317" t="s">
        <v>33</v>
      </c>
      <c r="G2317" t="s">
        <v>23</v>
      </c>
      <c r="H2317" s="1">
        <v>599.92999999999995</v>
      </c>
      <c r="I2317" t="s">
        <v>43</v>
      </c>
      <c r="J2317">
        <v>1</v>
      </c>
      <c r="K2317">
        <v>8</v>
      </c>
    </row>
    <row r="2318" spans="1:11" x14ac:dyDescent="0.35">
      <c r="A2318" t="s">
        <v>2355</v>
      </c>
      <c r="B2318">
        <v>75</v>
      </c>
      <c r="C2318" t="s">
        <v>12</v>
      </c>
      <c r="D2318" t="s">
        <v>19</v>
      </c>
      <c r="E2318">
        <v>21</v>
      </c>
      <c r="F2318" t="s">
        <v>14</v>
      </c>
      <c r="G2318" t="s">
        <v>34</v>
      </c>
      <c r="H2318" s="1">
        <v>0</v>
      </c>
      <c r="I2318" t="s">
        <v>16</v>
      </c>
      <c r="J2318">
        <v>1</v>
      </c>
      <c r="K2318">
        <v>2</v>
      </c>
    </row>
    <row r="2319" spans="1:11" x14ac:dyDescent="0.35">
      <c r="A2319" t="s">
        <v>2356</v>
      </c>
      <c r="B2319">
        <v>84</v>
      </c>
      <c r="C2319" t="s">
        <v>12</v>
      </c>
      <c r="D2319" t="s">
        <v>21</v>
      </c>
      <c r="E2319">
        <v>41</v>
      </c>
      <c r="F2319" t="s">
        <v>33</v>
      </c>
      <c r="G2319" t="s">
        <v>23</v>
      </c>
      <c r="H2319" s="1">
        <v>238.01</v>
      </c>
      <c r="I2319" t="s">
        <v>24</v>
      </c>
      <c r="J2319">
        <v>0</v>
      </c>
      <c r="K2319">
        <v>3</v>
      </c>
    </row>
    <row r="2320" spans="1:11" x14ac:dyDescent="0.35">
      <c r="A2320" t="s">
        <v>2357</v>
      </c>
      <c r="B2320">
        <v>53</v>
      </c>
      <c r="C2320" t="s">
        <v>18</v>
      </c>
      <c r="D2320" t="s">
        <v>19</v>
      </c>
      <c r="E2320">
        <v>11</v>
      </c>
      <c r="F2320" t="s">
        <v>31</v>
      </c>
      <c r="G2320" t="s">
        <v>37</v>
      </c>
      <c r="H2320" s="1">
        <v>176.4</v>
      </c>
      <c r="I2320" t="s">
        <v>24</v>
      </c>
      <c r="J2320">
        <v>0</v>
      </c>
      <c r="K2320">
        <v>4</v>
      </c>
    </row>
    <row r="2321" spans="1:11" x14ac:dyDescent="0.35">
      <c r="A2321" t="s">
        <v>2358</v>
      </c>
      <c r="B2321">
        <v>24</v>
      </c>
      <c r="C2321" t="s">
        <v>12</v>
      </c>
      <c r="D2321" t="s">
        <v>19</v>
      </c>
      <c r="E2321">
        <v>16</v>
      </c>
      <c r="F2321" t="s">
        <v>33</v>
      </c>
      <c r="G2321" t="s">
        <v>15</v>
      </c>
      <c r="H2321" s="1">
        <v>364.48</v>
      </c>
      <c r="I2321" t="s">
        <v>24</v>
      </c>
      <c r="J2321">
        <v>2</v>
      </c>
      <c r="K2321">
        <v>6</v>
      </c>
    </row>
    <row r="2322" spans="1:11" x14ac:dyDescent="0.35">
      <c r="A2322" t="s">
        <v>2359</v>
      </c>
      <c r="B2322">
        <v>67</v>
      </c>
      <c r="C2322" t="s">
        <v>12</v>
      </c>
      <c r="D2322" t="s">
        <v>21</v>
      </c>
      <c r="E2322">
        <v>46</v>
      </c>
      <c r="F2322" t="s">
        <v>22</v>
      </c>
      <c r="G2322" t="s">
        <v>27</v>
      </c>
      <c r="H2322" s="1">
        <v>119.46</v>
      </c>
      <c r="I2322" t="s">
        <v>24</v>
      </c>
      <c r="J2322">
        <v>3</v>
      </c>
      <c r="K2322">
        <v>1</v>
      </c>
    </row>
    <row r="2323" spans="1:11" x14ac:dyDescent="0.35">
      <c r="A2323" t="s">
        <v>2360</v>
      </c>
      <c r="B2323">
        <v>77</v>
      </c>
      <c r="C2323" t="s">
        <v>12</v>
      </c>
      <c r="D2323" t="s">
        <v>30</v>
      </c>
      <c r="E2323">
        <v>14</v>
      </c>
      <c r="F2323" t="s">
        <v>22</v>
      </c>
      <c r="G2323" t="s">
        <v>27</v>
      </c>
      <c r="H2323" s="1">
        <v>100.02</v>
      </c>
      <c r="I2323" t="s">
        <v>24</v>
      </c>
      <c r="J2323">
        <v>0</v>
      </c>
      <c r="K2323">
        <v>5</v>
      </c>
    </row>
    <row r="2324" spans="1:11" x14ac:dyDescent="0.35">
      <c r="A2324" t="s">
        <v>2361</v>
      </c>
      <c r="B2324">
        <v>41</v>
      </c>
      <c r="C2324" t="s">
        <v>12</v>
      </c>
      <c r="D2324" t="s">
        <v>19</v>
      </c>
      <c r="E2324">
        <v>18</v>
      </c>
      <c r="F2324" t="s">
        <v>33</v>
      </c>
      <c r="G2324" t="s">
        <v>34</v>
      </c>
      <c r="H2324" s="1">
        <v>156.22999999999999</v>
      </c>
      <c r="I2324" t="s">
        <v>24</v>
      </c>
      <c r="J2324">
        <v>0</v>
      </c>
      <c r="K2324">
        <v>8</v>
      </c>
    </row>
    <row r="2325" spans="1:11" x14ac:dyDescent="0.35">
      <c r="A2325" t="s">
        <v>2362</v>
      </c>
      <c r="B2325">
        <v>80</v>
      </c>
      <c r="C2325" t="s">
        <v>18</v>
      </c>
      <c r="D2325" t="s">
        <v>21</v>
      </c>
      <c r="E2325">
        <v>15</v>
      </c>
      <c r="F2325" t="s">
        <v>33</v>
      </c>
      <c r="G2325" t="s">
        <v>23</v>
      </c>
      <c r="H2325" s="1">
        <v>131.65</v>
      </c>
      <c r="I2325" t="s">
        <v>43</v>
      </c>
      <c r="J2325">
        <v>1</v>
      </c>
      <c r="K2325">
        <v>4</v>
      </c>
    </row>
    <row r="2326" spans="1:11" x14ac:dyDescent="0.35">
      <c r="A2326" t="s">
        <v>2363</v>
      </c>
      <c r="B2326">
        <v>20</v>
      </c>
      <c r="C2326" t="s">
        <v>12</v>
      </c>
      <c r="D2326" t="s">
        <v>19</v>
      </c>
      <c r="E2326">
        <v>12</v>
      </c>
      <c r="F2326" t="s">
        <v>33</v>
      </c>
      <c r="G2326" t="s">
        <v>37</v>
      </c>
      <c r="H2326" s="1">
        <v>209.31</v>
      </c>
      <c r="I2326" t="s">
        <v>24</v>
      </c>
      <c r="J2326">
        <v>0</v>
      </c>
      <c r="K2326">
        <v>5</v>
      </c>
    </row>
    <row r="2327" spans="1:11" x14ac:dyDescent="0.35">
      <c r="A2327" t="s">
        <v>2364</v>
      </c>
      <c r="B2327">
        <v>82</v>
      </c>
      <c r="C2327" t="s">
        <v>18</v>
      </c>
      <c r="D2327" t="s">
        <v>30</v>
      </c>
      <c r="E2327">
        <v>6</v>
      </c>
      <c r="F2327" t="s">
        <v>22</v>
      </c>
      <c r="G2327" t="s">
        <v>23</v>
      </c>
      <c r="H2327" s="1">
        <v>278.51</v>
      </c>
      <c r="I2327" t="s">
        <v>24</v>
      </c>
      <c r="J2327">
        <v>0</v>
      </c>
      <c r="K2327">
        <v>9</v>
      </c>
    </row>
    <row r="2328" spans="1:11" x14ac:dyDescent="0.35">
      <c r="A2328" t="s">
        <v>2365</v>
      </c>
      <c r="B2328">
        <v>81</v>
      </c>
      <c r="C2328" t="s">
        <v>12</v>
      </c>
      <c r="D2328" t="s">
        <v>19</v>
      </c>
      <c r="E2328">
        <v>13</v>
      </c>
      <c r="F2328" t="s">
        <v>26</v>
      </c>
      <c r="G2328" t="s">
        <v>37</v>
      </c>
      <c r="H2328" s="1">
        <v>184.05</v>
      </c>
      <c r="I2328" t="s">
        <v>24</v>
      </c>
      <c r="J2328">
        <v>3</v>
      </c>
      <c r="K2328">
        <v>5</v>
      </c>
    </row>
    <row r="2329" spans="1:11" x14ac:dyDescent="0.35">
      <c r="A2329" t="s">
        <v>2366</v>
      </c>
      <c r="B2329">
        <v>73</v>
      </c>
      <c r="C2329" t="s">
        <v>12</v>
      </c>
      <c r="D2329" t="s">
        <v>19</v>
      </c>
      <c r="E2329">
        <v>16</v>
      </c>
      <c r="F2329" t="s">
        <v>14</v>
      </c>
      <c r="G2329" t="s">
        <v>34</v>
      </c>
      <c r="H2329" s="1">
        <v>0</v>
      </c>
      <c r="I2329" t="s">
        <v>16</v>
      </c>
      <c r="J2329">
        <v>1</v>
      </c>
      <c r="K2329">
        <v>6</v>
      </c>
    </row>
    <row r="2330" spans="1:11" x14ac:dyDescent="0.35">
      <c r="A2330" t="s">
        <v>2367</v>
      </c>
      <c r="B2330">
        <v>23</v>
      </c>
      <c r="C2330" t="s">
        <v>12</v>
      </c>
      <c r="D2330" t="s">
        <v>30</v>
      </c>
      <c r="E2330">
        <v>9</v>
      </c>
      <c r="F2330" t="s">
        <v>31</v>
      </c>
      <c r="G2330" t="s">
        <v>27</v>
      </c>
      <c r="H2330" s="1">
        <v>27.92</v>
      </c>
      <c r="I2330" t="s">
        <v>24</v>
      </c>
      <c r="J2330">
        <v>0</v>
      </c>
      <c r="K2330">
        <v>6</v>
      </c>
    </row>
    <row r="2331" spans="1:11" x14ac:dyDescent="0.35">
      <c r="A2331" t="s">
        <v>2368</v>
      </c>
      <c r="B2331">
        <v>48</v>
      </c>
      <c r="C2331" t="s">
        <v>18</v>
      </c>
      <c r="D2331" t="s">
        <v>13</v>
      </c>
      <c r="E2331">
        <v>22</v>
      </c>
      <c r="F2331" t="s">
        <v>33</v>
      </c>
      <c r="G2331" t="s">
        <v>27</v>
      </c>
      <c r="H2331" s="1">
        <v>49.99</v>
      </c>
      <c r="I2331" t="s">
        <v>24</v>
      </c>
      <c r="J2331">
        <v>4</v>
      </c>
      <c r="K2331">
        <v>2</v>
      </c>
    </row>
    <row r="2332" spans="1:11" x14ac:dyDescent="0.35">
      <c r="A2332" t="s">
        <v>2369</v>
      </c>
      <c r="B2332">
        <v>24</v>
      </c>
      <c r="C2332" t="s">
        <v>12</v>
      </c>
      <c r="D2332" t="s">
        <v>21</v>
      </c>
      <c r="E2332">
        <v>19</v>
      </c>
      <c r="F2332" t="s">
        <v>22</v>
      </c>
      <c r="G2332" t="s">
        <v>23</v>
      </c>
      <c r="H2332" s="1">
        <v>550.76</v>
      </c>
      <c r="I2332" t="s">
        <v>24</v>
      </c>
      <c r="J2332">
        <v>1</v>
      </c>
      <c r="K2332">
        <v>4</v>
      </c>
    </row>
    <row r="2333" spans="1:11" x14ac:dyDescent="0.35">
      <c r="A2333" t="s">
        <v>2370</v>
      </c>
      <c r="B2333">
        <v>39</v>
      </c>
      <c r="C2333" t="s">
        <v>18</v>
      </c>
      <c r="D2333" t="s">
        <v>19</v>
      </c>
      <c r="E2333">
        <v>24</v>
      </c>
      <c r="F2333" t="s">
        <v>26</v>
      </c>
      <c r="G2333" t="s">
        <v>27</v>
      </c>
      <c r="H2333" s="1">
        <v>36.5</v>
      </c>
      <c r="I2333" t="s">
        <v>24</v>
      </c>
      <c r="J2333">
        <v>1</v>
      </c>
      <c r="K2333">
        <v>4</v>
      </c>
    </row>
    <row r="2334" spans="1:11" x14ac:dyDescent="0.35">
      <c r="A2334" t="s">
        <v>2371</v>
      </c>
      <c r="B2334">
        <v>43</v>
      </c>
      <c r="C2334" t="s">
        <v>18</v>
      </c>
      <c r="D2334" t="s">
        <v>19</v>
      </c>
      <c r="E2334">
        <v>19</v>
      </c>
      <c r="F2334" t="s">
        <v>22</v>
      </c>
      <c r="G2334" t="s">
        <v>27</v>
      </c>
      <c r="H2334" s="1">
        <v>64.849999999999994</v>
      </c>
      <c r="I2334" t="s">
        <v>24</v>
      </c>
      <c r="J2334">
        <v>2</v>
      </c>
      <c r="K2334">
        <v>3</v>
      </c>
    </row>
    <row r="2335" spans="1:11" x14ac:dyDescent="0.35">
      <c r="A2335" t="s">
        <v>2372</v>
      </c>
      <c r="B2335">
        <v>20</v>
      </c>
      <c r="C2335" t="s">
        <v>18</v>
      </c>
      <c r="D2335" t="s">
        <v>19</v>
      </c>
      <c r="E2335">
        <v>11</v>
      </c>
      <c r="F2335" t="s">
        <v>22</v>
      </c>
      <c r="G2335" t="s">
        <v>23</v>
      </c>
      <c r="H2335" s="1">
        <v>205.37</v>
      </c>
      <c r="I2335" t="s">
        <v>24</v>
      </c>
      <c r="J2335">
        <v>1</v>
      </c>
      <c r="K2335">
        <v>8</v>
      </c>
    </row>
    <row r="2336" spans="1:11" x14ac:dyDescent="0.35">
      <c r="A2336" t="s">
        <v>2373</v>
      </c>
      <c r="B2336">
        <v>63</v>
      </c>
      <c r="C2336" t="s">
        <v>12</v>
      </c>
      <c r="D2336" t="s">
        <v>19</v>
      </c>
      <c r="E2336">
        <v>11</v>
      </c>
      <c r="F2336" t="s">
        <v>14</v>
      </c>
      <c r="G2336" t="s">
        <v>27</v>
      </c>
      <c r="H2336" s="1">
        <v>0</v>
      </c>
      <c r="I2336" t="s">
        <v>16</v>
      </c>
      <c r="J2336">
        <v>1</v>
      </c>
      <c r="K2336">
        <v>7</v>
      </c>
    </row>
    <row r="2337" spans="1:11" x14ac:dyDescent="0.35">
      <c r="A2337" t="s">
        <v>2374</v>
      </c>
      <c r="B2337">
        <v>30</v>
      </c>
      <c r="C2337" t="s">
        <v>12</v>
      </c>
      <c r="D2337" t="s">
        <v>30</v>
      </c>
      <c r="E2337">
        <v>4</v>
      </c>
      <c r="F2337" t="s">
        <v>22</v>
      </c>
      <c r="G2337" t="s">
        <v>15</v>
      </c>
      <c r="H2337" s="1">
        <v>439.77</v>
      </c>
      <c r="I2337" t="s">
        <v>43</v>
      </c>
      <c r="J2337">
        <v>0</v>
      </c>
      <c r="K2337">
        <v>9</v>
      </c>
    </row>
    <row r="2338" spans="1:11" x14ac:dyDescent="0.35">
      <c r="A2338" t="s">
        <v>2375</v>
      </c>
      <c r="B2338">
        <v>62</v>
      </c>
      <c r="C2338" t="s">
        <v>18</v>
      </c>
      <c r="D2338" t="s">
        <v>30</v>
      </c>
      <c r="E2338">
        <v>9</v>
      </c>
      <c r="F2338" t="s">
        <v>33</v>
      </c>
      <c r="G2338" t="s">
        <v>27</v>
      </c>
      <c r="H2338" s="1">
        <v>62.52</v>
      </c>
      <c r="I2338" t="s">
        <v>24</v>
      </c>
      <c r="J2338">
        <v>3</v>
      </c>
      <c r="K2338">
        <v>4</v>
      </c>
    </row>
    <row r="2339" spans="1:11" x14ac:dyDescent="0.35">
      <c r="A2339" t="s">
        <v>2376</v>
      </c>
      <c r="B2339">
        <v>81</v>
      </c>
      <c r="C2339" t="s">
        <v>18</v>
      </c>
      <c r="D2339" t="s">
        <v>30</v>
      </c>
      <c r="E2339">
        <v>5</v>
      </c>
      <c r="F2339" t="s">
        <v>22</v>
      </c>
      <c r="G2339" t="s">
        <v>23</v>
      </c>
      <c r="H2339" s="1">
        <v>454.08</v>
      </c>
      <c r="I2339" t="s">
        <v>24</v>
      </c>
      <c r="J2339">
        <v>0</v>
      </c>
      <c r="K2339">
        <v>8</v>
      </c>
    </row>
    <row r="2340" spans="1:11" x14ac:dyDescent="0.35">
      <c r="A2340" t="s">
        <v>2377</v>
      </c>
      <c r="B2340">
        <v>23</v>
      </c>
      <c r="C2340" t="s">
        <v>12</v>
      </c>
      <c r="D2340" t="s">
        <v>19</v>
      </c>
      <c r="E2340">
        <v>15</v>
      </c>
      <c r="F2340" t="s">
        <v>33</v>
      </c>
      <c r="G2340" t="s">
        <v>15</v>
      </c>
      <c r="H2340" s="1">
        <v>437.59</v>
      </c>
      <c r="I2340" t="s">
        <v>24</v>
      </c>
      <c r="J2340">
        <v>2</v>
      </c>
      <c r="K2340">
        <v>5</v>
      </c>
    </row>
    <row r="2341" spans="1:11" x14ac:dyDescent="0.35">
      <c r="A2341" t="s">
        <v>2378</v>
      </c>
      <c r="B2341">
        <v>24</v>
      </c>
      <c r="C2341" t="s">
        <v>18</v>
      </c>
      <c r="D2341" t="s">
        <v>21</v>
      </c>
      <c r="E2341">
        <v>21</v>
      </c>
      <c r="F2341" t="s">
        <v>14</v>
      </c>
      <c r="G2341" t="s">
        <v>37</v>
      </c>
      <c r="H2341" s="1">
        <v>0</v>
      </c>
      <c r="I2341" t="s">
        <v>16</v>
      </c>
      <c r="J2341">
        <v>1</v>
      </c>
      <c r="K2341">
        <v>4</v>
      </c>
    </row>
    <row r="2342" spans="1:11" x14ac:dyDescent="0.35">
      <c r="A2342" t="s">
        <v>2379</v>
      </c>
      <c r="B2342">
        <v>21</v>
      </c>
      <c r="C2342" t="s">
        <v>12</v>
      </c>
      <c r="D2342" t="s">
        <v>19</v>
      </c>
      <c r="E2342">
        <v>6</v>
      </c>
      <c r="F2342" t="s">
        <v>22</v>
      </c>
      <c r="G2342" t="s">
        <v>23</v>
      </c>
      <c r="H2342" s="1">
        <v>170.79</v>
      </c>
      <c r="I2342" t="s">
        <v>24</v>
      </c>
      <c r="J2342">
        <v>0</v>
      </c>
      <c r="K2342">
        <v>7</v>
      </c>
    </row>
    <row r="2343" spans="1:11" x14ac:dyDescent="0.35">
      <c r="A2343" t="s">
        <v>2380</v>
      </c>
      <c r="B2343">
        <v>73</v>
      </c>
      <c r="C2343" t="s">
        <v>18</v>
      </c>
      <c r="D2343" t="s">
        <v>19</v>
      </c>
      <c r="E2343">
        <v>9</v>
      </c>
      <c r="F2343" t="s">
        <v>33</v>
      </c>
      <c r="G2343" t="s">
        <v>27</v>
      </c>
      <c r="H2343" s="1">
        <v>178.68</v>
      </c>
      <c r="I2343" t="s">
        <v>24</v>
      </c>
      <c r="J2343">
        <v>2</v>
      </c>
      <c r="K2343">
        <v>6</v>
      </c>
    </row>
    <row r="2344" spans="1:11" x14ac:dyDescent="0.35">
      <c r="A2344" t="s">
        <v>2381</v>
      </c>
      <c r="B2344">
        <v>51</v>
      </c>
      <c r="C2344" t="s">
        <v>12</v>
      </c>
      <c r="D2344" t="s">
        <v>19</v>
      </c>
      <c r="E2344">
        <v>19</v>
      </c>
      <c r="F2344" t="s">
        <v>31</v>
      </c>
      <c r="G2344" t="s">
        <v>15</v>
      </c>
      <c r="H2344" s="1">
        <v>165.35</v>
      </c>
      <c r="I2344" t="s">
        <v>24</v>
      </c>
      <c r="J2344">
        <v>3</v>
      </c>
      <c r="K2344">
        <v>1</v>
      </c>
    </row>
    <row r="2345" spans="1:11" x14ac:dyDescent="0.35">
      <c r="A2345" t="s">
        <v>2382</v>
      </c>
      <c r="B2345">
        <v>26</v>
      </c>
      <c r="C2345" t="s">
        <v>12</v>
      </c>
      <c r="D2345" t="s">
        <v>13</v>
      </c>
      <c r="E2345">
        <v>13</v>
      </c>
      <c r="F2345" t="s">
        <v>22</v>
      </c>
      <c r="G2345" t="s">
        <v>27</v>
      </c>
      <c r="H2345" s="1">
        <v>103.48</v>
      </c>
      <c r="I2345" t="s">
        <v>24</v>
      </c>
      <c r="J2345">
        <v>1</v>
      </c>
      <c r="K2345">
        <v>8</v>
      </c>
    </row>
    <row r="2346" spans="1:11" x14ac:dyDescent="0.35">
      <c r="A2346" t="s">
        <v>2383</v>
      </c>
      <c r="B2346">
        <v>54</v>
      </c>
      <c r="C2346" t="s">
        <v>12</v>
      </c>
      <c r="D2346" t="s">
        <v>13</v>
      </c>
      <c r="E2346">
        <v>21</v>
      </c>
      <c r="F2346" t="s">
        <v>31</v>
      </c>
      <c r="G2346" t="s">
        <v>15</v>
      </c>
      <c r="H2346" s="1">
        <v>424.95</v>
      </c>
      <c r="I2346" t="s">
        <v>24</v>
      </c>
      <c r="J2346">
        <v>1</v>
      </c>
      <c r="K2346">
        <v>2</v>
      </c>
    </row>
    <row r="2347" spans="1:11" x14ac:dyDescent="0.35">
      <c r="A2347" t="s">
        <v>2384</v>
      </c>
      <c r="B2347">
        <v>21</v>
      </c>
      <c r="C2347" t="s">
        <v>12</v>
      </c>
      <c r="D2347" t="s">
        <v>19</v>
      </c>
      <c r="E2347">
        <v>21</v>
      </c>
      <c r="F2347" t="s">
        <v>26</v>
      </c>
      <c r="G2347" t="s">
        <v>34</v>
      </c>
      <c r="H2347" s="1">
        <v>198.63</v>
      </c>
      <c r="I2347" t="s">
        <v>24</v>
      </c>
      <c r="J2347">
        <v>4</v>
      </c>
      <c r="K2347">
        <v>5</v>
      </c>
    </row>
    <row r="2348" spans="1:11" x14ac:dyDescent="0.35">
      <c r="A2348" t="s">
        <v>2385</v>
      </c>
      <c r="B2348">
        <v>26</v>
      </c>
      <c r="C2348" t="s">
        <v>12</v>
      </c>
      <c r="D2348" t="s">
        <v>21</v>
      </c>
      <c r="E2348">
        <v>27</v>
      </c>
      <c r="F2348" t="s">
        <v>31</v>
      </c>
      <c r="G2348" t="s">
        <v>23</v>
      </c>
      <c r="H2348" s="1">
        <v>512.78</v>
      </c>
      <c r="I2348" t="s">
        <v>24</v>
      </c>
      <c r="J2348">
        <v>3</v>
      </c>
      <c r="K2348">
        <v>4</v>
      </c>
    </row>
    <row r="2349" spans="1:11" x14ac:dyDescent="0.35">
      <c r="A2349" t="s">
        <v>2386</v>
      </c>
      <c r="B2349">
        <v>76</v>
      </c>
      <c r="C2349" t="s">
        <v>18</v>
      </c>
      <c r="D2349" t="s">
        <v>19</v>
      </c>
      <c r="E2349">
        <v>24</v>
      </c>
      <c r="F2349" t="s">
        <v>14</v>
      </c>
      <c r="G2349" t="s">
        <v>37</v>
      </c>
      <c r="H2349" s="1">
        <v>0</v>
      </c>
      <c r="I2349" t="s">
        <v>16</v>
      </c>
      <c r="J2349">
        <v>1</v>
      </c>
      <c r="K2349">
        <v>4</v>
      </c>
    </row>
    <row r="2350" spans="1:11" x14ac:dyDescent="0.35">
      <c r="A2350" t="s">
        <v>2387</v>
      </c>
      <c r="B2350">
        <v>51</v>
      </c>
      <c r="C2350" t="s">
        <v>12</v>
      </c>
      <c r="D2350" t="s">
        <v>13</v>
      </c>
      <c r="E2350">
        <v>12</v>
      </c>
      <c r="F2350" t="s">
        <v>22</v>
      </c>
      <c r="G2350" t="s">
        <v>34</v>
      </c>
      <c r="H2350" s="1">
        <v>186.98</v>
      </c>
      <c r="I2350" t="s">
        <v>24</v>
      </c>
      <c r="J2350">
        <v>2</v>
      </c>
      <c r="K2350">
        <v>8</v>
      </c>
    </row>
    <row r="2351" spans="1:11" x14ac:dyDescent="0.35">
      <c r="A2351" t="s">
        <v>2388</v>
      </c>
      <c r="B2351">
        <v>23</v>
      </c>
      <c r="C2351" t="s">
        <v>12</v>
      </c>
      <c r="D2351" t="s">
        <v>19</v>
      </c>
      <c r="E2351">
        <v>6</v>
      </c>
      <c r="F2351" t="s">
        <v>14</v>
      </c>
      <c r="G2351" t="s">
        <v>23</v>
      </c>
      <c r="H2351" s="1">
        <v>0</v>
      </c>
      <c r="I2351" t="s">
        <v>16</v>
      </c>
      <c r="J2351">
        <v>1</v>
      </c>
      <c r="K2351">
        <v>9</v>
      </c>
    </row>
    <row r="2352" spans="1:11" x14ac:dyDescent="0.35">
      <c r="A2352" t="s">
        <v>2389</v>
      </c>
      <c r="B2352">
        <v>35</v>
      </c>
      <c r="C2352" t="s">
        <v>18</v>
      </c>
      <c r="D2352" t="s">
        <v>19</v>
      </c>
      <c r="E2352">
        <v>9</v>
      </c>
      <c r="F2352" t="s">
        <v>33</v>
      </c>
      <c r="G2352" t="s">
        <v>23</v>
      </c>
      <c r="H2352" s="1">
        <v>399.14</v>
      </c>
      <c r="I2352" t="s">
        <v>28</v>
      </c>
      <c r="J2352">
        <v>2</v>
      </c>
      <c r="K2352">
        <v>7</v>
      </c>
    </row>
    <row r="2353" spans="1:11" x14ac:dyDescent="0.35">
      <c r="A2353" t="s">
        <v>2390</v>
      </c>
      <c r="B2353">
        <v>47</v>
      </c>
      <c r="C2353" t="s">
        <v>18</v>
      </c>
      <c r="D2353" t="s">
        <v>21</v>
      </c>
      <c r="E2353">
        <v>42</v>
      </c>
      <c r="F2353" t="s">
        <v>26</v>
      </c>
      <c r="G2353" t="s">
        <v>27</v>
      </c>
      <c r="H2353" s="1">
        <v>139.96</v>
      </c>
      <c r="I2353" t="s">
        <v>43</v>
      </c>
      <c r="J2353">
        <v>4</v>
      </c>
      <c r="K2353">
        <v>3</v>
      </c>
    </row>
    <row r="2354" spans="1:11" x14ac:dyDescent="0.35">
      <c r="A2354" t="s">
        <v>2391</v>
      </c>
      <c r="B2354">
        <v>66</v>
      </c>
      <c r="C2354" t="s">
        <v>18</v>
      </c>
      <c r="D2354" t="s">
        <v>19</v>
      </c>
      <c r="E2354">
        <v>11</v>
      </c>
      <c r="F2354" t="s">
        <v>26</v>
      </c>
      <c r="G2354" t="s">
        <v>15</v>
      </c>
      <c r="H2354" s="1">
        <v>88.32</v>
      </c>
      <c r="I2354" t="s">
        <v>24</v>
      </c>
      <c r="J2354">
        <v>1</v>
      </c>
      <c r="K2354">
        <v>7</v>
      </c>
    </row>
    <row r="2355" spans="1:11" x14ac:dyDescent="0.35">
      <c r="A2355" t="s">
        <v>2392</v>
      </c>
      <c r="B2355">
        <v>82</v>
      </c>
      <c r="C2355" t="s">
        <v>12</v>
      </c>
      <c r="D2355" t="s">
        <v>13</v>
      </c>
      <c r="E2355">
        <v>13</v>
      </c>
      <c r="F2355" t="s">
        <v>22</v>
      </c>
      <c r="G2355" t="s">
        <v>34</v>
      </c>
      <c r="H2355" s="1">
        <v>214.55</v>
      </c>
      <c r="I2355" t="s">
        <v>28</v>
      </c>
      <c r="J2355">
        <v>2</v>
      </c>
      <c r="K2355">
        <v>6</v>
      </c>
    </row>
    <row r="2356" spans="1:11" x14ac:dyDescent="0.35">
      <c r="A2356" t="s">
        <v>2393</v>
      </c>
      <c r="B2356">
        <v>42</v>
      </c>
      <c r="C2356" t="s">
        <v>18</v>
      </c>
      <c r="D2356" t="s">
        <v>21</v>
      </c>
      <c r="E2356">
        <v>21</v>
      </c>
      <c r="F2356" t="s">
        <v>31</v>
      </c>
      <c r="G2356" t="s">
        <v>27</v>
      </c>
      <c r="H2356" s="1">
        <v>39.81</v>
      </c>
      <c r="I2356" t="s">
        <v>43</v>
      </c>
      <c r="J2356">
        <v>3</v>
      </c>
      <c r="K2356">
        <v>4</v>
      </c>
    </row>
    <row r="2357" spans="1:11" x14ac:dyDescent="0.35">
      <c r="A2357" t="s">
        <v>2394</v>
      </c>
      <c r="B2357">
        <v>76</v>
      </c>
      <c r="C2357" t="s">
        <v>12</v>
      </c>
      <c r="D2357" t="s">
        <v>57</v>
      </c>
      <c r="E2357">
        <v>17</v>
      </c>
      <c r="F2357" t="s">
        <v>31</v>
      </c>
      <c r="G2357" t="s">
        <v>34</v>
      </c>
      <c r="H2357" s="1">
        <v>198.04</v>
      </c>
      <c r="I2357" t="s">
        <v>28</v>
      </c>
      <c r="J2357">
        <v>3</v>
      </c>
      <c r="K2357">
        <v>5</v>
      </c>
    </row>
    <row r="2358" spans="1:11" x14ac:dyDescent="0.35">
      <c r="A2358" t="s">
        <v>2395</v>
      </c>
      <c r="B2358">
        <v>65</v>
      </c>
      <c r="C2358" t="s">
        <v>18</v>
      </c>
      <c r="D2358" t="s">
        <v>19</v>
      </c>
      <c r="E2358">
        <v>13</v>
      </c>
      <c r="F2358" t="s">
        <v>14</v>
      </c>
      <c r="G2358" t="s">
        <v>23</v>
      </c>
      <c r="H2358" s="1">
        <v>0</v>
      </c>
      <c r="I2358" t="s">
        <v>16</v>
      </c>
      <c r="J2358">
        <v>2</v>
      </c>
      <c r="K2358">
        <v>6</v>
      </c>
    </row>
    <row r="2359" spans="1:11" x14ac:dyDescent="0.35">
      <c r="A2359" t="s">
        <v>2396</v>
      </c>
      <c r="B2359">
        <v>62</v>
      </c>
      <c r="C2359" t="s">
        <v>12</v>
      </c>
      <c r="D2359" t="s">
        <v>30</v>
      </c>
      <c r="E2359">
        <v>10</v>
      </c>
      <c r="F2359" t="s">
        <v>14</v>
      </c>
      <c r="G2359" t="s">
        <v>23</v>
      </c>
      <c r="H2359" s="1">
        <v>0</v>
      </c>
      <c r="I2359" t="s">
        <v>16</v>
      </c>
      <c r="J2359">
        <v>1</v>
      </c>
      <c r="K2359">
        <v>6</v>
      </c>
    </row>
    <row r="2360" spans="1:11" x14ac:dyDescent="0.35">
      <c r="A2360" t="s">
        <v>2397</v>
      </c>
      <c r="B2360">
        <v>79</v>
      </c>
      <c r="C2360" t="s">
        <v>18</v>
      </c>
      <c r="D2360" t="s">
        <v>30</v>
      </c>
      <c r="E2360">
        <v>7</v>
      </c>
      <c r="F2360" t="s">
        <v>22</v>
      </c>
      <c r="G2360" t="s">
        <v>37</v>
      </c>
      <c r="H2360" s="1">
        <v>213.18</v>
      </c>
      <c r="I2360" t="s">
        <v>24</v>
      </c>
      <c r="J2360">
        <v>1</v>
      </c>
      <c r="K2360">
        <v>10</v>
      </c>
    </row>
    <row r="2361" spans="1:11" x14ac:dyDescent="0.35">
      <c r="A2361" t="s">
        <v>2398</v>
      </c>
      <c r="B2361">
        <v>84</v>
      </c>
      <c r="C2361" t="s">
        <v>12</v>
      </c>
      <c r="D2361" t="s">
        <v>57</v>
      </c>
      <c r="E2361">
        <v>15</v>
      </c>
      <c r="F2361" t="s">
        <v>26</v>
      </c>
      <c r="G2361" t="s">
        <v>15</v>
      </c>
      <c r="H2361" s="1">
        <v>174.48</v>
      </c>
      <c r="I2361" t="s">
        <v>28</v>
      </c>
      <c r="J2361">
        <v>2</v>
      </c>
      <c r="K2361">
        <v>8</v>
      </c>
    </row>
    <row r="2362" spans="1:11" x14ac:dyDescent="0.35">
      <c r="A2362" t="s">
        <v>2399</v>
      </c>
      <c r="B2362">
        <v>76</v>
      </c>
      <c r="C2362" t="s">
        <v>12</v>
      </c>
      <c r="D2362" t="s">
        <v>19</v>
      </c>
      <c r="E2362">
        <v>9</v>
      </c>
      <c r="F2362" t="s">
        <v>14</v>
      </c>
      <c r="G2362" t="s">
        <v>27</v>
      </c>
      <c r="H2362" s="1">
        <v>0</v>
      </c>
      <c r="I2362" t="s">
        <v>16</v>
      </c>
      <c r="J2362">
        <v>0</v>
      </c>
      <c r="K2362">
        <v>4</v>
      </c>
    </row>
    <row r="2363" spans="1:11" x14ac:dyDescent="0.35">
      <c r="A2363" t="s">
        <v>2400</v>
      </c>
      <c r="B2363">
        <v>53</v>
      </c>
      <c r="C2363" t="s">
        <v>18</v>
      </c>
      <c r="D2363" t="s">
        <v>19</v>
      </c>
      <c r="E2363">
        <v>22</v>
      </c>
      <c r="F2363" t="s">
        <v>26</v>
      </c>
      <c r="G2363" t="s">
        <v>15</v>
      </c>
      <c r="H2363" s="1">
        <v>120.17</v>
      </c>
      <c r="I2363" t="s">
        <v>24</v>
      </c>
      <c r="J2363">
        <v>1</v>
      </c>
      <c r="K2363">
        <v>3</v>
      </c>
    </row>
    <row r="2364" spans="1:11" x14ac:dyDescent="0.35">
      <c r="A2364" t="s">
        <v>2401</v>
      </c>
      <c r="B2364">
        <v>31</v>
      </c>
      <c r="C2364" t="s">
        <v>12</v>
      </c>
      <c r="D2364" t="s">
        <v>19</v>
      </c>
      <c r="E2364">
        <v>15</v>
      </c>
      <c r="F2364" t="s">
        <v>31</v>
      </c>
      <c r="G2364" t="s">
        <v>37</v>
      </c>
      <c r="H2364" s="1">
        <v>150.63</v>
      </c>
      <c r="I2364" t="s">
        <v>24</v>
      </c>
      <c r="J2364">
        <v>3</v>
      </c>
      <c r="K2364">
        <v>8</v>
      </c>
    </row>
    <row r="2365" spans="1:11" x14ac:dyDescent="0.35">
      <c r="A2365" t="s">
        <v>2402</v>
      </c>
      <c r="B2365">
        <v>78</v>
      </c>
      <c r="C2365" t="s">
        <v>12</v>
      </c>
      <c r="D2365" t="s">
        <v>19</v>
      </c>
      <c r="E2365">
        <v>14</v>
      </c>
      <c r="F2365" t="s">
        <v>31</v>
      </c>
      <c r="G2365" t="s">
        <v>23</v>
      </c>
      <c r="H2365" s="1">
        <v>147.72999999999999</v>
      </c>
      <c r="I2365" t="s">
        <v>24</v>
      </c>
      <c r="J2365">
        <v>1</v>
      </c>
      <c r="K2365">
        <v>5</v>
      </c>
    </row>
    <row r="2366" spans="1:11" x14ac:dyDescent="0.35">
      <c r="A2366" t="s">
        <v>2403</v>
      </c>
      <c r="B2366">
        <v>43</v>
      </c>
      <c r="C2366" t="s">
        <v>12</v>
      </c>
      <c r="D2366" t="s">
        <v>30</v>
      </c>
      <c r="E2366">
        <v>2</v>
      </c>
      <c r="F2366" t="s">
        <v>22</v>
      </c>
      <c r="G2366" t="s">
        <v>23</v>
      </c>
      <c r="H2366" s="1">
        <v>501.37</v>
      </c>
      <c r="I2366" t="s">
        <v>24</v>
      </c>
      <c r="J2366">
        <v>2</v>
      </c>
      <c r="K2366">
        <v>8</v>
      </c>
    </row>
    <row r="2367" spans="1:11" x14ac:dyDescent="0.35">
      <c r="A2367" t="s">
        <v>2404</v>
      </c>
      <c r="B2367">
        <v>82</v>
      </c>
      <c r="C2367" t="s">
        <v>12</v>
      </c>
      <c r="D2367" t="s">
        <v>19</v>
      </c>
      <c r="E2367">
        <v>13</v>
      </c>
      <c r="F2367" t="s">
        <v>22</v>
      </c>
      <c r="G2367" t="s">
        <v>15</v>
      </c>
      <c r="H2367" s="1">
        <v>385.85</v>
      </c>
      <c r="I2367" t="s">
        <v>28</v>
      </c>
      <c r="J2367">
        <v>3</v>
      </c>
      <c r="K2367">
        <v>6</v>
      </c>
    </row>
    <row r="2368" spans="1:11" x14ac:dyDescent="0.35">
      <c r="A2368" t="s">
        <v>2405</v>
      </c>
      <c r="B2368">
        <v>84</v>
      </c>
      <c r="C2368" t="s">
        <v>12</v>
      </c>
      <c r="D2368" t="s">
        <v>21</v>
      </c>
      <c r="E2368">
        <v>34</v>
      </c>
      <c r="F2368" t="s">
        <v>22</v>
      </c>
      <c r="G2368" t="s">
        <v>23</v>
      </c>
      <c r="H2368" s="1">
        <v>184.39</v>
      </c>
      <c r="I2368" t="s">
        <v>24</v>
      </c>
      <c r="J2368">
        <v>2</v>
      </c>
      <c r="K2368">
        <v>4</v>
      </c>
    </row>
    <row r="2369" spans="1:11" x14ac:dyDescent="0.35">
      <c r="A2369" t="s">
        <v>2406</v>
      </c>
      <c r="B2369">
        <v>51</v>
      </c>
      <c r="C2369" t="s">
        <v>12</v>
      </c>
      <c r="D2369" t="s">
        <v>19</v>
      </c>
      <c r="E2369">
        <v>7</v>
      </c>
      <c r="F2369" t="s">
        <v>26</v>
      </c>
      <c r="G2369" t="s">
        <v>37</v>
      </c>
      <c r="H2369" s="1">
        <v>180.03</v>
      </c>
      <c r="I2369" t="s">
        <v>24</v>
      </c>
      <c r="J2369">
        <v>1</v>
      </c>
      <c r="K2369">
        <v>10</v>
      </c>
    </row>
    <row r="2370" spans="1:11" x14ac:dyDescent="0.35">
      <c r="A2370" t="s">
        <v>2407</v>
      </c>
      <c r="B2370">
        <v>72</v>
      </c>
      <c r="C2370" t="s">
        <v>18</v>
      </c>
      <c r="D2370" t="s">
        <v>21</v>
      </c>
      <c r="E2370">
        <v>27</v>
      </c>
      <c r="F2370" t="s">
        <v>33</v>
      </c>
      <c r="G2370" t="s">
        <v>37</v>
      </c>
      <c r="H2370" s="1">
        <v>215.8</v>
      </c>
      <c r="I2370" t="s">
        <v>24</v>
      </c>
      <c r="J2370">
        <v>1</v>
      </c>
      <c r="K2370">
        <v>1</v>
      </c>
    </row>
    <row r="2371" spans="1:11" x14ac:dyDescent="0.35">
      <c r="A2371" t="s">
        <v>2408</v>
      </c>
      <c r="B2371">
        <v>70</v>
      </c>
      <c r="C2371" t="s">
        <v>12</v>
      </c>
      <c r="D2371" t="s">
        <v>19</v>
      </c>
      <c r="E2371">
        <v>19</v>
      </c>
      <c r="F2371" t="s">
        <v>22</v>
      </c>
      <c r="G2371" t="s">
        <v>37</v>
      </c>
      <c r="H2371" s="1">
        <v>159.32</v>
      </c>
      <c r="I2371" t="s">
        <v>28</v>
      </c>
      <c r="J2371">
        <v>4</v>
      </c>
      <c r="K2371">
        <v>1</v>
      </c>
    </row>
    <row r="2372" spans="1:11" x14ac:dyDescent="0.35">
      <c r="A2372" t="s">
        <v>2409</v>
      </c>
      <c r="B2372">
        <v>18</v>
      </c>
      <c r="C2372" t="s">
        <v>12</v>
      </c>
      <c r="D2372" t="s">
        <v>19</v>
      </c>
      <c r="E2372">
        <v>6</v>
      </c>
      <c r="F2372" t="s">
        <v>33</v>
      </c>
      <c r="G2372" t="s">
        <v>34</v>
      </c>
      <c r="H2372" s="1">
        <v>163.77000000000001</v>
      </c>
      <c r="I2372" t="s">
        <v>24</v>
      </c>
      <c r="J2372">
        <v>0</v>
      </c>
      <c r="K2372">
        <v>8</v>
      </c>
    </row>
    <row r="2373" spans="1:11" x14ac:dyDescent="0.35">
      <c r="A2373" t="s">
        <v>2410</v>
      </c>
      <c r="B2373">
        <v>18</v>
      </c>
      <c r="C2373" t="s">
        <v>12</v>
      </c>
      <c r="D2373" t="s">
        <v>30</v>
      </c>
      <c r="E2373">
        <v>12</v>
      </c>
      <c r="F2373" t="s">
        <v>26</v>
      </c>
      <c r="G2373" t="s">
        <v>23</v>
      </c>
      <c r="H2373" s="1">
        <v>219.51</v>
      </c>
      <c r="I2373" t="s">
        <v>28</v>
      </c>
      <c r="J2373">
        <v>1</v>
      </c>
      <c r="K2373">
        <v>8</v>
      </c>
    </row>
    <row r="2374" spans="1:11" x14ac:dyDescent="0.35">
      <c r="A2374" t="s">
        <v>2411</v>
      </c>
      <c r="B2374">
        <v>77</v>
      </c>
      <c r="C2374" t="s">
        <v>18</v>
      </c>
      <c r="D2374" t="s">
        <v>13</v>
      </c>
      <c r="E2374">
        <v>13</v>
      </c>
      <c r="F2374" t="s">
        <v>33</v>
      </c>
      <c r="G2374" t="s">
        <v>34</v>
      </c>
      <c r="H2374" s="1">
        <v>188.09</v>
      </c>
      <c r="I2374" t="s">
        <v>24</v>
      </c>
      <c r="J2374">
        <v>3</v>
      </c>
      <c r="K2374">
        <v>5</v>
      </c>
    </row>
    <row r="2375" spans="1:11" x14ac:dyDescent="0.35">
      <c r="A2375" t="s">
        <v>2412</v>
      </c>
      <c r="B2375">
        <v>85</v>
      </c>
      <c r="C2375" t="s">
        <v>18</v>
      </c>
      <c r="D2375" t="s">
        <v>19</v>
      </c>
      <c r="E2375">
        <v>6</v>
      </c>
      <c r="F2375" t="s">
        <v>31</v>
      </c>
      <c r="G2375" t="s">
        <v>34</v>
      </c>
      <c r="H2375" s="1">
        <v>158.5</v>
      </c>
      <c r="I2375" t="s">
        <v>24</v>
      </c>
      <c r="J2375">
        <v>0</v>
      </c>
      <c r="K2375">
        <v>7</v>
      </c>
    </row>
    <row r="2376" spans="1:11" x14ac:dyDescent="0.35">
      <c r="A2376" t="s">
        <v>2413</v>
      </c>
      <c r="B2376">
        <v>61</v>
      </c>
      <c r="C2376" t="s">
        <v>12</v>
      </c>
      <c r="D2376" t="s">
        <v>41</v>
      </c>
      <c r="E2376">
        <v>14</v>
      </c>
      <c r="F2376" t="s">
        <v>22</v>
      </c>
      <c r="G2376" t="s">
        <v>27</v>
      </c>
      <c r="H2376" s="1">
        <v>167.04</v>
      </c>
      <c r="I2376" t="s">
        <v>24</v>
      </c>
      <c r="J2376">
        <v>2</v>
      </c>
      <c r="K2376">
        <v>6</v>
      </c>
    </row>
    <row r="2377" spans="1:11" x14ac:dyDescent="0.35">
      <c r="A2377" t="s">
        <v>2414</v>
      </c>
      <c r="B2377">
        <v>27</v>
      </c>
      <c r="C2377" t="s">
        <v>18</v>
      </c>
      <c r="D2377" t="s">
        <v>19</v>
      </c>
      <c r="E2377">
        <v>21</v>
      </c>
      <c r="F2377" t="s">
        <v>33</v>
      </c>
      <c r="G2377" t="s">
        <v>23</v>
      </c>
      <c r="H2377" s="1">
        <v>76.239999999999995</v>
      </c>
      <c r="I2377" t="s">
        <v>24</v>
      </c>
      <c r="J2377">
        <v>0</v>
      </c>
      <c r="K2377">
        <v>1</v>
      </c>
    </row>
    <row r="2378" spans="1:11" x14ac:dyDescent="0.35">
      <c r="A2378" t="s">
        <v>2415</v>
      </c>
      <c r="B2378">
        <v>25</v>
      </c>
      <c r="C2378" t="s">
        <v>18</v>
      </c>
      <c r="D2378" t="s">
        <v>30</v>
      </c>
      <c r="E2378">
        <v>10</v>
      </c>
      <c r="F2378" t="s">
        <v>33</v>
      </c>
      <c r="G2378" t="s">
        <v>37</v>
      </c>
      <c r="H2378" s="1">
        <v>119.49</v>
      </c>
      <c r="I2378" t="s">
        <v>24</v>
      </c>
      <c r="J2378">
        <v>2</v>
      </c>
      <c r="K2378">
        <v>5</v>
      </c>
    </row>
    <row r="2379" spans="1:11" x14ac:dyDescent="0.35">
      <c r="A2379" t="s">
        <v>2416</v>
      </c>
      <c r="B2379">
        <v>84</v>
      </c>
      <c r="C2379" t="s">
        <v>18</v>
      </c>
      <c r="D2379" t="s">
        <v>244</v>
      </c>
      <c r="E2379">
        <v>21</v>
      </c>
      <c r="F2379" t="s">
        <v>26</v>
      </c>
      <c r="G2379" t="s">
        <v>37</v>
      </c>
      <c r="H2379" s="1">
        <v>181.59</v>
      </c>
      <c r="I2379" t="s">
        <v>43</v>
      </c>
      <c r="J2379">
        <v>0</v>
      </c>
      <c r="K2379">
        <v>3</v>
      </c>
    </row>
    <row r="2380" spans="1:11" x14ac:dyDescent="0.35">
      <c r="A2380" t="s">
        <v>2417</v>
      </c>
      <c r="B2380">
        <v>57</v>
      </c>
      <c r="C2380" t="s">
        <v>189</v>
      </c>
      <c r="D2380" t="s">
        <v>19</v>
      </c>
      <c r="E2380">
        <v>22</v>
      </c>
      <c r="F2380" t="s">
        <v>14</v>
      </c>
      <c r="G2380" t="s">
        <v>37</v>
      </c>
      <c r="H2380" s="1">
        <v>0</v>
      </c>
      <c r="I2380" t="s">
        <v>16</v>
      </c>
      <c r="J2380">
        <v>1</v>
      </c>
      <c r="K2380">
        <v>2</v>
      </c>
    </row>
    <row r="2381" spans="1:11" x14ac:dyDescent="0.35">
      <c r="A2381" t="s">
        <v>2418</v>
      </c>
      <c r="B2381">
        <v>61</v>
      </c>
      <c r="C2381" t="s">
        <v>12</v>
      </c>
      <c r="D2381" t="s">
        <v>13</v>
      </c>
      <c r="E2381">
        <v>24</v>
      </c>
      <c r="F2381" t="s">
        <v>14</v>
      </c>
      <c r="G2381" t="s">
        <v>27</v>
      </c>
      <c r="H2381" s="1">
        <v>0</v>
      </c>
      <c r="I2381" t="s">
        <v>16</v>
      </c>
      <c r="J2381">
        <v>2</v>
      </c>
      <c r="K2381">
        <v>4</v>
      </c>
    </row>
    <row r="2382" spans="1:11" x14ac:dyDescent="0.35">
      <c r="A2382" t="s">
        <v>2419</v>
      </c>
      <c r="B2382">
        <v>18</v>
      </c>
      <c r="C2382" t="s">
        <v>12</v>
      </c>
      <c r="D2382" t="s">
        <v>30</v>
      </c>
      <c r="E2382">
        <v>6</v>
      </c>
      <c r="F2382" t="s">
        <v>31</v>
      </c>
      <c r="G2382" t="s">
        <v>15</v>
      </c>
      <c r="H2382" s="1">
        <v>196.36</v>
      </c>
      <c r="I2382" t="s">
        <v>28</v>
      </c>
      <c r="J2382">
        <v>0</v>
      </c>
      <c r="K2382">
        <v>9</v>
      </c>
    </row>
    <row r="2383" spans="1:11" x14ac:dyDescent="0.35">
      <c r="A2383" t="s">
        <v>2420</v>
      </c>
      <c r="B2383">
        <v>63</v>
      </c>
      <c r="C2383" t="s">
        <v>12</v>
      </c>
      <c r="D2383" t="s">
        <v>41</v>
      </c>
      <c r="E2383">
        <v>10</v>
      </c>
      <c r="F2383" t="s">
        <v>33</v>
      </c>
      <c r="G2383" t="s">
        <v>27</v>
      </c>
      <c r="H2383" s="1">
        <v>81.17</v>
      </c>
      <c r="I2383" t="s">
        <v>24</v>
      </c>
      <c r="J2383">
        <v>1</v>
      </c>
      <c r="K2383">
        <v>6</v>
      </c>
    </row>
    <row r="2384" spans="1:11" x14ac:dyDescent="0.35">
      <c r="A2384" t="s">
        <v>2421</v>
      </c>
      <c r="B2384">
        <v>74</v>
      </c>
      <c r="C2384" t="s">
        <v>12</v>
      </c>
      <c r="D2384" t="s">
        <v>19</v>
      </c>
      <c r="E2384">
        <v>16</v>
      </c>
      <c r="F2384" t="s">
        <v>22</v>
      </c>
      <c r="G2384" t="s">
        <v>15</v>
      </c>
      <c r="H2384" s="1">
        <v>420.54</v>
      </c>
      <c r="I2384" t="s">
        <v>24</v>
      </c>
      <c r="J2384">
        <v>2</v>
      </c>
      <c r="K2384">
        <v>8</v>
      </c>
    </row>
    <row r="2385" spans="1:11" x14ac:dyDescent="0.35">
      <c r="A2385" t="s">
        <v>2422</v>
      </c>
      <c r="B2385">
        <v>55</v>
      </c>
      <c r="C2385" t="s">
        <v>12</v>
      </c>
      <c r="D2385" t="s">
        <v>19</v>
      </c>
      <c r="E2385">
        <v>19</v>
      </c>
      <c r="F2385" t="s">
        <v>31</v>
      </c>
      <c r="G2385" t="s">
        <v>15</v>
      </c>
      <c r="H2385" s="1">
        <v>381.39</v>
      </c>
      <c r="I2385" t="s">
        <v>24</v>
      </c>
      <c r="J2385">
        <v>0</v>
      </c>
      <c r="K2385">
        <v>5</v>
      </c>
    </row>
    <row r="2386" spans="1:11" x14ac:dyDescent="0.35">
      <c r="A2386" t="s">
        <v>2423</v>
      </c>
      <c r="B2386">
        <v>76</v>
      </c>
      <c r="C2386" t="s">
        <v>12</v>
      </c>
      <c r="D2386" t="s">
        <v>19</v>
      </c>
      <c r="E2386">
        <v>19</v>
      </c>
      <c r="F2386" t="s">
        <v>22</v>
      </c>
      <c r="G2386" t="s">
        <v>37</v>
      </c>
      <c r="H2386" s="1">
        <v>201.06</v>
      </c>
      <c r="I2386" t="s">
        <v>24</v>
      </c>
      <c r="J2386">
        <v>3</v>
      </c>
      <c r="K2386">
        <v>2</v>
      </c>
    </row>
    <row r="2387" spans="1:11" x14ac:dyDescent="0.35">
      <c r="A2387" t="s">
        <v>2424</v>
      </c>
      <c r="B2387">
        <v>41</v>
      </c>
      <c r="C2387" t="s">
        <v>12</v>
      </c>
      <c r="D2387" t="s">
        <v>47</v>
      </c>
      <c r="E2387">
        <v>4</v>
      </c>
      <c r="F2387" t="s">
        <v>31</v>
      </c>
      <c r="G2387" t="s">
        <v>23</v>
      </c>
      <c r="H2387" s="1">
        <v>560.62</v>
      </c>
      <c r="I2387" t="s">
        <v>24</v>
      </c>
      <c r="J2387">
        <v>0</v>
      </c>
      <c r="K2387">
        <v>10</v>
      </c>
    </row>
    <row r="2388" spans="1:11" x14ac:dyDescent="0.35">
      <c r="A2388" t="s">
        <v>2425</v>
      </c>
      <c r="B2388">
        <v>44</v>
      </c>
      <c r="C2388" t="s">
        <v>18</v>
      </c>
      <c r="D2388" t="s">
        <v>19</v>
      </c>
      <c r="E2388">
        <v>19</v>
      </c>
      <c r="F2388" t="s">
        <v>26</v>
      </c>
      <c r="G2388" t="s">
        <v>37</v>
      </c>
      <c r="H2388" s="1">
        <v>176.22</v>
      </c>
      <c r="I2388" t="s">
        <v>24</v>
      </c>
      <c r="J2388">
        <v>4</v>
      </c>
      <c r="K2388">
        <v>5</v>
      </c>
    </row>
    <row r="2389" spans="1:11" x14ac:dyDescent="0.35">
      <c r="A2389" t="s">
        <v>2426</v>
      </c>
      <c r="B2389">
        <v>57</v>
      </c>
      <c r="C2389" t="s">
        <v>12</v>
      </c>
      <c r="D2389" t="s">
        <v>21</v>
      </c>
      <c r="E2389">
        <v>46</v>
      </c>
      <c r="F2389" t="s">
        <v>22</v>
      </c>
      <c r="G2389" t="s">
        <v>34</v>
      </c>
      <c r="H2389" s="1">
        <v>150.6</v>
      </c>
      <c r="I2389" t="s">
        <v>28</v>
      </c>
      <c r="J2389">
        <v>3</v>
      </c>
      <c r="K2389">
        <v>2</v>
      </c>
    </row>
    <row r="2390" spans="1:11" x14ac:dyDescent="0.35">
      <c r="A2390" t="s">
        <v>2427</v>
      </c>
      <c r="B2390">
        <v>70</v>
      </c>
      <c r="C2390" t="s">
        <v>18</v>
      </c>
      <c r="D2390" t="s">
        <v>19</v>
      </c>
      <c r="E2390">
        <v>11</v>
      </c>
      <c r="F2390" t="s">
        <v>26</v>
      </c>
      <c r="G2390" t="s">
        <v>34</v>
      </c>
      <c r="H2390" s="1">
        <v>197.29</v>
      </c>
      <c r="I2390" t="s">
        <v>43</v>
      </c>
      <c r="J2390">
        <v>2</v>
      </c>
      <c r="K2390">
        <v>5</v>
      </c>
    </row>
    <row r="2391" spans="1:11" x14ac:dyDescent="0.35">
      <c r="A2391" t="s">
        <v>2428</v>
      </c>
      <c r="B2391">
        <v>41</v>
      </c>
      <c r="C2391" t="s">
        <v>12</v>
      </c>
      <c r="D2391" t="s">
        <v>30</v>
      </c>
      <c r="E2391">
        <v>10</v>
      </c>
      <c r="F2391" t="s">
        <v>31</v>
      </c>
      <c r="G2391" t="s">
        <v>34</v>
      </c>
      <c r="H2391" s="1">
        <v>140.44</v>
      </c>
      <c r="I2391" t="s">
        <v>24</v>
      </c>
      <c r="J2391">
        <v>1</v>
      </c>
      <c r="K2391">
        <v>8</v>
      </c>
    </row>
    <row r="2392" spans="1:11" x14ac:dyDescent="0.35">
      <c r="A2392" t="s">
        <v>2429</v>
      </c>
      <c r="B2392">
        <v>41</v>
      </c>
      <c r="C2392" t="s">
        <v>12</v>
      </c>
      <c r="D2392" t="s">
        <v>21</v>
      </c>
      <c r="E2392">
        <v>35</v>
      </c>
      <c r="F2392" t="s">
        <v>33</v>
      </c>
      <c r="G2392" t="s">
        <v>34</v>
      </c>
      <c r="H2392" s="1">
        <v>123.19</v>
      </c>
      <c r="I2392" t="s">
        <v>24</v>
      </c>
      <c r="J2392">
        <v>4</v>
      </c>
      <c r="K2392">
        <v>5</v>
      </c>
    </row>
    <row r="2393" spans="1:11" x14ac:dyDescent="0.35">
      <c r="A2393" t="s">
        <v>2430</v>
      </c>
      <c r="B2393">
        <v>45</v>
      </c>
      <c r="C2393" t="s">
        <v>12</v>
      </c>
      <c r="D2393" t="s">
        <v>19</v>
      </c>
      <c r="E2393">
        <v>22</v>
      </c>
      <c r="F2393" t="s">
        <v>14</v>
      </c>
      <c r="G2393" t="s">
        <v>37</v>
      </c>
      <c r="H2393" s="1">
        <v>0</v>
      </c>
      <c r="I2393" t="s">
        <v>16</v>
      </c>
      <c r="J2393">
        <v>1</v>
      </c>
      <c r="K2393">
        <v>3</v>
      </c>
    </row>
    <row r="2394" spans="1:11" x14ac:dyDescent="0.35">
      <c r="A2394" t="s">
        <v>2431</v>
      </c>
      <c r="B2394">
        <v>26</v>
      </c>
      <c r="C2394" t="s">
        <v>12</v>
      </c>
      <c r="D2394" t="s">
        <v>47</v>
      </c>
      <c r="E2394">
        <v>14</v>
      </c>
      <c r="F2394" t="s">
        <v>33</v>
      </c>
      <c r="G2394" t="s">
        <v>23</v>
      </c>
      <c r="H2394" s="1">
        <v>550.27</v>
      </c>
      <c r="I2394" t="s">
        <v>43</v>
      </c>
      <c r="J2394">
        <v>1</v>
      </c>
      <c r="K2394">
        <v>8</v>
      </c>
    </row>
    <row r="2395" spans="1:11" x14ac:dyDescent="0.35">
      <c r="A2395" t="s">
        <v>2432</v>
      </c>
      <c r="B2395">
        <v>55</v>
      </c>
      <c r="C2395" t="s">
        <v>12</v>
      </c>
      <c r="D2395" t="s">
        <v>13</v>
      </c>
      <c r="E2395">
        <v>8</v>
      </c>
      <c r="F2395" t="s">
        <v>14</v>
      </c>
      <c r="G2395" t="s">
        <v>34</v>
      </c>
      <c r="H2395" s="1">
        <v>0</v>
      </c>
      <c r="I2395" t="s">
        <v>16</v>
      </c>
      <c r="J2395">
        <v>0</v>
      </c>
      <c r="K2395">
        <v>8</v>
      </c>
    </row>
    <row r="2396" spans="1:11" x14ac:dyDescent="0.35">
      <c r="A2396" t="s">
        <v>2433</v>
      </c>
      <c r="B2396">
        <v>21</v>
      </c>
      <c r="C2396" t="s">
        <v>18</v>
      </c>
      <c r="D2396" t="s">
        <v>21</v>
      </c>
      <c r="E2396">
        <v>48</v>
      </c>
      <c r="F2396" t="s">
        <v>31</v>
      </c>
      <c r="G2396" t="s">
        <v>15</v>
      </c>
      <c r="H2396" s="1">
        <v>201.71</v>
      </c>
      <c r="I2396" t="s">
        <v>24</v>
      </c>
      <c r="J2396">
        <v>2</v>
      </c>
      <c r="K2396">
        <v>3</v>
      </c>
    </row>
    <row r="2397" spans="1:11" x14ac:dyDescent="0.35">
      <c r="A2397" t="s">
        <v>2434</v>
      </c>
      <c r="B2397">
        <v>51</v>
      </c>
      <c r="C2397" t="s">
        <v>12</v>
      </c>
      <c r="D2397" t="s">
        <v>21</v>
      </c>
      <c r="E2397">
        <v>16</v>
      </c>
      <c r="F2397" t="s">
        <v>22</v>
      </c>
      <c r="G2397" t="s">
        <v>34</v>
      </c>
      <c r="H2397" s="1">
        <v>149.93</v>
      </c>
      <c r="I2397" t="s">
        <v>24</v>
      </c>
      <c r="J2397">
        <v>1</v>
      </c>
      <c r="K2397">
        <v>6</v>
      </c>
    </row>
    <row r="2398" spans="1:11" x14ac:dyDescent="0.35">
      <c r="A2398" t="s">
        <v>2435</v>
      </c>
      <c r="B2398">
        <v>42</v>
      </c>
      <c r="C2398" t="s">
        <v>18</v>
      </c>
      <c r="D2398" t="s">
        <v>21</v>
      </c>
      <c r="E2398">
        <v>23</v>
      </c>
      <c r="F2398" t="s">
        <v>33</v>
      </c>
      <c r="G2398" t="s">
        <v>15</v>
      </c>
      <c r="H2398" s="1">
        <v>171.62</v>
      </c>
      <c r="I2398" t="s">
        <v>24</v>
      </c>
      <c r="J2398">
        <v>2</v>
      </c>
      <c r="K2398">
        <v>2</v>
      </c>
    </row>
    <row r="2399" spans="1:11" x14ac:dyDescent="0.35">
      <c r="A2399" t="s">
        <v>2436</v>
      </c>
      <c r="B2399">
        <v>29</v>
      </c>
      <c r="C2399" t="s">
        <v>12</v>
      </c>
      <c r="D2399" t="s">
        <v>13</v>
      </c>
      <c r="E2399">
        <v>15</v>
      </c>
      <c r="F2399" t="s">
        <v>26</v>
      </c>
      <c r="G2399" t="s">
        <v>34</v>
      </c>
      <c r="H2399" s="1">
        <v>93.84</v>
      </c>
      <c r="I2399" t="s">
        <v>24</v>
      </c>
      <c r="J2399">
        <v>0</v>
      </c>
      <c r="K2399">
        <v>4</v>
      </c>
    </row>
    <row r="2400" spans="1:11" x14ac:dyDescent="0.35">
      <c r="A2400" t="s">
        <v>2437</v>
      </c>
      <c r="B2400">
        <v>70</v>
      </c>
      <c r="C2400" t="s">
        <v>18</v>
      </c>
      <c r="D2400" t="s">
        <v>21</v>
      </c>
      <c r="E2400">
        <v>28</v>
      </c>
      <c r="F2400" t="s">
        <v>33</v>
      </c>
      <c r="G2400" t="s">
        <v>37</v>
      </c>
      <c r="H2400" s="1">
        <v>206.9</v>
      </c>
      <c r="I2400" t="s">
        <v>24</v>
      </c>
      <c r="J2400">
        <v>1</v>
      </c>
      <c r="K2400">
        <v>5</v>
      </c>
    </row>
    <row r="2401" spans="1:11" x14ac:dyDescent="0.35">
      <c r="A2401" t="s">
        <v>2438</v>
      </c>
      <c r="B2401">
        <v>35</v>
      </c>
      <c r="C2401" t="s">
        <v>18</v>
      </c>
      <c r="D2401" t="s">
        <v>21</v>
      </c>
      <c r="E2401">
        <v>28</v>
      </c>
      <c r="F2401" t="s">
        <v>22</v>
      </c>
      <c r="G2401" t="s">
        <v>27</v>
      </c>
      <c r="H2401" s="1">
        <v>66.72</v>
      </c>
      <c r="I2401" t="s">
        <v>43</v>
      </c>
      <c r="J2401">
        <v>2</v>
      </c>
      <c r="K2401">
        <v>1</v>
      </c>
    </row>
    <row r="2402" spans="1:11" x14ac:dyDescent="0.35">
      <c r="A2402" t="s">
        <v>2439</v>
      </c>
      <c r="B2402">
        <v>56</v>
      </c>
      <c r="C2402" t="s">
        <v>12</v>
      </c>
      <c r="D2402" t="s">
        <v>120</v>
      </c>
      <c r="E2402">
        <v>16</v>
      </c>
      <c r="F2402" t="s">
        <v>26</v>
      </c>
      <c r="G2402" t="s">
        <v>37</v>
      </c>
      <c r="H2402" s="1">
        <v>161.13999999999999</v>
      </c>
      <c r="I2402" t="s">
        <v>24</v>
      </c>
      <c r="J2402">
        <v>1</v>
      </c>
      <c r="K2402">
        <v>4</v>
      </c>
    </row>
    <row r="2403" spans="1:11" x14ac:dyDescent="0.35">
      <c r="A2403" t="s">
        <v>2440</v>
      </c>
      <c r="B2403">
        <v>54</v>
      </c>
      <c r="C2403" t="s">
        <v>18</v>
      </c>
      <c r="D2403" t="s">
        <v>19</v>
      </c>
      <c r="E2403">
        <v>17</v>
      </c>
      <c r="F2403" t="s">
        <v>26</v>
      </c>
      <c r="G2403" t="s">
        <v>34</v>
      </c>
      <c r="H2403" s="1">
        <v>195.39</v>
      </c>
      <c r="I2403" t="s">
        <v>24</v>
      </c>
      <c r="J2403">
        <v>0</v>
      </c>
      <c r="K2403">
        <v>6</v>
      </c>
    </row>
    <row r="2404" spans="1:11" x14ac:dyDescent="0.35">
      <c r="A2404" t="s">
        <v>2441</v>
      </c>
      <c r="B2404">
        <v>41</v>
      </c>
      <c r="C2404" t="s">
        <v>12</v>
      </c>
      <c r="D2404" t="s">
        <v>21</v>
      </c>
      <c r="E2404">
        <v>45</v>
      </c>
      <c r="F2404" t="s">
        <v>33</v>
      </c>
      <c r="G2404" t="s">
        <v>23</v>
      </c>
      <c r="H2404" s="1">
        <v>394.34</v>
      </c>
      <c r="I2404" t="s">
        <v>28</v>
      </c>
      <c r="J2404">
        <v>2</v>
      </c>
      <c r="K2404">
        <v>1</v>
      </c>
    </row>
    <row r="2405" spans="1:11" x14ac:dyDescent="0.35">
      <c r="A2405" t="s">
        <v>2442</v>
      </c>
      <c r="B2405">
        <v>29</v>
      </c>
      <c r="C2405" t="s">
        <v>12</v>
      </c>
      <c r="D2405" t="s">
        <v>21</v>
      </c>
      <c r="E2405">
        <v>44</v>
      </c>
      <c r="F2405" t="s">
        <v>33</v>
      </c>
      <c r="G2405" t="s">
        <v>37</v>
      </c>
      <c r="H2405" s="1">
        <v>216.66</v>
      </c>
      <c r="I2405" t="s">
        <v>24</v>
      </c>
      <c r="J2405">
        <v>2</v>
      </c>
      <c r="K2405">
        <v>2</v>
      </c>
    </row>
    <row r="2406" spans="1:11" x14ac:dyDescent="0.35">
      <c r="A2406" t="s">
        <v>2443</v>
      </c>
      <c r="B2406">
        <v>73</v>
      </c>
      <c r="C2406" t="s">
        <v>18</v>
      </c>
      <c r="D2406" t="s">
        <v>13</v>
      </c>
      <c r="E2406">
        <v>16</v>
      </c>
      <c r="F2406" t="s">
        <v>33</v>
      </c>
      <c r="G2406" t="s">
        <v>15</v>
      </c>
      <c r="H2406" s="1">
        <v>274.43</v>
      </c>
      <c r="I2406" t="s">
        <v>24</v>
      </c>
      <c r="J2406">
        <v>0</v>
      </c>
      <c r="K2406">
        <v>8</v>
      </c>
    </row>
    <row r="2407" spans="1:11" x14ac:dyDescent="0.35">
      <c r="A2407" t="s">
        <v>2444</v>
      </c>
      <c r="B2407">
        <v>51</v>
      </c>
      <c r="C2407" t="s">
        <v>18</v>
      </c>
      <c r="D2407" t="s">
        <v>30</v>
      </c>
      <c r="E2407">
        <v>11</v>
      </c>
      <c r="F2407" t="s">
        <v>31</v>
      </c>
      <c r="G2407" t="s">
        <v>23</v>
      </c>
      <c r="H2407" s="1">
        <v>343.92</v>
      </c>
      <c r="I2407" t="s">
        <v>43</v>
      </c>
      <c r="J2407">
        <v>0</v>
      </c>
      <c r="K2407">
        <v>8</v>
      </c>
    </row>
    <row r="2408" spans="1:11" x14ac:dyDescent="0.35">
      <c r="A2408" t="s">
        <v>2445</v>
      </c>
      <c r="B2408">
        <v>69</v>
      </c>
      <c r="C2408" t="s">
        <v>12</v>
      </c>
      <c r="D2408" t="s">
        <v>19</v>
      </c>
      <c r="E2408">
        <v>12</v>
      </c>
      <c r="F2408" t="s">
        <v>22</v>
      </c>
      <c r="G2408" t="s">
        <v>37</v>
      </c>
      <c r="H2408" s="1">
        <v>213.71</v>
      </c>
      <c r="I2408" t="s">
        <v>28</v>
      </c>
      <c r="J2408">
        <v>1</v>
      </c>
      <c r="K2408">
        <v>6</v>
      </c>
    </row>
    <row r="2409" spans="1:11" x14ac:dyDescent="0.35">
      <c r="A2409" t="s">
        <v>2446</v>
      </c>
      <c r="B2409">
        <v>26</v>
      </c>
      <c r="C2409" t="s">
        <v>12</v>
      </c>
      <c r="D2409" t="s">
        <v>19</v>
      </c>
      <c r="E2409">
        <v>23</v>
      </c>
      <c r="F2409" t="s">
        <v>33</v>
      </c>
      <c r="G2409" t="s">
        <v>37</v>
      </c>
      <c r="H2409" s="1">
        <v>171.1</v>
      </c>
      <c r="I2409" t="s">
        <v>24</v>
      </c>
      <c r="J2409">
        <v>2</v>
      </c>
      <c r="K2409">
        <v>2</v>
      </c>
    </row>
    <row r="2410" spans="1:11" x14ac:dyDescent="0.35">
      <c r="A2410" t="s">
        <v>2447</v>
      </c>
      <c r="B2410">
        <v>73</v>
      </c>
      <c r="C2410" t="s">
        <v>18</v>
      </c>
      <c r="D2410" t="s">
        <v>200</v>
      </c>
      <c r="E2410">
        <v>6</v>
      </c>
      <c r="F2410" t="s">
        <v>22</v>
      </c>
      <c r="G2410" t="s">
        <v>37</v>
      </c>
      <c r="H2410" s="1">
        <v>166.11</v>
      </c>
      <c r="I2410" t="s">
        <v>24</v>
      </c>
      <c r="J2410">
        <v>1</v>
      </c>
      <c r="K2410">
        <v>9</v>
      </c>
    </row>
    <row r="2411" spans="1:11" x14ac:dyDescent="0.35">
      <c r="A2411" t="s">
        <v>2448</v>
      </c>
      <c r="B2411">
        <v>22</v>
      </c>
      <c r="C2411" t="s">
        <v>12</v>
      </c>
      <c r="D2411" t="s">
        <v>19</v>
      </c>
      <c r="E2411">
        <v>10</v>
      </c>
      <c r="F2411" t="s">
        <v>26</v>
      </c>
      <c r="G2411" t="s">
        <v>37</v>
      </c>
      <c r="H2411" s="1">
        <v>109.26</v>
      </c>
      <c r="I2411" t="s">
        <v>24</v>
      </c>
      <c r="J2411">
        <v>0</v>
      </c>
      <c r="K2411">
        <v>6</v>
      </c>
    </row>
    <row r="2412" spans="1:11" x14ac:dyDescent="0.35">
      <c r="A2412" t="s">
        <v>2449</v>
      </c>
      <c r="B2412">
        <v>84</v>
      </c>
      <c r="C2412" t="s">
        <v>12</v>
      </c>
      <c r="D2412" t="s">
        <v>41</v>
      </c>
      <c r="E2412">
        <v>6</v>
      </c>
      <c r="F2412" t="s">
        <v>31</v>
      </c>
      <c r="G2412" t="s">
        <v>34</v>
      </c>
      <c r="H2412" s="1">
        <v>178.09</v>
      </c>
      <c r="I2412" t="s">
        <v>24</v>
      </c>
      <c r="J2412">
        <v>0</v>
      </c>
      <c r="K2412">
        <v>9</v>
      </c>
    </row>
    <row r="2413" spans="1:11" x14ac:dyDescent="0.35">
      <c r="A2413" t="s">
        <v>2450</v>
      </c>
      <c r="B2413">
        <v>40</v>
      </c>
      <c r="C2413" t="s">
        <v>12</v>
      </c>
      <c r="D2413" t="s">
        <v>21</v>
      </c>
      <c r="E2413">
        <v>26</v>
      </c>
      <c r="F2413" t="s">
        <v>31</v>
      </c>
      <c r="G2413" t="s">
        <v>34</v>
      </c>
      <c r="H2413" s="1">
        <v>92.14</v>
      </c>
      <c r="I2413" t="s">
        <v>24</v>
      </c>
      <c r="J2413">
        <v>4</v>
      </c>
      <c r="K2413">
        <v>1</v>
      </c>
    </row>
    <row r="2414" spans="1:11" x14ac:dyDescent="0.35">
      <c r="A2414" t="s">
        <v>2451</v>
      </c>
      <c r="B2414">
        <v>22</v>
      </c>
      <c r="C2414" t="s">
        <v>18</v>
      </c>
      <c r="D2414" t="s">
        <v>21</v>
      </c>
      <c r="E2414">
        <v>25</v>
      </c>
      <c r="F2414" t="s">
        <v>22</v>
      </c>
      <c r="G2414" t="s">
        <v>15</v>
      </c>
      <c r="H2414" s="1">
        <v>184.57</v>
      </c>
      <c r="I2414" t="s">
        <v>24</v>
      </c>
      <c r="J2414">
        <v>1</v>
      </c>
      <c r="K2414">
        <v>1</v>
      </c>
    </row>
    <row r="2415" spans="1:11" x14ac:dyDescent="0.35">
      <c r="A2415" t="s">
        <v>2452</v>
      </c>
      <c r="B2415">
        <v>42</v>
      </c>
      <c r="C2415" t="s">
        <v>18</v>
      </c>
      <c r="D2415" t="s">
        <v>21</v>
      </c>
      <c r="E2415">
        <v>41</v>
      </c>
      <c r="F2415" t="s">
        <v>14</v>
      </c>
      <c r="G2415" t="s">
        <v>15</v>
      </c>
      <c r="H2415" s="1">
        <v>0</v>
      </c>
      <c r="I2415" t="s">
        <v>16</v>
      </c>
      <c r="J2415">
        <v>3</v>
      </c>
      <c r="K2415">
        <v>4</v>
      </c>
    </row>
    <row r="2416" spans="1:11" x14ac:dyDescent="0.35">
      <c r="A2416" t="s">
        <v>2453</v>
      </c>
      <c r="B2416">
        <v>71</v>
      </c>
      <c r="C2416" t="s">
        <v>12</v>
      </c>
      <c r="D2416" t="s">
        <v>13</v>
      </c>
      <c r="E2416">
        <v>7</v>
      </c>
      <c r="F2416" t="s">
        <v>14</v>
      </c>
      <c r="G2416" t="s">
        <v>23</v>
      </c>
      <c r="H2416" s="1">
        <v>0</v>
      </c>
      <c r="I2416" t="s">
        <v>16</v>
      </c>
      <c r="J2416">
        <v>1</v>
      </c>
      <c r="K2416">
        <v>7</v>
      </c>
    </row>
    <row r="2417" spans="1:11" x14ac:dyDescent="0.35">
      <c r="A2417" t="s">
        <v>2454</v>
      </c>
      <c r="B2417">
        <v>36</v>
      </c>
      <c r="C2417" t="s">
        <v>12</v>
      </c>
      <c r="D2417" t="s">
        <v>30</v>
      </c>
      <c r="E2417">
        <v>11</v>
      </c>
      <c r="F2417" t="s">
        <v>26</v>
      </c>
      <c r="G2417" t="s">
        <v>15</v>
      </c>
      <c r="H2417" s="1">
        <v>327.99</v>
      </c>
      <c r="I2417" t="s">
        <v>24</v>
      </c>
      <c r="J2417">
        <v>1</v>
      </c>
      <c r="K2417">
        <v>6</v>
      </c>
    </row>
    <row r="2418" spans="1:11" x14ac:dyDescent="0.35">
      <c r="A2418" t="s">
        <v>2455</v>
      </c>
      <c r="B2418">
        <v>59</v>
      </c>
      <c r="C2418" t="s">
        <v>18</v>
      </c>
      <c r="D2418" t="s">
        <v>21</v>
      </c>
      <c r="E2418">
        <v>23</v>
      </c>
      <c r="F2418" t="s">
        <v>31</v>
      </c>
      <c r="G2418" t="s">
        <v>23</v>
      </c>
      <c r="H2418" s="1">
        <v>523.75</v>
      </c>
      <c r="I2418" t="s">
        <v>24</v>
      </c>
      <c r="J2418">
        <v>3</v>
      </c>
      <c r="K2418">
        <v>1</v>
      </c>
    </row>
    <row r="2419" spans="1:11" x14ac:dyDescent="0.35">
      <c r="A2419" t="s">
        <v>2456</v>
      </c>
      <c r="B2419">
        <v>18</v>
      </c>
      <c r="C2419" t="s">
        <v>18</v>
      </c>
      <c r="D2419" t="s">
        <v>19</v>
      </c>
      <c r="E2419">
        <v>10</v>
      </c>
      <c r="F2419" t="s">
        <v>33</v>
      </c>
      <c r="G2419" t="s">
        <v>15</v>
      </c>
      <c r="H2419" s="1">
        <v>169.76</v>
      </c>
      <c r="I2419" t="s">
        <v>24</v>
      </c>
      <c r="J2419">
        <v>2</v>
      </c>
      <c r="K2419">
        <v>8</v>
      </c>
    </row>
    <row r="2420" spans="1:11" x14ac:dyDescent="0.35">
      <c r="A2420" t="s">
        <v>2457</v>
      </c>
      <c r="B2420">
        <v>38</v>
      </c>
      <c r="C2420" t="s">
        <v>12</v>
      </c>
      <c r="D2420" t="s">
        <v>21</v>
      </c>
      <c r="E2420">
        <v>48</v>
      </c>
      <c r="F2420" t="s">
        <v>31</v>
      </c>
      <c r="G2420" t="s">
        <v>15</v>
      </c>
      <c r="H2420" s="1">
        <v>188.74</v>
      </c>
      <c r="I2420" t="s">
        <v>24</v>
      </c>
      <c r="J2420">
        <v>3</v>
      </c>
      <c r="K2420">
        <v>4</v>
      </c>
    </row>
    <row r="2421" spans="1:11" x14ac:dyDescent="0.35">
      <c r="A2421" t="s">
        <v>2458</v>
      </c>
      <c r="B2421">
        <v>29</v>
      </c>
      <c r="C2421" t="s">
        <v>18</v>
      </c>
      <c r="D2421" t="s">
        <v>21</v>
      </c>
      <c r="E2421">
        <v>12</v>
      </c>
      <c r="F2421" t="s">
        <v>33</v>
      </c>
      <c r="G2421" t="s">
        <v>27</v>
      </c>
      <c r="H2421" s="1">
        <v>24.39</v>
      </c>
      <c r="I2421" t="s">
        <v>28</v>
      </c>
      <c r="J2421">
        <v>1</v>
      </c>
      <c r="K2421">
        <v>5</v>
      </c>
    </row>
    <row r="2422" spans="1:11" x14ac:dyDescent="0.35">
      <c r="A2422" t="s">
        <v>2459</v>
      </c>
      <c r="B2422">
        <v>67</v>
      </c>
      <c r="C2422" t="s">
        <v>18</v>
      </c>
      <c r="D2422" t="s">
        <v>19</v>
      </c>
      <c r="E2422">
        <v>17</v>
      </c>
      <c r="F2422" t="s">
        <v>14</v>
      </c>
      <c r="G2422" t="s">
        <v>23</v>
      </c>
      <c r="H2422" s="1">
        <v>0</v>
      </c>
      <c r="I2422" t="s">
        <v>16</v>
      </c>
      <c r="J2422">
        <v>1</v>
      </c>
      <c r="K2422">
        <v>7</v>
      </c>
    </row>
    <row r="2423" spans="1:11" x14ac:dyDescent="0.35">
      <c r="A2423" t="s">
        <v>2460</v>
      </c>
      <c r="B2423">
        <v>50</v>
      </c>
      <c r="C2423" t="s">
        <v>18</v>
      </c>
      <c r="D2423" t="s">
        <v>21</v>
      </c>
      <c r="E2423">
        <v>21</v>
      </c>
      <c r="F2423" t="s">
        <v>26</v>
      </c>
      <c r="G2423" t="s">
        <v>15</v>
      </c>
      <c r="H2423" s="1">
        <v>218.88</v>
      </c>
      <c r="I2423" t="s">
        <v>24</v>
      </c>
      <c r="J2423">
        <v>1</v>
      </c>
      <c r="K2423">
        <v>3</v>
      </c>
    </row>
    <row r="2424" spans="1:11" x14ac:dyDescent="0.35">
      <c r="A2424" t="s">
        <v>2461</v>
      </c>
      <c r="B2424">
        <v>67</v>
      </c>
      <c r="C2424" t="s">
        <v>18</v>
      </c>
      <c r="D2424" t="s">
        <v>13</v>
      </c>
      <c r="E2424">
        <v>12</v>
      </c>
      <c r="F2424" t="s">
        <v>31</v>
      </c>
      <c r="G2424" t="s">
        <v>23</v>
      </c>
      <c r="H2424" s="1">
        <v>504.03</v>
      </c>
      <c r="I2424" t="s">
        <v>24</v>
      </c>
      <c r="J2424">
        <v>1</v>
      </c>
      <c r="K2424">
        <v>4</v>
      </c>
    </row>
    <row r="2425" spans="1:11" x14ac:dyDescent="0.35">
      <c r="A2425" t="s">
        <v>2462</v>
      </c>
      <c r="B2425">
        <v>55</v>
      </c>
      <c r="C2425" t="s">
        <v>12</v>
      </c>
      <c r="D2425" t="s">
        <v>13</v>
      </c>
      <c r="E2425">
        <v>12</v>
      </c>
      <c r="F2425" t="s">
        <v>33</v>
      </c>
      <c r="G2425" t="s">
        <v>27</v>
      </c>
      <c r="H2425" s="1">
        <v>130.38999999999999</v>
      </c>
      <c r="I2425" t="s">
        <v>24</v>
      </c>
      <c r="J2425">
        <v>0</v>
      </c>
      <c r="K2425">
        <v>8</v>
      </c>
    </row>
    <row r="2426" spans="1:11" x14ac:dyDescent="0.35">
      <c r="A2426" t="s">
        <v>2463</v>
      </c>
      <c r="B2426">
        <v>44</v>
      </c>
      <c r="C2426" t="s">
        <v>18</v>
      </c>
      <c r="D2426" t="s">
        <v>244</v>
      </c>
      <c r="E2426">
        <v>6</v>
      </c>
      <c r="F2426" t="s">
        <v>33</v>
      </c>
      <c r="G2426" t="s">
        <v>27</v>
      </c>
      <c r="H2426" s="1">
        <v>173.58</v>
      </c>
      <c r="I2426" t="s">
        <v>24</v>
      </c>
      <c r="J2426">
        <v>0</v>
      </c>
      <c r="K2426">
        <v>10</v>
      </c>
    </row>
    <row r="2427" spans="1:11" x14ac:dyDescent="0.35">
      <c r="A2427" t="s">
        <v>2464</v>
      </c>
      <c r="B2427">
        <v>40</v>
      </c>
      <c r="C2427" t="s">
        <v>12</v>
      </c>
      <c r="D2427" t="s">
        <v>19</v>
      </c>
      <c r="E2427">
        <v>10</v>
      </c>
      <c r="F2427" t="s">
        <v>31</v>
      </c>
      <c r="G2427" t="s">
        <v>15</v>
      </c>
      <c r="H2427" s="1">
        <v>93.18</v>
      </c>
      <c r="I2427" t="s">
        <v>24</v>
      </c>
      <c r="J2427">
        <v>1</v>
      </c>
      <c r="K2427">
        <v>7</v>
      </c>
    </row>
    <row r="2428" spans="1:11" x14ac:dyDescent="0.35">
      <c r="A2428" t="s">
        <v>2465</v>
      </c>
      <c r="B2428">
        <v>82</v>
      </c>
      <c r="C2428" t="s">
        <v>12</v>
      </c>
      <c r="D2428" t="s">
        <v>19</v>
      </c>
      <c r="E2428">
        <v>7</v>
      </c>
      <c r="F2428" t="s">
        <v>14</v>
      </c>
      <c r="G2428" t="s">
        <v>23</v>
      </c>
      <c r="H2428" s="1">
        <v>0</v>
      </c>
      <c r="I2428" t="s">
        <v>16</v>
      </c>
      <c r="J2428">
        <v>0</v>
      </c>
      <c r="K2428">
        <v>7</v>
      </c>
    </row>
    <row r="2429" spans="1:11" x14ac:dyDescent="0.35">
      <c r="A2429" t="s">
        <v>2466</v>
      </c>
      <c r="B2429">
        <v>72</v>
      </c>
      <c r="C2429" t="s">
        <v>12</v>
      </c>
      <c r="D2429" t="s">
        <v>19</v>
      </c>
      <c r="E2429">
        <v>19</v>
      </c>
      <c r="F2429" t="s">
        <v>31</v>
      </c>
      <c r="G2429" t="s">
        <v>37</v>
      </c>
      <c r="H2429" s="1">
        <v>106.9</v>
      </c>
      <c r="I2429" t="s">
        <v>24</v>
      </c>
      <c r="J2429">
        <v>4</v>
      </c>
      <c r="K2429">
        <v>5</v>
      </c>
    </row>
    <row r="2430" spans="1:11" x14ac:dyDescent="0.35">
      <c r="A2430" t="s">
        <v>2467</v>
      </c>
      <c r="B2430">
        <v>18</v>
      </c>
      <c r="C2430" t="s">
        <v>12</v>
      </c>
      <c r="D2430" t="s">
        <v>19</v>
      </c>
      <c r="E2430">
        <v>9</v>
      </c>
      <c r="F2430" t="s">
        <v>26</v>
      </c>
      <c r="G2430" t="s">
        <v>34</v>
      </c>
      <c r="H2430" s="1">
        <v>172.13</v>
      </c>
      <c r="I2430" t="s">
        <v>28</v>
      </c>
      <c r="J2430">
        <v>0</v>
      </c>
      <c r="K2430">
        <v>5</v>
      </c>
    </row>
    <row r="2431" spans="1:11" x14ac:dyDescent="0.35">
      <c r="A2431" t="s">
        <v>2468</v>
      </c>
      <c r="B2431">
        <v>54</v>
      </c>
      <c r="C2431" t="s">
        <v>12</v>
      </c>
      <c r="D2431" t="s">
        <v>19</v>
      </c>
      <c r="E2431">
        <v>8</v>
      </c>
      <c r="F2431" t="s">
        <v>14</v>
      </c>
      <c r="G2431" t="s">
        <v>34</v>
      </c>
      <c r="H2431" s="1">
        <v>0</v>
      </c>
      <c r="I2431" t="s">
        <v>16</v>
      </c>
      <c r="J2431">
        <v>2</v>
      </c>
      <c r="K2431">
        <v>7</v>
      </c>
    </row>
    <row r="2432" spans="1:11" x14ac:dyDescent="0.35">
      <c r="A2432" t="s">
        <v>2469</v>
      </c>
      <c r="B2432">
        <v>79</v>
      </c>
      <c r="C2432" t="s">
        <v>12</v>
      </c>
      <c r="D2432" t="s">
        <v>41</v>
      </c>
      <c r="E2432">
        <v>13</v>
      </c>
      <c r="F2432" t="s">
        <v>33</v>
      </c>
      <c r="G2432" t="s">
        <v>37</v>
      </c>
      <c r="H2432" s="1">
        <v>195.52</v>
      </c>
      <c r="I2432" t="s">
        <v>24</v>
      </c>
      <c r="J2432">
        <v>0</v>
      </c>
      <c r="K2432">
        <v>4</v>
      </c>
    </row>
    <row r="2433" spans="1:11" x14ac:dyDescent="0.35">
      <c r="A2433" t="s">
        <v>2470</v>
      </c>
      <c r="B2433">
        <v>78</v>
      </c>
      <c r="C2433" t="s">
        <v>12</v>
      </c>
      <c r="D2433" t="s">
        <v>21</v>
      </c>
      <c r="E2433">
        <v>18</v>
      </c>
      <c r="F2433" t="s">
        <v>26</v>
      </c>
      <c r="G2433" t="s">
        <v>37</v>
      </c>
      <c r="H2433" s="1">
        <v>155.86000000000001</v>
      </c>
      <c r="I2433" t="s">
        <v>24</v>
      </c>
      <c r="J2433">
        <v>2</v>
      </c>
      <c r="K2433">
        <v>8</v>
      </c>
    </row>
    <row r="2434" spans="1:11" x14ac:dyDescent="0.35">
      <c r="A2434" t="s">
        <v>2471</v>
      </c>
      <c r="B2434">
        <v>19</v>
      </c>
      <c r="C2434" t="s">
        <v>18</v>
      </c>
      <c r="D2434" t="s">
        <v>19</v>
      </c>
      <c r="E2434">
        <v>22</v>
      </c>
      <c r="F2434" t="s">
        <v>33</v>
      </c>
      <c r="G2434" t="s">
        <v>37</v>
      </c>
      <c r="H2434" s="1">
        <v>132.02000000000001</v>
      </c>
      <c r="I2434" t="s">
        <v>24</v>
      </c>
      <c r="J2434">
        <v>4</v>
      </c>
      <c r="K2434">
        <v>3</v>
      </c>
    </row>
    <row r="2435" spans="1:11" x14ac:dyDescent="0.35">
      <c r="A2435" t="s">
        <v>2472</v>
      </c>
      <c r="B2435">
        <v>71</v>
      </c>
      <c r="C2435" t="s">
        <v>18</v>
      </c>
      <c r="D2435" t="s">
        <v>19</v>
      </c>
      <c r="E2435">
        <v>12</v>
      </c>
      <c r="F2435" t="s">
        <v>22</v>
      </c>
      <c r="G2435" t="s">
        <v>23</v>
      </c>
      <c r="H2435" s="1">
        <v>493.39</v>
      </c>
      <c r="I2435" t="s">
        <v>28</v>
      </c>
      <c r="J2435">
        <v>3</v>
      </c>
      <c r="K2435">
        <v>6</v>
      </c>
    </row>
    <row r="2436" spans="1:11" x14ac:dyDescent="0.35">
      <c r="A2436" t="s">
        <v>2473</v>
      </c>
      <c r="B2436">
        <v>62</v>
      </c>
      <c r="C2436" t="s">
        <v>18</v>
      </c>
      <c r="D2436" t="s">
        <v>13</v>
      </c>
      <c r="E2436">
        <v>17</v>
      </c>
      <c r="F2436" t="s">
        <v>31</v>
      </c>
      <c r="G2436" t="s">
        <v>15</v>
      </c>
      <c r="H2436" s="1">
        <v>421.92</v>
      </c>
      <c r="I2436" t="s">
        <v>24</v>
      </c>
      <c r="J2436">
        <v>0</v>
      </c>
      <c r="K2436">
        <v>8</v>
      </c>
    </row>
    <row r="2437" spans="1:11" x14ac:dyDescent="0.35">
      <c r="A2437" t="s">
        <v>2474</v>
      </c>
      <c r="B2437">
        <v>43</v>
      </c>
      <c r="C2437" t="s">
        <v>18</v>
      </c>
      <c r="D2437" t="s">
        <v>21</v>
      </c>
      <c r="E2437">
        <v>28</v>
      </c>
      <c r="F2437" t="s">
        <v>33</v>
      </c>
      <c r="G2437" t="s">
        <v>27</v>
      </c>
      <c r="H2437" s="1">
        <v>71.03</v>
      </c>
      <c r="I2437" t="s">
        <v>24</v>
      </c>
      <c r="J2437">
        <v>2</v>
      </c>
      <c r="K2437">
        <v>5</v>
      </c>
    </row>
    <row r="2438" spans="1:11" x14ac:dyDescent="0.35">
      <c r="A2438" t="s">
        <v>2475</v>
      </c>
      <c r="B2438">
        <v>74</v>
      </c>
      <c r="C2438" t="s">
        <v>12</v>
      </c>
      <c r="D2438" t="s">
        <v>13</v>
      </c>
      <c r="E2438">
        <v>11</v>
      </c>
      <c r="F2438" t="s">
        <v>14</v>
      </c>
      <c r="G2438" t="s">
        <v>23</v>
      </c>
      <c r="H2438" s="1">
        <v>0</v>
      </c>
      <c r="I2438" t="s">
        <v>16</v>
      </c>
      <c r="J2438">
        <v>1</v>
      </c>
      <c r="K2438">
        <v>8</v>
      </c>
    </row>
    <row r="2439" spans="1:11" x14ac:dyDescent="0.35">
      <c r="A2439" t="s">
        <v>2476</v>
      </c>
      <c r="B2439">
        <v>52</v>
      </c>
      <c r="C2439" t="s">
        <v>18</v>
      </c>
      <c r="D2439" t="s">
        <v>13</v>
      </c>
      <c r="E2439">
        <v>11</v>
      </c>
      <c r="F2439" t="s">
        <v>26</v>
      </c>
      <c r="G2439" t="s">
        <v>37</v>
      </c>
      <c r="H2439" s="1">
        <v>183.73</v>
      </c>
      <c r="I2439" t="s">
        <v>24</v>
      </c>
      <c r="J2439">
        <v>1</v>
      </c>
      <c r="K2439">
        <v>6</v>
      </c>
    </row>
    <row r="2440" spans="1:11" x14ac:dyDescent="0.35">
      <c r="A2440" t="s">
        <v>2477</v>
      </c>
      <c r="B2440">
        <v>84</v>
      </c>
      <c r="C2440" t="s">
        <v>12</v>
      </c>
      <c r="D2440" t="s">
        <v>21</v>
      </c>
      <c r="E2440">
        <v>47</v>
      </c>
      <c r="F2440" t="s">
        <v>31</v>
      </c>
      <c r="G2440" t="s">
        <v>23</v>
      </c>
      <c r="H2440" s="1">
        <v>448.93</v>
      </c>
      <c r="I2440" t="s">
        <v>24</v>
      </c>
      <c r="J2440">
        <v>2</v>
      </c>
      <c r="K2440">
        <v>2</v>
      </c>
    </row>
    <row r="2441" spans="1:11" x14ac:dyDescent="0.35">
      <c r="A2441" t="s">
        <v>2478</v>
      </c>
      <c r="B2441">
        <v>22</v>
      </c>
      <c r="C2441" t="s">
        <v>18</v>
      </c>
      <c r="D2441" t="s">
        <v>13</v>
      </c>
      <c r="E2441">
        <v>21</v>
      </c>
      <c r="F2441" t="s">
        <v>33</v>
      </c>
      <c r="G2441" t="s">
        <v>37</v>
      </c>
      <c r="H2441" s="1">
        <v>112.03</v>
      </c>
      <c r="I2441" t="s">
        <v>24</v>
      </c>
      <c r="J2441">
        <v>3</v>
      </c>
      <c r="K2441">
        <v>4</v>
      </c>
    </row>
    <row r="2442" spans="1:11" x14ac:dyDescent="0.35">
      <c r="A2442" t="s">
        <v>2479</v>
      </c>
      <c r="B2442">
        <v>24</v>
      </c>
      <c r="C2442" t="s">
        <v>12</v>
      </c>
      <c r="D2442" t="s">
        <v>21</v>
      </c>
      <c r="E2442">
        <v>24</v>
      </c>
      <c r="F2442" t="s">
        <v>22</v>
      </c>
      <c r="G2442" t="s">
        <v>23</v>
      </c>
      <c r="H2442" s="1">
        <v>339.62</v>
      </c>
      <c r="I2442" t="s">
        <v>24</v>
      </c>
      <c r="J2442">
        <v>1</v>
      </c>
      <c r="K2442">
        <v>4</v>
      </c>
    </row>
    <row r="2443" spans="1:11" x14ac:dyDescent="0.35">
      <c r="A2443" t="s">
        <v>2480</v>
      </c>
      <c r="B2443">
        <v>60</v>
      </c>
      <c r="C2443" t="s">
        <v>18</v>
      </c>
      <c r="D2443" t="s">
        <v>21</v>
      </c>
      <c r="E2443">
        <v>34</v>
      </c>
      <c r="F2443" t="s">
        <v>14</v>
      </c>
      <c r="G2443" t="s">
        <v>37</v>
      </c>
      <c r="H2443" s="1">
        <v>0</v>
      </c>
      <c r="I2443" t="s">
        <v>16</v>
      </c>
      <c r="J2443">
        <v>0</v>
      </c>
      <c r="K2443">
        <v>4</v>
      </c>
    </row>
    <row r="2444" spans="1:11" x14ac:dyDescent="0.35">
      <c r="A2444" t="s">
        <v>2481</v>
      </c>
      <c r="B2444">
        <v>74</v>
      </c>
      <c r="C2444" t="s">
        <v>18</v>
      </c>
      <c r="D2444" t="s">
        <v>19</v>
      </c>
      <c r="E2444">
        <v>18</v>
      </c>
      <c r="F2444" t="s">
        <v>26</v>
      </c>
      <c r="G2444" t="s">
        <v>27</v>
      </c>
      <c r="H2444" s="1">
        <v>70</v>
      </c>
      <c r="I2444" t="s">
        <v>24</v>
      </c>
      <c r="J2444">
        <v>0</v>
      </c>
      <c r="K2444">
        <v>6</v>
      </c>
    </row>
    <row r="2445" spans="1:11" x14ac:dyDescent="0.35">
      <c r="A2445" t="s">
        <v>2482</v>
      </c>
      <c r="B2445">
        <v>82</v>
      </c>
      <c r="C2445" t="s">
        <v>18</v>
      </c>
      <c r="D2445" t="s">
        <v>21</v>
      </c>
      <c r="E2445">
        <v>30</v>
      </c>
      <c r="F2445" t="s">
        <v>31</v>
      </c>
      <c r="G2445" t="s">
        <v>23</v>
      </c>
      <c r="H2445" s="1">
        <v>71.3</v>
      </c>
      <c r="I2445" t="s">
        <v>28</v>
      </c>
      <c r="J2445">
        <v>1</v>
      </c>
      <c r="K2445">
        <v>5</v>
      </c>
    </row>
    <row r="2446" spans="1:11" x14ac:dyDescent="0.35">
      <c r="A2446" t="s">
        <v>2483</v>
      </c>
      <c r="B2446">
        <v>56</v>
      </c>
      <c r="C2446" t="s">
        <v>12</v>
      </c>
      <c r="D2446" t="s">
        <v>19</v>
      </c>
      <c r="E2446">
        <v>17</v>
      </c>
      <c r="F2446" t="s">
        <v>26</v>
      </c>
      <c r="G2446" t="s">
        <v>34</v>
      </c>
      <c r="H2446" s="1">
        <v>134.53</v>
      </c>
      <c r="I2446" t="s">
        <v>24</v>
      </c>
      <c r="J2446">
        <v>0</v>
      </c>
      <c r="K2446">
        <v>7</v>
      </c>
    </row>
    <row r="2447" spans="1:11" x14ac:dyDescent="0.35">
      <c r="A2447" t="s">
        <v>2484</v>
      </c>
      <c r="B2447">
        <v>75</v>
      </c>
      <c r="C2447" t="s">
        <v>18</v>
      </c>
      <c r="D2447" t="s">
        <v>30</v>
      </c>
      <c r="E2447">
        <v>12</v>
      </c>
      <c r="F2447" t="s">
        <v>31</v>
      </c>
      <c r="G2447" t="s">
        <v>34</v>
      </c>
      <c r="H2447" s="1">
        <v>93.53</v>
      </c>
      <c r="I2447" t="s">
        <v>24</v>
      </c>
      <c r="J2447">
        <v>2</v>
      </c>
      <c r="K2447">
        <v>5</v>
      </c>
    </row>
    <row r="2448" spans="1:11" x14ac:dyDescent="0.35">
      <c r="A2448" t="s">
        <v>2485</v>
      </c>
      <c r="B2448">
        <v>24</v>
      </c>
      <c r="C2448" t="s">
        <v>18</v>
      </c>
      <c r="D2448" t="s">
        <v>19</v>
      </c>
      <c r="E2448">
        <v>20</v>
      </c>
      <c r="F2448" t="s">
        <v>22</v>
      </c>
      <c r="G2448" t="s">
        <v>37</v>
      </c>
      <c r="H2448" s="1">
        <v>144.37</v>
      </c>
      <c r="I2448" t="s">
        <v>24</v>
      </c>
      <c r="J2448">
        <v>3</v>
      </c>
      <c r="K2448">
        <v>2</v>
      </c>
    </row>
    <row r="2449" spans="1:11" x14ac:dyDescent="0.35">
      <c r="A2449" t="s">
        <v>2486</v>
      </c>
      <c r="B2449">
        <v>78</v>
      </c>
      <c r="C2449" t="s">
        <v>18</v>
      </c>
      <c r="D2449" t="s">
        <v>13</v>
      </c>
      <c r="E2449">
        <v>19</v>
      </c>
      <c r="F2449" t="s">
        <v>26</v>
      </c>
      <c r="G2449" t="s">
        <v>34</v>
      </c>
      <c r="H2449" s="1">
        <v>211.63</v>
      </c>
      <c r="I2449" t="s">
        <v>24</v>
      </c>
      <c r="J2449">
        <v>3</v>
      </c>
      <c r="K2449">
        <v>1</v>
      </c>
    </row>
    <row r="2450" spans="1:11" x14ac:dyDescent="0.35">
      <c r="A2450" t="s">
        <v>2487</v>
      </c>
      <c r="B2450">
        <v>58</v>
      </c>
      <c r="C2450" t="s">
        <v>18</v>
      </c>
      <c r="D2450" t="s">
        <v>19</v>
      </c>
      <c r="E2450">
        <v>20</v>
      </c>
      <c r="F2450" t="s">
        <v>31</v>
      </c>
      <c r="G2450" t="s">
        <v>34</v>
      </c>
      <c r="H2450" s="1">
        <v>170.86</v>
      </c>
      <c r="I2450" t="s">
        <v>28</v>
      </c>
      <c r="J2450">
        <v>2</v>
      </c>
      <c r="K2450">
        <v>3</v>
      </c>
    </row>
    <row r="2451" spans="1:11" x14ac:dyDescent="0.35">
      <c r="A2451" t="s">
        <v>2488</v>
      </c>
      <c r="B2451">
        <v>30</v>
      </c>
      <c r="C2451" t="s">
        <v>12</v>
      </c>
      <c r="D2451" t="s">
        <v>21</v>
      </c>
      <c r="E2451">
        <v>42</v>
      </c>
      <c r="F2451" t="s">
        <v>33</v>
      </c>
      <c r="G2451" t="s">
        <v>37</v>
      </c>
      <c r="H2451" s="1">
        <v>90.92</v>
      </c>
      <c r="I2451" t="s">
        <v>28</v>
      </c>
      <c r="J2451">
        <v>2</v>
      </c>
      <c r="K2451">
        <v>5</v>
      </c>
    </row>
    <row r="2452" spans="1:11" x14ac:dyDescent="0.35">
      <c r="A2452" t="s">
        <v>2489</v>
      </c>
      <c r="B2452">
        <v>47</v>
      </c>
      <c r="C2452" t="s">
        <v>18</v>
      </c>
      <c r="D2452" t="s">
        <v>30</v>
      </c>
      <c r="E2452">
        <v>12</v>
      </c>
      <c r="F2452" t="s">
        <v>26</v>
      </c>
      <c r="G2452" t="s">
        <v>15</v>
      </c>
      <c r="H2452" s="1">
        <v>370.25</v>
      </c>
      <c r="I2452" t="s">
        <v>24</v>
      </c>
      <c r="J2452">
        <v>1</v>
      </c>
      <c r="K2452">
        <v>8</v>
      </c>
    </row>
    <row r="2453" spans="1:11" x14ac:dyDescent="0.35">
      <c r="A2453" t="s">
        <v>2490</v>
      </c>
      <c r="B2453">
        <v>64</v>
      </c>
      <c r="C2453" t="s">
        <v>18</v>
      </c>
      <c r="D2453" t="s">
        <v>19</v>
      </c>
      <c r="E2453">
        <v>7</v>
      </c>
      <c r="F2453" t="s">
        <v>14</v>
      </c>
      <c r="G2453" t="s">
        <v>15</v>
      </c>
      <c r="H2453" s="1">
        <v>0</v>
      </c>
      <c r="I2453" t="s">
        <v>16</v>
      </c>
      <c r="J2453">
        <v>0</v>
      </c>
      <c r="K2453">
        <v>9</v>
      </c>
    </row>
    <row r="2454" spans="1:11" x14ac:dyDescent="0.35">
      <c r="A2454" t="s">
        <v>2491</v>
      </c>
      <c r="B2454">
        <v>57</v>
      </c>
      <c r="C2454" t="s">
        <v>12</v>
      </c>
      <c r="D2454" t="s">
        <v>21</v>
      </c>
      <c r="E2454">
        <v>22</v>
      </c>
      <c r="F2454" t="s">
        <v>26</v>
      </c>
      <c r="G2454" t="s">
        <v>34</v>
      </c>
      <c r="H2454" s="1">
        <v>130.44</v>
      </c>
      <c r="I2454" t="s">
        <v>28</v>
      </c>
      <c r="J2454">
        <v>1</v>
      </c>
      <c r="K2454">
        <v>5</v>
      </c>
    </row>
    <row r="2455" spans="1:11" x14ac:dyDescent="0.35">
      <c r="A2455" t="s">
        <v>2492</v>
      </c>
      <c r="B2455">
        <v>66</v>
      </c>
      <c r="C2455" t="s">
        <v>18</v>
      </c>
      <c r="D2455" t="s">
        <v>21</v>
      </c>
      <c r="E2455">
        <v>13</v>
      </c>
      <c r="F2455" t="s">
        <v>14</v>
      </c>
      <c r="G2455" t="s">
        <v>27</v>
      </c>
      <c r="H2455" s="1">
        <v>0</v>
      </c>
      <c r="I2455" t="s">
        <v>16</v>
      </c>
      <c r="J2455">
        <v>1</v>
      </c>
      <c r="K2455">
        <v>8</v>
      </c>
    </row>
    <row r="2456" spans="1:11" x14ac:dyDescent="0.35">
      <c r="A2456" t="s">
        <v>2493</v>
      </c>
      <c r="B2456">
        <v>18</v>
      </c>
      <c r="C2456" t="s">
        <v>12</v>
      </c>
      <c r="D2456" t="s">
        <v>41</v>
      </c>
      <c r="E2456">
        <v>14</v>
      </c>
      <c r="F2456" t="s">
        <v>31</v>
      </c>
      <c r="G2456" t="s">
        <v>27</v>
      </c>
      <c r="H2456" s="1">
        <v>118.9</v>
      </c>
      <c r="I2456" t="s">
        <v>24</v>
      </c>
      <c r="J2456">
        <v>0</v>
      </c>
      <c r="K2456">
        <v>5</v>
      </c>
    </row>
    <row r="2457" spans="1:11" x14ac:dyDescent="0.35">
      <c r="A2457" t="s">
        <v>2494</v>
      </c>
      <c r="B2457">
        <v>64</v>
      </c>
      <c r="C2457" t="s">
        <v>12</v>
      </c>
      <c r="D2457" t="s">
        <v>13</v>
      </c>
      <c r="E2457">
        <v>13</v>
      </c>
      <c r="F2457" t="s">
        <v>22</v>
      </c>
      <c r="G2457" t="s">
        <v>37</v>
      </c>
      <c r="H2457" s="1">
        <v>170.88</v>
      </c>
      <c r="I2457" t="s">
        <v>24</v>
      </c>
      <c r="J2457">
        <v>0</v>
      </c>
      <c r="K2457">
        <v>5</v>
      </c>
    </row>
    <row r="2458" spans="1:11" x14ac:dyDescent="0.35">
      <c r="A2458" t="s">
        <v>2495</v>
      </c>
      <c r="B2458">
        <v>66</v>
      </c>
      <c r="C2458" t="s">
        <v>18</v>
      </c>
      <c r="D2458" t="s">
        <v>21</v>
      </c>
      <c r="E2458">
        <v>30</v>
      </c>
      <c r="F2458" t="s">
        <v>22</v>
      </c>
      <c r="G2458" t="s">
        <v>27</v>
      </c>
      <c r="H2458" s="1">
        <v>70.78</v>
      </c>
      <c r="I2458" t="s">
        <v>43</v>
      </c>
      <c r="J2458">
        <v>1</v>
      </c>
      <c r="K2458">
        <v>4</v>
      </c>
    </row>
    <row r="2459" spans="1:11" x14ac:dyDescent="0.35">
      <c r="A2459" t="s">
        <v>2496</v>
      </c>
      <c r="B2459">
        <v>59</v>
      </c>
      <c r="C2459" t="s">
        <v>18</v>
      </c>
      <c r="D2459" t="s">
        <v>19</v>
      </c>
      <c r="E2459">
        <v>9</v>
      </c>
      <c r="F2459" t="s">
        <v>26</v>
      </c>
      <c r="G2459" t="s">
        <v>37</v>
      </c>
      <c r="H2459" s="1">
        <v>213.72</v>
      </c>
      <c r="I2459" t="s">
        <v>24</v>
      </c>
      <c r="J2459">
        <v>1</v>
      </c>
      <c r="K2459">
        <v>8</v>
      </c>
    </row>
    <row r="2460" spans="1:11" x14ac:dyDescent="0.35">
      <c r="A2460" t="s">
        <v>2497</v>
      </c>
      <c r="B2460">
        <v>28</v>
      </c>
      <c r="C2460" t="s">
        <v>18</v>
      </c>
      <c r="D2460" t="s">
        <v>200</v>
      </c>
      <c r="E2460">
        <v>8</v>
      </c>
      <c r="F2460" t="s">
        <v>31</v>
      </c>
      <c r="G2460" t="s">
        <v>27</v>
      </c>
      <c r="H2460" s="1">
        <v>138.85</v>
      </c>
      <c r="I2460" t="s">
        <v>24</v>
      </c>
      <c r="J2460">
        <v>0</v>
      </c>
      <c r="K2460">
        <v>7</v>
      </c>
    </row>
    <row r="2461" spans="1:11" x14ac:dyDescent="0.35">
      <c r="A2461" t="s">
        <v>2498</v>
      </c>
      <c r="B2461">
        <v>69</v>
      </c>
      <c r="C2461" t="s">
        <v>12</v>
      </c>
      <c r="D2461" t="s">
        <v>21</v>
      </c>
      <c r="E2461">
        <v>33</v>
      </c>
      <c r="F2461" t="s">
        <v>22</v>
      </c>
      <c r="G2461" t="s">
        <v>37</v>
      </c>
      <c r="H2461" s="1">
        <v>109.46</v>
      </c>
      <c r="I2461" t="s">
        <v>24</v>
      </c>
      <c r="J2461">
        <v>4</v>
      </c>
      <c r="K2461">
        <v>1</v>
      </c>
    </row>
    <row r="2462" spans="1:11" x14ac:dyDescent="0.35">
      <c r="A2462" t="s">
        <v>2499</v>
      </c>
      <c r="B2462">
        <v>50</v>
      </c>
      <c r="C2462" t="s">
        <v>18</v>
      </c>
      <c r="D2462" t="s">
        <v>21</v>
      </c>
      <c r="E2462">
        <v>46</v>
      </c>
      <c r="F2462" t="s">
        <v>33</v>
      </c>
      <c r="G2462" t="s">
        <v>15</v>
      </c>
      <c r="H2462" s="1">
        <v>116.07</v>
      </c>
      <c r="I2462" t="s">
        <v>24</v>
      </c>
      <c r="J2462">
        <v>0</v>
      </c>
      <c r="K2462">
        <v>5</v>
      </c>
    </row>
    <row r="2463" spans="1:11" x14ac:dyDescent="0.35">
      <c r="A2463" t="s">
        <v>2500</v>
      </c>
      <c r="B2463">
        <v>41</v>
      </c>
      <c r="C2463" t="s">
        <v>18</v>
      </c>
      <c r="D2463" t="s">
        <v>19</v>
      </c>
      <c r="E2463">
        <v>13</v>
      </c>
      <c r="F2463" t="s">
        <v>22</v>
      </c>
      <c r="G2463" t="s">
        <v>15</v>
      </c>
      <c r="H2463" s="1">
        <v>129.6</v>
      </c>
      <c r="I2463" t="s">
        <v>24</v>
      </c>
      <c r="J2463">
        <v>0</v>
      </c>
      <c r="K2463">
        <v>7</v>
      </c>
    </row>
    <row r="2464" spans="1:11" x14ac:dyDescent="0.35">
      <c r="A2464" t="s">
        <v>2501</v>
      </c>
      <c r="B2464">
        <v>69</v>
      </c>
      <c r="C2464" t="s">
        <v>528</v>
      </c>
      <c r="D2464" t="s">
        <v>41</v>
      </c>
      <c r="E2464">
        <v>9</v>
      </c>
      <c r="F2464" t="s">
        <v>22</v>
      </c>
      <c r="G2464" t="s">
        <v>37</v>
      </c>
      <c r="H2464" s="1">
        <v>215.22</v>
      </c>
      <c r="I2464" t="s">
        <v>24</v>
      </c>
      <c r="J2464">
        <v>0</v>
      </c>
      <c r="K2464">
        <v>8</v>
      </c>
    </row>
    <row r="2465" spans="1:11" x14ac:dyDescent="0.35">
      <c r="A2465" t="s">
        <v>2502</v>
      </c>
      <c r="B2465">
        <v>31</v>
      </c>
      <c r="C2465" t="s">
        <v>12</v>
      </c>
      <c r="D2465" t="s">
        <v>19</v>
      </c>
      <c r="E2465">
        <v>19</v>
      </c>
      <c r="F2465" t="s">
        <v>22</v>
      </c>
      <c r="G2465" t="s">
        <v>34</v>
      </c>
      <c r="H2465" s="1">
        <v>153.74</v>
      </c>
      <c r="I2465" t="s">
        <v>24</v>
      </c>
      <c r="J2465">
        <v>1</v>
      </c>
      <c r="K2465">
        <v>3</v>
      </c>
    </row>
    <row r="2466" spans="1:11" x14ac:dyDescent="0.35">
      <c r="A2466" t="s">
        <v>2503</v>
      </c>
      <c r="B2466">
        <v>52</v>
      </c>
      <c r="C2466" t="s">
        <v>12</v>
      </c>
      <c r="D2466" t="s">
        <v>13</v>
      </c>
      <c r="E2466">
        <v>19</v>
      </c>
      <c r="F2466" t="s">
        <v>33</v>
      </c>
      <c r="G2466" t="s">
        <v>37</v>
      </c>
      <c r="H2466" s="1">
        <v>144.66</v>
      </c>
      <c r="I2466" t="s">
        <v>24</v>
      </c>
      <c r="J2466">
        <v>1</v>
      </c>
      <c r="K2466">
        <v>5</v>
      </c>
    </row>
    <row r="2467" spans="1:11" x14ac:dyDescent="0.35">
      <c r="A2467" t="s">
        <v>2504</v>
      </c>
      <c r="B2467">
        <v>26</v>
      </c>
      <c r="C2467" t="s">
        <v>12</v>
      </c>
      <c r="D2467" t="s">
        <v>19</v>
      </c>
      <c r="E2467">
        <v>15</v>
      </c>
      <c r="F2467" t="s">
        <v>31</v>
      </c>
      <c r="G2467" t="s">
        <v>37</v>
      </c>
      <c r="H2467" s="1">
        <v>143.63999999999999</v>
      </c>
      <c r="I2467" t="s">
        <v>24</v>
      </c>
      <c r="J2467">
        <v>0</v>
      </c>
      <c r="K2467">
        <v>5</v>
      </c>
    </row>
    <row r="2468" spans="1:11" x14ac:dyDescent="0.35">
      <c r="A2468" t="s">
        <v>2505</v>
      </c>
      <c r="B2468">
        <v>39</v>
      </c>
      <c r="C2468" t="s">
        <v>12</v>
      </c>
      <c r="D2468" t="s">
        <v>30</v>
      </c>
      <c r="E2468">
        <v>5</v>
      </c>
      <c r="F2468" t="s">
        <v>31</v>
      </c>
      <c r="G2468" t="s">
        <v>27</v>
      </c>
      <c r="H2468" s="1">
        <v>61.53</v>
      </c>
      <c r="I2468" t="s">
        <v>24</v>
      </c>
      <c r="J2468">
        <v>2</v>
      </c>
      <c r="K2468">
        <v>8</v>
      </c>
    </row>
    <row r="2469" spans="1:11" x14ac:dyDescent="0.35">
      <c r="A2469" t="s">
        <v>2506</v>
      </c>
      <c r="B2469">
        <v>64</v>
      </c>
      <c r="C2469" t="s">
        <v>18</v>
      </c>
      <c r="D2469" t="s">
        <v>21</v>
      </c>
      <c r="E2469">
        <v>39</v>
      </c>
      <c r="F2469" t="s">
        <v>31</v>
      </c>
      <c r="G2469" t="s">
        <v>34</v>
      </c>
      <c r="H2469" s="1">
        <v>91.49</v>
      </c>
      <c r="I2469" t="s">
        <v>24</v>
      </c>
      <c r="J2469">
        <v>0</v>
      </c>
      <c r="K2469">
        <v>2</v>
      </c>
    </row>
    <row r="2470" spans="1:11" x14ac:dyDescent="0.35">
      <c r="A2470" t="s">
        <v>2507</v>
      </c>
      <c r="B2470">
        <v>42</v>
      </c>
      <c r="C2470" t="s">
        <v>12</v>
      </c>
      <c r="D2470" t="s">
        <v>19</v>
      </c>
      <c r="E2470">
        <v>12</v>
      </c>
      <c r="F2470" t="s">
        <v>33</v>
      </c>
      <c r="G2470" t="s">
        <v>15</v>
      </c>
      <c r="H2470" s="1">
        <v>269.14999999999998</v>
      </c>
      <c r="I2470" t="s">
        <v>24</v>
      </c>
      <c r="J2470">
        <v>1</v>
      </c>
      <c r="K2470">
        <v>6</v>
      </c>
    </row>
    <row r="2471" spans="1:11" x14ac:dyDescent="0.35">
      <c r="A2471" t="s">
        <v>2508</v>
      </c>
      <c r="B2471">
        <v>39</v>
      </c>
      <c r="C2471" t="s">
        <v>18</v>
      </c>
      <c r="D2471" t="s">
        <v>19</v>
      </c>
      <c r="E2471">
        <v>14</v>
      </c>
      <c r="F2471" t="s">
        <v>22</v>
      </c>
      <c r="G2471" t="s">
        <v>23</v>
      </c>
      <c r="H2471" s="1">
        <v>578.13</v>
      </c>
      <c r="I2471" t="s">
        <v>24</v>
      </c>
      <c r="J2471">
        <v>0</v>
      </c>
      <c r="K2471">
        <v>4</v>
      </c>
    </row>
    <row r="2472" spans="1:11" x14ac:dyDescent="0.35">
      <c r="A2472" t="s">
        <v>2509</v>
      </c>
      <c r="B2472">
        <v>54</v>
      </c>
      <c r="C2472" t="s">
        <v>18</v>
      </c>
      <c r="D2472" t="s">
        <v>13</v>
      </c>
      <c r="E2472">
        <v>11</v>
      </c>
      <c r="F2472" t="s">
        <v>26</v>
      </c>
      <c r="G2472" t="s">
        <v>34</v>
      </c>
      <c r="H2472" s="1">
        <v>180.95</v>
      </c>
      <c r="I2472" t="s">
        <v>24</v>
      </c>
      <c r="J2472">
        <v>3</v>
      </c>
      <c r="K2472">
        <v>7</v>
      </c>
    </row>
    <row r="2473" spans="1:11" x14ac:dyDescent="0.35">
      <c r="A2473" t="s">
        <v>2510</v>
      </c>
      <c r="B2473">
        <v>61</v>
      </c>
      <c r="C2473" t="s">
        <v>12</v>
      </c>
      <c r="D2473" t="s">
        <v>244</v>
      </c>
      <c r="E2473">
        <v>13</v>
      </c>
      <c r="F2473" t="s">
        <v>22</v>
      </c>
      <c r="G2473" t="s">
        <v>23</v>
      </c>
      <c r="H2473" s="1">
        <v>165.8</v>
      </c>
      <c r="I2473" t="s">
        <v>24</v>
      </c>
      <c r="J2473">
        <v>2</v>
      </c>
      <c r="K2473">
        <v>5</v>
      </c>
    </row>
    <row r="2474" spans="1:11" x14ac:dyDescent="0.35">
      <c r="A2474" t="s">
        <v>2511</v>
      </c>
      <c r="B2474">
        <v>76</v>
      </c>
      <c r="C2474" t="s">
        <v>18</v>
      </c>
      <c r="D2474" t="s">
        <v>30</v>
      </c>
      <c r="E2474">
        <v>9</v>
      </c>
      <c r="F2474" t="s">
        <v>14</v>
      </c>
      <c r="G2474" t="s">
        <v>27</v>
      </c>
      <c r="H2474" s="1">
        <v>0</v>
      </c>
      <c r="I2474" t="s">
        <v>16</v>
      </c>
      <c r="J2474">
        <v>0</v>
      </c>
      <c r="K2474">
        <v>5</v>
      </c>
    </row>
    <row r="2475" spans="1:11" x14ac:dyDescent="0.35">
      <c r="A2475" t="s">
        <v>2512</v>
      </c>
      <c r="B2475">
        <v>27</v>
      </c>
      <c r="C2475" t="s">
        <v>12</v>
      </c>
      <c r="D2475" t="s">
        <v>19</v>
      </c>
      <c r="E2475">
        <v>23</v>
      </c>
      <c r="F2475" t="s">
        <v>22</v>
      </c>
      <c r="G2475" t="s">
        <v>15</v>
      </c>
      <c r="H2475" s="1">
        <v>271.52999999999997</v>
      </c>
      <c r="I2475" t="s">
        <v>24</v>
      </c>
      <c r="J2475">
        <v>2</v>
      </c>
      <c r="K2475">
        <v>4</v>
      </c>
    </row>
    <row r="2476" spans="1:11" x14ac:dyDescent="0.35">
      <c r="A2476" t="s">
        <v>2513</v>
      </c>
      <c r="B2476">
        <v>41</v>
      </c>
      <c r="C2476" t="s">
        <v>18</v>
      </c>
      <c r="D2476" t="s">
        <v>19</v>
      </c>
      <c r="E2476">
        <v>13</v>
      </c>
      <c r="F2476" t="s">
        <v>22</v>
      </c>
      <c r="G2476" t="s">
        <v>34</v>
      </c>
      <c r="H2476" s="1">
        <v>98.55</v>
      </c>
      <c r="I2476" t="s">
        <v>24</v>
      </c>
      <c r="J2476">
        <v>3</v>
      </c>
      <c r="K2476">
        <v>4</v>
      </c>
    </row>
    <row r="2477" spans="1:11" x14ac:dyDescent="0.35">
      <c r="A2477" t="s">
        <v>2514</v>
      </c>
      <c r="B2477">
        <v>37</v>
      </c>
      <c r="C2477" t="s">
        <v>18</v>
      </c>
      <c r="D2477" t="s">
        <v>19</v>
      </c>
      <c r="E2477">
        <v>23</v>
      </c>
      <c r="F2477" t="s">
        <v>22</v>
      </c>
      <c r="G2477" t="s">
        <v>15</v>
      </c>
      <c r="H2477" s="1">
        <v>254.94</v>
      </c>
      <c r="I2477" t="s">
        <v>24</v>
      </c>
      <c r="J2477">
        <v>4</v>
      </c>
      <c r="K2477">
        <v>1</v>
      </c>
    </row>
    <row r="2478" spans="1:11" x14ac:dyDescent="0.35">
      <c r="A2478" t="s">
        <v>2515</v>
      </c>
      <c r="B2478">
        <v>77</v>
      </c>
      <c r="C2478" t="s">
        <v>18</v>
      </c>
      <c r="D2478" t="s">
        <v>41</v>
      </c>
      <c r="E2478">
        <v>8</v>
      </c>
      <c r="F2478" t="s">
        <v>22</v>
      </c>
      <c r="G2478" t="s">
        <v>34</v>
      </c>
      <c r="H2478" s="1">
        <v>139.22999999999999</v>
      </c>
      <c r="I2478" t="s">
        <v>24</v>
      </c>
      <c r="J2478">
        <v>0</v>
      </c>
      <c r="K2478">
        <v>8</v>
      </c>
    </row>
    <row r="2479" spans="1:11" x14ac:dyDescent="0.35">
      <c r="A2479" t="s">
        <v>2516</v>
      </c>
      <c r="B2479">
        <v>47</v>
      </c>
      <c r="C2479" t="s">
        <v>12</v>
      </c>
      <c r="D2479" t="s">
        <v>19</v>
      </c>
      <c r="E2479">
        <v>11</v>
      </c>
      <c r="F2479" t="s">
        <v>31</v>
      </c>
      <c r="G2479" t="s">
        <v>23</v>
      </c>
      <c r="H2479" s="1">
        <v>318.64</v>
      </c>
      <c r="I2479" t="s">
        <v>43</v>
      </c>
      <c r="J2479">
        <v>1</v>
      </c>
      <c r="K2479">
        <v>8</v>
      </c>
    </row>
    <row r="2480" spans="1:11" x14ac:dyDescent="0.35">
      <c r="A2480" t="s">
        <v>2517</v>
      </c>
      <c r="B2480">
        <v>81</v>
      </c>
      <c r="C2480" t="s">
        <v>12</v>
      </c>
      <c r="D2480" t="s">
        <v>19</v>
      </c>
      <c r="E2480">
        <v>13</v>
      </c>
      <c r="F2480" t="s">
        <v>14</v>
      </c>
      <c r="G2480" t="s">
        <v>37</v>
      </c>
      <c r="H2480" s="1">
        <v>0</v>
      </c>
      <c r="I2480" t="s">
        <v>16</v>
      </c>
      <c r="J2480">
        <v>1</v>
      </c>
      <c r="K2480">
        <v>5</v>
      </c>
    </row>
    <row r="2481" spans="1:11" x14ac:dyDescent="0.35">
      <c r="A2481" t="s">
        <v>2518</v>
      </c>
      <c r="B2481">
        <v>53</v>
      </c>
      <c r="C2481" t="s">
        <v>189</v>
      </c>
      <c r="D2481" t="s">
        <v>57</v>
      </c>
      <c r="E2481">
        <v>20</v>
      </c>
      <c r="F2481" t="s">
        <v>33</v>
      </c>
      <c r="G2481" t="s">
        <v>34</v>
      </c>
      <c r="H2481" s="1">
        <v>97.69</v>
      </c>
      <c r="I2481" t="s">
        <v>24</v>
      </c>
      <c r="J2481">
        <v>1</v>
      </c>
      <c r="K2481">
        <v>3</v>
      </c>
    </row>
    <row r="2482" spans="1:11" x14ac:dyDescent="0.35">
      <c r="A2482" t="s">
        <v>2519</v>
      </c>
      <c r="B2482">
        <v>66</v>
      </c>
      <c r="C2482" t="s">
        <v>18</v>
      </c>
      <c r="D2482" t="s">
        <v>13</v>
      </c>
      <c r="E2482">
        <v>7</v>
      </c>
      <c r="F2482" t="s">
        <v>22</v>
      </c>
      <c r="G2482" t="s">
        <v>23</v>
      </c>
      <c r="H2482" s="1">
        <v>155.6</v>
      </c>
      <c r="I2482" t="s">
        <v>24</v>
      </c>
      <c r="J2482">
        <v>0</v>
      </c>
      <c r="K2482">
        <v>8</v>
      </c>
    </row>
    <row r="2483" spans="1:11" x14ac:dyDescent="0.35">
      <c r="A2483" t="s">
        <v>2520</v>
      </c>
      <c r="B2483">
        <v>19</v>
      </c>
      <c r="C2483" t="s">
        <v>12</v>
      </c>
      <c r="D2483" t="s">
        <v>41</v>
      </c>
      <c r="E2483">
        <v>6</v>
      </c>
      <c r="F2483" t="s">
        <v>22</v>
      </c>
      <c r="G2483" t="s">
        <v>34</v>
      </c>
      <c r="H2483" s="1">
        <v>215.31</v>
      </c>
      <c r="I2483" t="s">
        <v>24</v>
      </c>
      <c r="J2483">
        <v>0</v>
      </c>
      <c r="K2483">
        <v>8</v>
      </c>
    </row>
    <row r="2484" spans="1:11" x14ac:dyDescent="0.35">
      <c r="A2484" t="s">
        <v>2521</v>
      </c>
      <c r="B2484">
        <v>35</v>
      </c>
      <c r="C2484" t="s">
        <v>18</v>
      </c>
      <c r="D2484" t="s">
        <v>21</v>
      </c>
      <c r="E2484">
        <v>14</v>
      </c>
      <c r="F2484" t="s">
        <v>31</v>
      </c>
      <c r="G2484" t="s">
        <v>15</v>
      </c>
      <c r="H2484" s="1">
        <v>387.96</v>
      </c>
      <c r="I2484" t="s">
        <v>24</v>
      </c>
      <c r="J2484">
        <v>1</v>
      </c>
      <c r="K2484">
        <v>7</v>
      </c>
    </row>
    <row r="2485" spans="1:11" x14ac:dyDescent="0.35">
      <c r="A2485" t="s">
        <v>2522</v>
      </c>
      <c r="B2485">
        <v>51</v>
      </c>
      <c r="C2485" t="s">
        <v>12</v>
      </c>
      <c r="D2485" t="s">
        <v>21</v>
      </c>
      <c r="E2485">
        <v>38</v>
      </c>
      <c r="F2485" t="s">
        <v>22</v>
      </c>
      <c r="G2485" t="s">
        <v>37</v>
      </c>
      <c r="H2485" s="1">
        <v>100.21</v>
      </c>
      <c r="I2485" t="s">
        <v>43</v>
      </c>
      <c r="J2485">
        <v>3</v>
      </c>
      <c r="K2485">
        <v>5</v>
      </c>
    </row>
    <row r="2486" spans="1:11" x14ac:dyDescent="0.35">
      <c r="A2486" t="s">
        <v>2523</v>
      </c>
      <c r="B2486">
        <v>53</v>
      </c>
      <c r="C2486" t="s">
        <v>12</v>
      </c>
      <c r="D2486" t="s">
        <v>19</v>
      </c>
      <c r="E2486">
        <v>12</v>
      </c>
      <c r="F2486" t="s">
        <v>22</v>
      </c>
      <c r="G2486" t="s">
        <v>37</v>
      </c>
      <c r="H2486" s="1">
        <v>149.36000000000001</v>
      </c>
      <c r="I2486" t="s">
        <v>24</v>
      </c>
      <c r="J2486">
        <v>1</v>
      </c>
      <c r="K2486">
        <v>5</v>
      </c>
    </row>
    <row r="2487" spans="1:11" x14ac:dyDescent="0.35">
      <c r="A2487" t="s">
        <v>2524</v>
      </c>
      <c r="B2487">
        <v>21</v>
      </c>
      <c r="C2487" t="s">
        <v>18</v>
      </c>
      <c r="D2487" t="s">
        <v>21</v>
      </c>
      <c r="E2487">
        <v>32</v>
      </c>
      <c r="F2487" t="s">
        <v>33</v>
      </c>
      <c r="G2487" t="s">
        <v>23</v>
      </c>
      <c r="H2487" s="1">
        <v>370.11</v>
      </c>
      <c r="I2487" t="s">
        <v>24</v>
      </c>
      <c r="J2487">
        <v>1</v>
      </c>
      <c r="K2487">
        <v>2</v>
      </c>
    </row>
    <row r="2488" spans="1:11" x14ac:dyDescent="0.35">
      <c r="A2488" t="s">
        <v>2525</v>
      </c>
      <c r="B2488">
        <v>61</v>
      </c>
      <c r="C2488" t="s">
        <v>12</v>
      </c>
      <c r="D2488" t="s">
        <v>19</v>
      </c>
      <c r="E2488">
        <v>22</v>
      </c>
      <c r="F2488" t="s">
        <v>31</v>
      </c>
      <c r="G2488" t="s">
        <v>37</v>
      </c>
      <c r="H2488" s="1">
        <v>203.3</v>
      </c>
      <c r="I2488" t="s">
        <v>28</v>
      </c>
      <c r="J2488">
        <v>1</v>
      </c>
      <c r="K2488">
        <v>2</v>
      </c>
    </row>
    <row r="2489" spans="1:11" x14ac:dyDescent="0.35">
      <c r="A2489" t="s">
        <v>2526</v>
      </c>
      <c r="B2489">
        <v>34</v>
      </c>
      <c r="C2489" t="s">
        <v>12</v>
      </c>
      <c r="D2489" t="s">
        <v>13</v>
      </c>
      <c r="E2489">
        <v>19</v>
      </c>
      <c r="F2489" t="s">
        <v>31</v>
      </c>
      <c r="G2489" t="s">
        <v>37</v>
      </c>
      <c r="H2489" s="1">
        <v>159.05000000000001</v>
      </c>
      <c r="I2489" t="s">
        <v>24</v>
      </c>
      <c r="J2489">
        <v>1</v>
      </c>
      <c r="K2489">
        <v>4</v>
      </c>
    </row>
    <row r="2490" spans="1:11" x14ac:dyDescent="0.35">
      <c r="A2490" t="s">
        <v>2527</v>
      </c>
      <c r="B2490">
        <v>74</v>
      </c>
      <c r="C2490" t="s">
        <v>12</v>
      </c>
      <c r="D2490" t="s">
        <v>30</v>
      </c>
      <c r="E2490">
        <v>5</v>
      </c>
      <c r="F2490" t="s">
        <v>31</v>
      </c>
      <c r="G2490" t="s">
        <v>27</v>
      </c>
      <c r="H2490" s="1">
        <v>46.69</v>
      </c>
      <c r="I2490" t="s">
        <v>24</v>
      </c>
      <c r="J2490">
        <v>0</v>
      </c>
      <c r="K2490">
        <v>7</v>
      </c>
    </row>
    <row r="2491" spans="1:11" x14ac:dyDescent="0.35">
      <c r="A2491" t="s">
        <v>2528</v>
      </c>
      <c r="B2491">
        <v>35</v>
      </c>
      <c r="C2491" t="s">
        <v>12</v>
      </c>
      <c r="D2491" t="s">
        <v>47</v>
      </c>
      <c r="E2491">
        <v>6</v>
      </c>
      <c r="F2491" t="s">
        <v>33</v>
      </c>
      <c r="G2491" t="s">
        <v>27</v>
      </c>
      <c r="H2491" s="1">
        <v>156.77000000000001</v>
      </c>
      <c r="I2491" t="s">
        <v>43</v>
      </c>
      <c r="J2491">
        <v>0</v>
      </c>
      <c r="K2491">
        <v>8</v>
      </c>
    </row>
    <row r="2492" spans="1:11" x14ac:dyDescent="0.35">
      <c r="A2492" t="s">
        <v>2529</v>
      </c>
      <c r="B2492">
        <v>53</v>
      </c>
      <c r="C2492" t="s">
        <v>12</v>
      </c>
      <c r="D2492" t="s">
        <v>30</v>
      </c>
      <c r="E2492">
        <v>6</v>
      </c>
      <c r="F2492" t="s">
        <v>26</v>
      </c>
      <c r="G2492" t="s">
        <v>23</v>
      </c>
      <c r="H2492" s="1">
        <v>563.17999999999995</v>
      </c>
      <c r="I2492" t="s">
        <v>24</v>
      </c>
      <c r="J2492">
        <v>2</v>
      </c>
      <c r="K2492">
        <v>10</v>
      </c>
    </row>
    <row r="2493" spans="1:11" x14ac:dyDescent="0.35">
      <c r="A2493" t="s">
        <v>2530</v>
      </c>
      <c r="B2493">
        <v>57</v>
      </c>
      <c r="C2493" t="s">
        <v>18</v>
      </c>
      <c r="D2493" t="s">
        <v>13</v>
      </c>
      <c r="E2493">
        <v>18</v>
      </c>
      <c r="F2493" t="s">
        <v>22</v>
      </c>
      <c r="G2493" t="s">
        <v>15</v>
      </c>
      <c r="H2493" s="1">
        <v>109.65</v>
      </c>
      <c r="I2493" t="s">
        <v>24</v>
      </c>
      <c r="J2493">
        <v>0</v>
      </c>
      <c r="K2493">
        <v>8</v>
      </c>
    </row>
    <row r="2494" spans="1:11" x14ac:dyDescent="0.35">
      <c r="A2494" t="s">
        <v>2531</v>
      </c>
      <c r="B2494">
        <v>47</v>
      </c>
      <c r="C2494" t="s">
        <v>189</v>
      </c>
      <c r="D2494" t="s">
        <v>13</v>
      </c>
      <c r="E2494">
        <v>9</v>
      </c>
      <c r="F2494" t="s">
        <v>31</v>
      </c>
      <c r="G2494" t="s">
        <v>37</v>
      </c>
      <c r="H2494" s="1">
        <v>157.38</v>
      </c>
      <c r="I2494" t="s">
        <v>43</v>
      </c>
      <c r="J2494">
        <v>0</v>
      </c>
      <c r="K2494">
        <v>8</v>
      </c>
    </row>
    <row r="2495" spans="1:11" x14ac:dyDescent="0.35">
      <c r="A2495" t="s">
        <v>2532</v>
      </c>
      <c r="B2495">
        <v>64</v>
      </c>
      <c r="C2495" t="s">
        <v>18</v>
      </c>
      <c r="D2495" t="s">
        <v>30</v>
      </c>
      <c r="E2495">
        <v>7</v>
      </c>
      <c r="F2495" t="s">
        <v>33</v>
      </c>
      <c r="G2495" t="s">
        <v>37</v>
      </c>
      <c r="H2495" s="1">
        <v>98.37</v>
      </c>
      <c r="I2495" t="s">
        <v>24</v>
      </c>
      <c r="J2495">
        <v>2</v>
      </c>
      <c r="K2495">
        <v>7</v>
      </c>
    </row>
    <row r="2496" spans="1:11" x14ac:dyDescent="0.35">
      <c r="A2496" t="s">
        <v>2533</v>
      </c>
      <c r="B2496">
        <v>66</v>
      </c>
      <c r="C2496" t="s">
        <v>18</v>
      </c>
      <c r="D2496" t="s">
        <v>57</v>
      </c>
      <c r="E2496">
        <v>47</v>
      </c>
      <c r="F2496" t="s">
        <v>33</v>
      </c>
      <c r="G2496" t="s">
        <v>15</v>
      </c>
      <c r="H2496" s="1">
        <v>156.43</v>
      </c>
      <c r="I2496" t="s">
        <v>24</v>
      </c>
      <c r="J2496">
        <v>0</v>
      </c>
      <c r="K2496">
        <v>4</v>
      </c>
    </row>
    <row r="2497" spans="1:11" x14ac:dyDescent="0.35">
      <c r="A2497" t="s">
        <v>2534</v>
      </c>
      <c r="B2497">
        <v>83</v>
      </c>
      <c r="C2497" t="s">
        <v>18</v>
      </c>
      <c r="D2497" t="s">
        <v>41</v>
      </c>
      <c r="E2497">
        <v>4</v>
      </c>
      <c r="F2497" t="s">
        <v>26</v>
      </c>
      <c r="G2497" t="s">
        <v>23</v>
      </c>
      <c r="H2497" s="1">
        <v>449.2</v>
      </c>
      <c r="I2497" t="s">
        <v>24</v>
      </c>
      <c r="J2497">
        <v>0</v>
      </c>
      <c r="K2497">
        <v>7</v>
      </c>
    </row>
    <row r="2498" spans="1:11" x14ac:dyDescent="0.35">
      <c r="A2498" t="s">
        <v>2535</v>
      </c>
      <c r="B2498">
        <v>22</v>
      </c>
      <c r="C2498" t="s">
        <v>18</v>
      </c>
      <c r="D2498" t="s">
        <v>19</v>
      </c>
      <c r="E2498">
        <v>15</v>
      </c>
      <c r="F2498" t="s">
        <v>22</v>
      </c>
      <c r="G2498" t="s">
        <v>27</v>
      </c>
      <c r="H2498" s="1">
        <v>157.37</v>
      </c>
      <c r="I2498" t="s">
        <v>24</v>
      </c>
      <c r="J2498">
        <v>0</v>
      </c>
      <c r="K2498">
        <v>5</v>
      </c>
    </row>
    <row r="2499" spans="1:11" x14ac:dyDescent="0.35">
      <c r="A2499" t="s">
        <v>2536</v>
      </c>
      <c r="B2499">
        <v>20</v>
      </c>
      <c r="C2499" t="s">
        <v>12</v>
      </c>
      <c r="D2499" t="s">
        <v>19</v>
      </c>
      <c r="E2499">
        <v>22</v>
      </c>
      <c r="F2499" t="s">
        <v>14</v>
      </c>
      <c r="G2499" t="s">
        <v>23</v>
      </c>
      <c r="H2499" s="1">
        <v>0</v>
      </c>
      <c r="I2499" t="s">
        <v>16</v>
      </c>
      <c r="J2499">
        <v>2</v>
      </c>
      <c r="K2499">
        <v>3</v>
      </c>
    </row>
    <row r="2500" spans="1:11" x14ac:dyDescent="0.35">
      <c r="A2500" t="s">
        <v>2537</v>
      </c>
      <c r="B2500">
        <v>42</v>
      </c>
      <c r="C2500" t="s">
        <v>18</v>
      </c>
      <c r="D2500" t="s">
        <v>19</v>
      </c>
      <c r="E2500">
        <v>14</v>
      </c>
      <c r="F2500" t="s">
        <v>33</v>
      </c>
      <c r="G2500" t="s">
        <v>23</v>
      </c>
      <c r="H2500" s="1">
        <v>563.5</v>
      </c>
      <c r="I2500" t="s">
        <v>24</v>
      </c>
      <c r="J2500">
        <v>1</v>
      </c>
      <c r="K2500">
        <v>5</v>
      </c>
    </row>
    <row r="2501" spans="1:11" x14ac:dyDescent="0.35">
      <c r="A2501" t="s">
        <v>2538</v>
      </c>
      <c r="B2501">
        <v>27</v>
      </c>
      <c r="C2501" t="s">
        <v>18</v>
      </c>
      <c r="D2501" t="s">
        <v>21</v>
      </c>
      <c r="E2501">
        <v>29</v>
      </c>
      <c r="F2501" t="s">
        <v>31</v>
      </c>
      <c r="G2501" t="s">
        <v>23</v>
      </c>
      <c r="H2501" s="1">
        <v>501.36</v>
      </c>
      <c r="I2501" t="s">
        <v>28</v>
      </c>
      <c r="J2501">
        <v>4</v>
      </c>
      <c r="K2501">
        <v>4</v>
      </c>
    </row>
    <row r="2502" spans="1:11" x14ac:dyDescent="0.35">
      <c r="A2502" t="s">
        <v>2539</v>
      </c>
      <c r="B2502">
        <v>19</v>
      </c>
      <c r="C2502" t="s">
        <v>18</v>
      </c>
      <c r="D2502" t="s">
        <v>21</v>
      </c>
      <c r="E2502">
        <v>30</v>
      </c>
      <c r="F2502" t="s">
        <v>26</v>
      </c>
      <c r="G2502" t="s">
        <v>27</v>
      </c>
      <c r="H2502" s="1">
        <v>141.16999999999999</v>
      </c>
      <c r="I2502" t="s">
        <v>24</v>
      </c>
      <c r="J2502">
        <v>3</v>
      </c>
      <c r="K2502">
        <v>4</v>
      </c>
    </row>
    <row r="2503" spans="1:11" x14ac:dyDescent="0.35">
      <c r="A2503" t="s">
        <v>2540</v>
      </c>
      <c r="B2503">
        <v>42</v>
      </c>
      <c r="C2503" t="s">
        <v>12</v>
      </c>
      <c r="D2503" t="s">
        <v>21</v>
      </c>
      <c r="E2503">
        <v>48</v>
      </c>
      <c r="F2503" t="s">
        <v>33</v>
      </c>
      <c r="G2503" t="s">
        <v>37</v>
      </c>
      <c r="H2503" s="1">
        <v>127.96</v>
      </c>
      <c r="I2503" t="s">
        <v>24</v>
      </c>
      <c r="J2503">
        <v>4</v>
      </c>
      <c r="K2503">
        <v>1</v>
      </c>
    </row>
    <row r="2504" spans="1:11" x14ac:dyDescent="0.35">
      <c r="A2504" t="s">
        <v>2541</v>
      </c>
      <c r="B2504">
        <v>75</v>
      </c>
      <c r="C2504" t="s">
        <v>12</v>
      </c>
      <c r="D2504" t="s">
        <v>19</v>
      </c>
      <c r="E2504">
        <v>15</v>
      </c>
      <c r="F2504" t="s">
        <v>22</v>
      </c>
      <c r="G2504" t="s">
        <v>23</v>
      </c>
      <c r="H2504" s="1">
        <v>307.77999999999997</v>
      </c>
      <c r="I2504" t="s">
        <v>24</v>
      </c>
      <c r="J2504">
        <v>1</v>
      </c>
      <c r="K2504">
        <v>5</v>
      </c>
    </row>
    <row r="2505" spans="1:11" x14ac:dyDescent="0.35">
      <c r="A2505" t="s">
        <v>2542</v>
      </c>
      <c r="B2505">
        <v>42</v>
      </c>
      <c r="C2505" t="s">
        <v>18</v>
      </c>
      <c r="D2505" t="s">
        <v>13</v>
      </c>
      <c r="E2505">
        <v>21</v>
      </c>
      <c r="F2505" t="s">
        <v>31</v>
      </c>
      <c r="G2505" t="s">
        <v>34</v>
      </c>
      <c r="H2505" s="1">
        <v>217.35</v>
      </c>
      <c r="I2505" t="s">
        <v>24</v>
      </c>
      <c r="J2505">
        <v>4</v>
      </c>
      <c r="K2505">
        <v>5</v>
      </c>
    </row>
    <row r="2506" spans="1:11" x14ac:dyDescent="0.35">
      <c r="A2506" t="s">
        <v>2543</v>
      </c>
      <c r="B2506">
        <v>49</v>
      </c>
      <c r="C2506" t="s">
        <v>18</v>
      </c>
      <c r="D2506" t="s">
        <v>21</v>
      </c>
      <c r="E2506">
        <v>29</v>
      </c>
      <c r="F2506" t="s">
        <v>22</v>
      </c>
      <c r="G2506" t="s">
        <v>15</v>
      </c>
      <c r="H2506" s="1">
        <v>409.66</v>
      </c>
      <c r="I2506" t="s">
        <v>24</v>
      </c>
      <c r="J2506">
        <v>2</v>
      </c>
      <c r="K2506">
        <v>2</v>
      </c>
    </row>
    <row r="2507" spans="1:11" x14ac:dyDescent="0.35">
      <c r="A2507" t="s">
        <v>2544</v>
      </c>
      <c r="B2507">
        <v>66</v>
      </c>
      <c r="C2507" t="s">
        <v>12</v>
      </c>
      <c r="D2507" t="s">
        <v>30</v>
      </c>
      <c r="E2507">
        <v>9</v>
      </c>
      <c r="F2507" t="s">
        <v>33</v>
      </c>
      <c r="G2507" t="s">
        <v>23</v>
      </c>
      <c r="H2507" s="1">
        <v>394.28</v>
      </c>
      <c r="I2507" t="s">
        <v>28</v>
      </c>
      <c r="J2507">
        <v>3</v>
      </c>
      <c r="K2507">
        <v>8</v>
      </c>
    </row>
    <row r="2508" spans="1:11" x14ac:dyDescent="0.35">
      <c r="A2508" t="s">
        <v>2545</v>
      </c>
      <c r="B2508">
        <v>21</v>
      </c>
      <c r="C2508" t="s">
        <v>18</v>
      </c>
      <c r="D2508" t="s">
        <v>13</v>
      </c>
      <c r="E2508">
        <v>6</v>
      </c>
      <c r="F2508" t="s">
        <v>26</v>
      </c>
      <c r="G2508" t="s">
        <v>27</v>
      </c>
      <c r="H2508" s="1">
        <v>80.38</v>
      </c>
      <c r="I2508" t="s">
        <v>24</v>
      </c>
      <c r="J2508">
        <v>1</v>
      </c>
      <c r="K2508">
        <v>8</v>
      </c>
    </row>
    <row r="2509" spans="1:11" x14ac:dyDescent="0.35">
      <c r="A2509" t="s">
        <v>2546</v>
      </c>
      <c r="B2509">
        <v>24</v>
      </c>
      <c r="C2509" t="s">
        <v>12</v>
      </c>
      <c r="D2509" t="s">
        <v>41</v>
      </c>
      <c r="E2509">
        <v>3</v>
      </c>
      <c r="F2509" t="s">
        <v>33</v>
      </c>
      <c r="G2509" t="s">
        <v>15</v>
      </c>
      <c r="H2509" s="1">
        <v>295.73</v>
      </c>
      <c r="I2509" t="s">
        <v>24</v>
      </c>
      <c r="J2509">
        <v>2</v>
      </c>
      <c r="K2509">
        <v>7</v>
      </c>
    </row>
    <row r="2510" spans="1:11" x14ac:dyDescent="0.35">
      <c r="A2510" t="s">
        <v>2547</v>
      </c>
      <c r="B2510">
        <v>38</v>
      </c>
      <c r="C2510" t="s">
        <v>12</v>
      </c>
      <c r="D2510" t="s">
        <v>13</v>
      </c>
      <c r="E2510">
        <v>22</v>
      </c>
      <c r="F2510" t="s">
        <v>22</v>
      </c>
      <c r="G2510" t="s">
        <v>37</v>
      </c>
      <c r="H2510" s="1">
        <v>200.26</v>
      </c>
      <c r="I2510" t="s">
        <v>28</v>
      </c>
      <c r="J2510">
        <v>1</v>
      </c>
      <c r="K2510">
        <v>2</v>
      </c>
    </row>
    <row r="2511" spans="1:11" x14ac:dyDescent="0.35">
      <c r="A2511" t="s">
        <v>2548</v>
      </c>
      <c r="B2511">
        <v>23</v>
      </c>
      <c r="C2511" t="s">
        <v>18</v>
      </c>
      <c r="D2511" t="s">
        <v>19</v>
      </c>
      <c r="E2511">
        <v>11</v>
      </c>
      <c r="F2511" t="s">
        <v>33</v>
      </c>
      <c r="G2511" t="s">
        <v>23</v>
      </c>
      <c r="H2511" s="1">
        <v>539.30999999999995</v>
      </c>
      <c r="I2511" t="s">
        <v>24</v>
      </c>
      <c r="J2511">
        <v>0</v>
      </c>
      <c r="K2511">
        <v>4</v>
      </c>
    </row>
    <row r="2512" spans="1:11" x14ac:dyDescent="0.35">
      <c r="A2512" t="s">
        <v>2549</v>
      </c>
      <c r="B2512">
        <v>52</v>
      </c>
      <c r="C2512" t="s">
        <v>12</v>
      </c>
      <c r="D2512" t="s">
        <v>19</v>
      </c>
      <c r="E2512">
        <v>23</v>
      </c>
      <c r="F2512" t="s">
        <v>22</v>
      </c>
      <c r="G2512" t="s">
        <v>15</v>
      </c>
      <c r="H2512" s="1">
        <v>388.23</v>
      </c>
      <c r="I2512" t="s">
        <v>24</v>
      </c>
      <c r="J2512">
        <v>1</v>
      </c>
      <c r="K2512">
        <v>5</v>
      </c>
    </row>
    <row r="2513" spans="1:11" x14ac:dyDescent="0.35">
      <c r="A2513" t="s">
        <v>2550</v>
      </c>
      <c r="B2513">
        <v>18</v>
      </c>
      <c r="C2513" t="s">
        <v>18</v>
      </c>
      <c r="D2513" t="s">
        <v>21</v>
      </c>
      <c r="E2513">
        <v>32</v>
      </c>
      <c r="F2513" t="s">
        <v>22</v>
      </c>
      <c r="G2513" t="s">
        <v>27</v>
      </c>
      <c r="H2513" s="1">
        <v>139.55000000000001</v>
      </c>
      <c r="I2513" t="s">
        <v>24</v>
      </c>
      <c r="J2513">
        <v>4</v>
      </c>
      <c r="K2513">
        <v>5</v>
      </c>
    </row>
    <row r="2514" spans="1:11" x14ac:dyDescent="0.35">
      <c r="A2514" t="s">
        <v>2551</v>
      </c>
      <c r="B2514">
        <v>60</v>
      </c>
      <c r="C2514" t="s">
        <v>18</v>
      </c>
      <c r="D2514" t="s">
        <v>57</v>
      </c>
      <c r="E2514">
        <v>45</v>
      </c>
      <c r="F2514" t="s">
        <v>33</v>
      </c>
      <c r="G2514" t="s">
        <v>34</v>
      </c>
      <c r="H2514" s="1">
        <v>172.82</v>
      </c>
      <c r="I2514" t="s">
        <v>43</v>
      </c>
      <c r="J2514">
        <v>3</v>
      </c>
      <c r="K2514">
        <v>4</v>
      </c>
    </row>
    <row r="2515" spans="1:11" x14ac:dyDescent="0.35">
      <c r="A2515" t="s">
        <v>2552</v>
      </c>
      <c r="B2515">
        <v>19</v>
      </c>
      <c r="C2515" t="s">
        <v>12</v>
      </c>
      <c r="D2515" t="s">
        <v>21</v>
      </c>
      <c r="E2515">
        <v>47</v>
      </c>
      <c r="F2515" t="s">
        <v>22</v>
      </c>
      <c r="G2515" t="s">
        <v>15</v>
      </c>
      <c r="H2515" s="1">
        <v>324.68</v>
      </c>
      <c r="I2515" t="s">
        <v>28</v>
      </c>
      <c r="J2515">
        <v>2</v>
      </c>
      <c r="K2515">
        <v>5</v>
      </c>
    </row>
    <row r="2516" spans="1:11" x14ac:dyDescent="0.35">
      <c r="A2516" t="s">
        <v>2553</v>
      </c>
      <c r="B2516">
        <v>27</v>
      </c>
      <c r="C2516" t="s">
        <v>12</v>
      </c>
      <c r="D2516" t="s">
        <v>30</v>
      </c>
      <c r="E2516">
        <v>13</v>
      </c>
      <c r="F2516" t="s">
        <v>31</v>
      </c>
      <c r="G2516" t="s">
        <v>23</v>
      </c>
      <c r="H2516" s="1">
        <v>499.64</v>
      </c>
      <c r="I2516" t="s">
        <v>24</v>
      </c>
      <c r="J2516">
        <v>2</v>
      </c>
      <c r="K2516">
        <v>6</v>
      </c>
    </row>
    <row r="2517" spans="1:11" x14ac:dyDescent="0.35">
      <c r="A2517" t="s">
        <v>2554</v>
      </c>
      <c r="B2517">
        <v>37</v>
      </c>
      <c r="C2517" t="s">
        <v>18</v>
      </c>
      <c r="D2517" t="s">
        <v>19</v>
      </c>
      <c r="E2517">
        <v>8</v>
      </c>
      <c r="F2517" t="s">
        <v>33</v>
      </c>
      <c r="G2517" t="s">
        <v>34</v>
      </c>
      <c r="H2517" s="1">
        <v>166.07</v>
      </c>
      <c r="I2517" t="s">
        <v>24</v>
      </c>
      <c r="J2517">
        <v>0</v>
      </c>
      <c r="K2517">
        <v>8</v>
      </c>
    </row>
    <row r="2518" spans="1:11" x14ac:dyDescent="0.35">
      <c r="A2518" t="s">
        <v>2555</v>
      </c>
      <c r="B2518">
        <v>65</v>
      </c>
      <c r="C2518" t="s">
        <v>12</v>
      </c>
      <c r="D2518" t="s">
        <v>21</v>
      </c>
      <c r="E2518">
        <v>19</v>
      </c>
      <c r="F2518" t="s">
        <v>22</v>
      </c>
      <c r="G2518" t="s">
        <v>23</v>
      </c>
      <c r="H2518" s="1">
        <v>74.89</v>
      </c>
      <c r="I2518" t="s">
        <v>24</v>
      </c>
      <c r="J2518">
        <v>1</v>
      </c>
      <c r="K2518">
        <v>5</v>
      </c>
    </row>
    <row r="2519" spans="1:11" x14ac:dyDescent="0.35">
      <c r="A2519" t="s">
        <v>2556</v>
      </c>
      <c r="B2519">
        <v>82</v>
      </c>
      <c r="C2519" t="s">
        <v>12</v>
      </c>
      <c r="D2519" t="s">
        <v>19</v>
      </c>
      <c r="E2519">
        <v>17</v>
      </c>
      <c r="F2519" t="s">
        <v>22</v>
      </c>
      <c r="G2519" t="s">
        <v>37</v>
      </c>
      <c r="H2519" s="1">
        <v>127.64</v>
      </c>
      <c r="I2519" t="s">
        <v>24</v>
      </c>
      <c r="J2519">
        <v>1</v>
      </c>
      <c r="K2519">
        <v>6</v>
      </c>
    </row>
    <row r="2520" spans="1:11" x14ac:dyDescent="0.35">
      <c r="A2520" t="s">
        <v>2557</v>
      </c>
      <c r="B2520">
        <v>51</v>
      </c>
      <c r="C2520" t="s">
        <v>12</v>
      </c>
      <c r="D2520" t="s">
        <v>19</v>
      </c>
      <c r="E2520">
        <v>15</v>
      </c>
      <c r="F2520" t="s">
        <v>22</v>
      </c>
      <c r="G2520" t="s">
        <v>27</v>
      </c>
      <c r="H2520" s="1">
        <v>48.13</v>
      </c>
      <c r="I2520" t="s">
        <v>24</v>
      </c>
      <c r="J2520">
        <v>0</v>
      </c>
      <c r="K2520">
        <v>8</v>
      </c>
    </row>
    <row r="2521" spans="1:11" x14ac:dyDescent="0.35">
      <c r="A2521" t="s">
        <v>2558</v>
      </c>
      <c r="B2521">
        <v>76</v>
      </c>
      <c r="C2521" t="s">
        <v>12</v>
      </c>
      <c r="D2521" t="s">
        <v>30</v>
      </c>
      <c r="E2521">
        <v>6</v>
      </c>
      <c r="F2521" t="s">
        <v>22</v>
      </c>
      <c r="G2521" t="s">
        <v>15</v>
      </c>
      <c r="H2521" s="1">
        <v>199.13</v>
      </c>
      <c r="I2521" t="s">
        <v>24</v>
      </c>
      <c r="J2521">
        <v>0</v>
      </c>
      <c r="K2521">
        <v>7</v>
      </c>
    </row>
    <row r="2522" spans="1:11" x14ac:dyDescent="0.35">
      <c r="A2522" t="s">
        <v>2559</v>
      </c>
      <c r="B2522">
        <v>70</v>
      </c>
      <c r="C2522" t="s">
        <v>12</v>
      </c>
      <c r="D2522" t="s">
        <v>21</v>
      </c>
      <c r="E2522">
        <v>34</v>
      </c>
      <c r="F2522" t="s">
        <v>22</v>
      </c>
      <c r="G2522" t="s">
        <v>23</v>
      </c>
      <c r="H2522" s="1">
        <v>467.99</v>
      </c>
      <c r="I2522" t="s">
        <v>24</v>
      </c>
      <c r="J2522">
        <v>4</v>
      </c>
      <c r="K2522">
        <v>2</v>
      </c>
    </row>
    <row r="2523" spans="1:11" x14ac:dyDescent="0.35">
      <c r="A2523" t="s">
        <v>2560</v>
      </c>
      <c r="B2523">
        <v>68</v>
      </c>
      <c r="C2523" t="s">
        <v>12</v>
      </c>
      <c r="D2523" t="s">
        <v>19</v>
      </c>
      <c r="E2523">
        <v>22</v>
      </c>
      <c r="F2523" t="s">
        <v>33</v>
      </c>
      <c r="G2523" t="s">
        <v>23</v>
      </c>
      <c r="H2523" s="1">
        <v>312.75</v>
      </c>
      <c r="I2523" t="s">
        <v>24</v>
      </c>
      <c r="J2523">
        <v>3</v>
      </c>
      <c r="K2523">
        <v>3</v>
      </c>
    </row>
    <row r="2524" spans="1:11" x14ac:dyDescent="0.35">
      <c r="A2524" t="s">
        <v>2561</v>
      </c>
      <c r="B2524">
        <v>46</v>
      </c>
      <c r="C2524" t="s">
        <v>18</v>
      </c>
      <c r="D2524" t="s">
        <v>21</v>
      </c>
      <c r="E2524">
        <v>46</v>
      </c>
      <c r="F2524" t="s">
        <v>31</v>
      </c>
      <c r="G2524" t="s">
        <v>37</v>
      </c>
      <c r="H2524" s="1">
        <v>143.09</v>
      </c>
      <c r="I2524" t="s">
        <v>24</v>
      </c>
      <c r="J2524">
        <v>3</v>
      </c>
      <c r="K2524">
        <v>3</v>
      </c>
    </row>
    <row r="2525" spans="1:11" x14ac:dyDescent="0.35">
      <c r="A2525" t="s">
        <v>2562</v>
      </c>
      <c r="B2525">
        <v>57</v>
      </c>
      <c r="C2525" t="s">
        <v>18</v>
      </c>
      <c r="D2525" t="s">
        <v>47</v>
      </c>
      <c r="E2525">
        <v>5</v>
      </c>
      <c r="F2525" t="s">
        <v>26</v>
      </c>
      <c r="G2525" t="s">
        <v>34</v>
      </c>
      <c r="H2525" s="1">
        <v>115.56</v>
      </c>
      <c r="I2525" t="s">
        <v>24</v>
      </c>
      <c r="J2525">
        <v>0</v>
      </c>
      <c r="K2525">
        <v>8</v>
      </c>
    </row>
    <row r="2526" spans="1:11" x14ac:dyDescent="0.35">
      <c r="A2526" t="s">
        <v>2563</v>
      </c>
      <c r="B2526">
        <v>78</v>
      </c>
      <c r="C2526" t="s">
        <v>12</v>
      </c>
      <c r="D2526" t="s">
        <v>30</v>
      </c>
      <c r="E2526">
        <v>9</v>
      </c>
      <c r="F2526" t="s">
        <v>33</v>
      </c>
      <c r="G2526" t="s">
        <v>23</v>
      </c>
      <c r="H2526" s="1">
        <v>235.41</v>
      </c>
      <c r="I2526" t="s">
        <v>24</v>
      </c>
      <c r="J2526">
        <v>1</v>
      </c>
      <c r="K2526">
        <v>8</v>
      </c>
    </row>
    <row r="2527" spans="1:11" x14ac:dyDescent="0.35">
      <c r="A2527" t="s">
        <v>2564</v>
      </c>
      <c r="B2527">
        <v>85</v>
      </c>
      <c r="C2527" t="s">
        <v>18</v>
      </c>
      <c r="D2527" t="s">
        <v>19</v>
      </c>
      <c r="E2527">
        <v>24</v>
      </c>
      <c r="F2527" t="s">
        <v>33</v>
      </c>
      <c r="G2527" t="s">
        <v>15</v>
      </c>
      <c r="H2527" s="1">
        <v>375.11</v>
      </c>
      <c r="I2527" t="s">
        <v>24</v>
      </c>
      <c r="J2527">
        <v>3</v>
      </c>
      <c r="K2527">
        <v>3</v>
      </c>
    </row>
    <row r="2528" spans="1:11" x14ac:dyDescent="0.35">
      <c r="A2528" t="s">
        <v>2565</v>
      </c>
      <c r="B2528">
        <v>43</v>
      </c>
      <c r="C2528" t="s">
        <v>18</v>
      </c>
      <c r="D2528" t="s">
        <v>19</v>
      </c>
      <c r="E2528">
        <v>9</v>
      </c>
      <c r="F2528" t="s">
        <v>26</v>
      </c>
      <c r="G2528" t="s">
        <v>27</v>
      </c>
      <c r="H2528" s="1">
        <v>95.59</v>
      </c>
      <c r="I2528" t="s">
        <v>24</v>
      </c>
      <c r="J2528">
        <v>1</v>
      </c>
      <c r="K2528">
        <v>7</v>
      </c>
    </row>
    <row r="2529" spans="1:11" x14ac:dyDescent="0.35">
      <c r="A2529" t="s">
        <v>2566</v>
      </c>
      <c r="B2529">
        <v>63</v>
      </c>
      <c r="C2529" t="s">
        <v>12</v>
      </c>
      <c r="D2529" t="s">
        <v>30</v>
      </c>
      <c r="E2529">
        <v>6</v>
      </c>
      <c r="F2529" t="s">
        <v>33</v>
      </c>
      <c r="G2529" t="s">
        <v>37</v>
      </c>
      <c r="H2529" s="1">
        <v>207.16</v>
      </c>
      <c r="I2529" t="s">
        <v>24</v>
      </c>
      <c r="J2529">
        <v>2</v>
      </c>
      <c r="K2529">
        <v>8</v>
      </c>
    </row>
    <row r="2530" spans="1:11" x14ac:dyDescent="0.35">
      <c r="A2530" t="s">
        <v>2567</v>
      </c>
      <c r="B2530">
        <v>60</v>
      </c>
      <c r="C2530" t="s">
        <v>18</v>
      </c>
      <c r="D2530" t="s">
        <v>19</v>
      </c>
      <c r="E2530">
        <v>13</v>
      </c>
      <c r="F2530" t="s">
        <v>26</v>
      </c>
      <c r="G2530" t="s">
        <v>23</v>
      </c>
      <c r="H2530" s="1">
        <v>259.82</v>
      </c>
      <c r="I2530" t="s">
        <v>28</v>
      </c>
      <c r="J2530">
        <v>0</v>
      </c>
      <c r="K2530">
        <v>6</v>
      </c>
    </row>
    <row r="2531" spans="1:11" x14ac:dyDescent="0.35">
      <c r="A2531" t="s">
        <v>2568</v>
      </c>
      <c r="B2531">
        <v>57</v>
      </c>
      <c r="C2531" t="s">
        <v>12</v>
      </c>
      <c r="D2531" t="s">
        <v>13</v>
      </c>
      <c r="E2531">
        <v>19</v>
      </c>
      <c r="F2531" t="s">
        <v>22</v>
      </c>
      <c r="G2531" t="s">
        <v>27</v>
      </c>
      <c r="H2531" s="1">
        <v>37.090000000000003</v>
      </c>
      <c r="I2531" t="s">
        <v>24</v>
      </c>
      <c r="J2531">
        <v>4</v>
      </c>
      <c r="K2531">
        <v>2</v>
      </c>
    </row>
    <row r="2532" spans="1:11" x14ac:dyDescent="0.35">
      <c r="A2532" t="s">
        <v>2569</v>
      </c>
      <c r="B2532">
        <v>47</v>
      </c>
      <c r="C2532" t="s">
        <v>18</v>
      </c>
      <c r="D2532" t="s">
        <v>19</v>
      </c>
      <c r="E2532">
        <v>13</v>
      </c>
      <c r="F2532" t="s">
        <v>33</v>
      </c>
      <c r="G2532" t="s">
        <v>37</v>
      </c>
      <c r="H2532" s="1">
        <v>212.58</v>
      </c>
      <c r="I2532" t="s">
        <v>24</v>
      </c>
      <c r="J2532">
        <v>1</v>
      </c>
      <c r="K2532">
        <v>5</v>
      </c>
    </row>
    <row r="2533" spans="1:11" x14ac:dyDescent="0.35">
      <c r="A2533" t="s">
        <v>2570</v>
      </c>
      <c r="B2533">
        <v>85</v>
      </c>
      <c r="C2533" t="s">
        <v>18</v>
      </c>
      <c r="D2533" t="s">
        <v>21</v>
      </c>
      <c r="E2533">
        <v>14</v>
      </c>
      <c r="F2533" t="s">
        <v>31</v>
      </c>
      <c r="G2533" t="s">
        <v>15</v>
      </c>
      <c r="H2533" s="1">
        <v>336.94</v>
      </c>
      <c r="I2533" t="s">
        <v>24</v>
      </c>
      <c r="J2533">
        <v>0</v>
      </c>
      <c r="K2533">
        <v>6</v>
      </c>
    </row>
    <row r="2534" spans="1:11" x14ac:dyDescent="0.35">
      <c r="A2534" t="s">
        <v>2571</v>
      </c>
      <c r="B2534">
        <v>68</v>
      </c>
      <c r="C2534" t="s">
        <v>12</v>
      </c>
      <c r="D2534" t="s">
        <v>30</v>
      </c>
      <c r="E2534">
        <v>6</v>
      </c>
      <c r="F2534" t="s">
        <v>33</v>
      </c>
      <c r="G2534" t="s">
        <v>15</v>
      </c>
      <c r="H2534" s="1">
        <v>104.02</v>
      </c>
      <c r="I2534" t="s">
        <v>24</v>
      </c>
      <c r="J2534">
        <v>0</v>
      </c>
      <c r="K2534">
        <v>8</v>
      </c>
    </row>
    <row r="2535" spans="1:11" x14ac:dyDescent="0.35">
      <c r="A2535" t="s">
        <v>2572</v>
      </c>
      <c r="B2535">
        <v>70</v>
      </c>
      <c r="C2535" t="s">
        <v>18</v>
      </c>
      <c r="D2535" t="s">
        <v>21</v>
      </c>
      <c r="E2535">
        <v>25</v>
      </c>
      <c r="F2535" t="s">
        <v>31</v>
      </c>
      <c r="G2535" t="s">
        <v>27</v>
      </c>
      <c r="H2535" s="1">
        <v>73.45</v>
      </c>
      <c r="I2535" t="s">
        <v>24</v>
      </c>
      <c r="J2535">
        <v>3</v>
      </c>
      <c r="K2535">
        <v>3</v>
      </c>
    </row>
    <row r="2536" spans="1:11" x14ac:dyDescent="0.35">
      <c r="A2536" t="s">
        <v>2573</v>
      </c>
      <c r="B2536">
        <v>29</v>
      </c>
      <c r="C2536" t="s">
        <v>12</v>
      </c>
      <c r="D2536" t="s">
        <v>30</v>
      </c>
      <c r="E2536">
        <v>9</v>
      </c>
      <c r="F2536" t="s">
        <v>22</v>
      </c>
      <c r="G2536" t="s">
        <v>23</v>
      </c>
      <c r="H2536" s="1">
        <v>469.03</v>
      </c>
      <c r="I2536" t="s">
        <v>43</v>
      </c>
      <c r="J2536">
        <v>3</v>
      </c>
      <c r="K2536">
        <v>8</v>
      </c>
    </row>
    <row r="2537" spans="1:11" x14ac:dyDescent="0.35">
      <c r="A2537" t="s">
        <v>2574</v>
      </c>
      <c r="B2537">
        <v>84</v>
      </c>
      <c r="C2537" t="s">
        <v>12</v>
      </c>
      <c r="D2537" t="s">
        <v>57</v>
      </c>
      <c r="E2537">
        <v>19</v>
      </c>
      <c r="F2537" t="s">
        <v>22</v>
      </c>
      <c r="G2537" t="s">
        <v>27</v>
      </c>
      <c r="H2537" s="1">
        <v>69.83</v>
      </c>
      <c r="I2537" t="s">
        <v>24</v>
      </c>
      <c r="J2537">
        <v>1</v>
      </c>
      <c r="K2537">
        <v>2</v>
      </c>
    </row>
    <row r="2538" spans="1:11" x14ac:dyDescent="0.35">
      <c r="A2538" t="s">
        <v>2575</v>
      </c>
      <c r="B2538">
        <v>77</v>
      </c>
      <c r="C2538" t="s">
        <v>12</v>
      </c>
      <c r="D2538" t="s">
        <v>21</v>
      </c>
      <c r="E2538">
        <v>48</v>
      </c>
      <c r="F2538" t="s">
        <v>33</v>
      </c>
      <c r="G2538" t="s">
        <v>34</v>
      </c>
      <c r="H2538" s="1">
        <v>102.01</v>
      </c>
      <c r="I2538" t="s">
        <v>24</v>
      </c>
      <c r="J2538">
        <v>4</v>
      </c>
      <c r="K2538">
        <v>5</v>
      </c>
    </row>
    <row r="2539" spans="1:11" x14ac:dyDescent="0.35">
      <c r="A2539" t="s">
        <v>2576</v>
      </c>
      <c r="B2539">
        <v>40</v>
      </c>
      <c r="C2539" t="s">
        <v>12</v>
      </c>
      <c r="D2539" t="s">
        <v>19</v>
      </c>
      <c r="E2539">
        <v>15</v>
      </c>
      <c r="F2539" t="s">
        <v>33</v>
      </c>
      <c r="G2539" t="s">
        <v>15</v>
      </c>
      <c r="H2539" s="1">
        <v>160.49</v>
      </c>
      <c r="I2539" t="s">
        <v>28</v>
      </c>
      <c r="J2539">
        <v>2</v>
      </c>
      <c r="K2539">
        <v>4</v>
      </c>
    </row>
    <row r="2540" spans="1:11" x14ac:dyDescent="0.35">
      <c r="A2540" t="s">
        <v>2577</v>
      </c>
      <c r="B2540">
        <v>54</v>
      </c>
      <c r="C2540" t="s">
        <v>12</v>
      </c>
      <c r="D2540" t="s">
        <v>47</v>
      </c>
      <c r="E2540">
        <v>12</v>
      </c>
      <c r="F2540" t="s">
        <v>31</v>
      </c>
      <c r="G2540" t="s">
        <v>27</v>
      </c>
      <c r="H2540" s="1">
        <v>159.78</v>
      </c>
      <c r="I2540" t="s">
        <v>28</v>
      </c>
      <c r="J2540">
        <v>2</v>
      </c>
      <c r="K2540">
        <v>7</v>
      </c>
    </row>
    <row r="2541" spans="1:11" x14ac:dyDescent="0.35">
      <c r="A2541" t="s">
        <v>2578</v>
      </c>
      <c r="B2541">
        <v>57</v>
      </c>
      <c r="C2541" t="s">
        <v>12</v>
      </c>
      <c r="D2541" t="s">
        <v>19</v>
      </c>
      <c r="E2541">
        <v>10</v>
      </c>
      <c r="F2541" t="s">
        <v>14</v>
      </c>
      <c r="G2541" t="s">
        <v>23</v>
      </c>
      <c r="H2541" s="1">
        <v>0</v>
      </c>
      <c r="I2541" t="s">
        <v>16</v>
      </c>
      <c r="J2541">
        <v>2</v>
      </c>
      <c r="K2541">
        <v>6</v>
      </c>
    </row>
    <row r="2542" spans="1:11" x14ac:dyDescent="0.35">
      <c r="A2542" t="s">
        <v>2579</v>
      </c>
      <c r="B2542">
        <v>30</v>
      </c>
      <c r="C2542" t="s">
        <v>18</v>
      </c>
      <c r="D2542" t="s">
        <v>19</v>
      </c>
      <c r="E2542">
        <v>9</v>
      </c>
      <c r="F2542" t="s">
        <v>33</v>
      </c>
      <c r="G2542" t="s">
        <v>23</v>
      </c>
      <c r="H2542" s="1">
        <v>200.46</v>
      </c>
      <c r="I2542" t="s">
        <v>43</v>
      </c>
      <c r="J2542">
        <v>1</v>
      </c>
      <c r="K2542">
        <v>7</v>
      </c>
    </row>
    <row r="2543" spans="1:11" x14ac:dyDescent="0.35">
      <c r="A2543" t="s">
        <v>2580</v>
      </c>
      <c r="B2543">
        <v>51</v>
      </c>
      <c r="C2543" t="s">
        <v>12</v>
      </c>
      <c r="D2543" t="s">
        <v>19</v>
      </c>
      <c r="E2543">
        <v>18</v>
      </c>
      <c r="F2543" t="s">
        <v>33</v>
      </c>
      <c r="G2543" t="s">
        <v>34</v>
      </c>
      <c r="H2543" s="1">
        <v>120.4</v>
      </c>
      <c r="I2543" t="s">
        <v>24</v>
      </c>
      <c r="J2543">
        <v>3</v>
      </c>
      <c r="K2543">
        <v>7</v>
      </c>
    </row>
    <row r="2544" spans="1:11" x14ac:dyDescent="0.35">
      <c r="A2544" t="s">
        <v>2581</v>
      </c>
      <c r="B2544">
        <v>58</v>
      </c>
      <c r="C2544" t="s">
        <v>18</v>
      </c>
      <c r="D2544" t="s">
        <v>19</v>
      </c>
      <c r="E2544">
        <v>8</v>
      </c>
      <c r="F2544" t="s">
        <v>31</v>
      </c>
      <c r="G2544" t="s">
        <v>34</v>
      </c>
      <c r="H2544" s="1">
        <v>121.88</v>
      </c>
      <c r="I2544" t="s">
        <v>24</v>
      </c>
      <c r="J2544">
        <v>1</v>
      </c>
      <c r="K2544">
        <v>8</v>
      </c>
    </row>
    <row r="2545" spans="1:11" x14ac:dyDescent="0.35">
      <c r="A2545" t="s">
        <v>2582</v>
      </c>
      <c r="B2545">
        <v>56</v>
      </c>
      <c r="C2545" t="s">
        <v>12</v>
      </c>
      <c r="D2545" t="s">
        <v>21</v>
      </c>
      <c r="E2545">
        <v>29</v>
      </c>
      <c r="F2545" t="s">
        <v>22</v>
      </c>
      <c r="G2545" t="s">
        <v>37</v>
      </c>
      <c r="H2545" s="1">
        <v>162.44999999999999</v>
      </c>
      <c r="I2545" t="s">
        <v>28</v>
      </c>
      <c r="J2545">
        <v>2</v>
      </c>
      <c r="K2545">
        <v>2</v>
      </c>
    </row>
    <row r="2546" spans="1:11" x14ac:dyDescent="0.35">
      <c r="A2546" t="s">
        <v>2583</v>
      </c>
      <c r="B2546">
        <v>72</v>
      </c>
      <c r="C2546" t="s">
        <v>18</v>
      </c>
      <c r="D2546" t="s">
        <v>30</v>
      </c>
      <c r="E2546">
        <v>4</v>
      </c>
      <c r="F2546" t="s">
        <v>26</v>
      </c>
      <c r="G2546" t="s">
        <v>37</v>
      </c>
      <c r="H2546" s="1">
        <v>209.67</v>
      </c>
      <c r="I2546" t="s">
        <v>24</v>
      </c>
      <c r="J2546">
        <v>0</v>
      </c>
      <c r="K2546">
        <v>9</v>
      </c>
    </row>
    <row r="2547" spans="1:11" x14ac:dyDescent="0.35">
      <c r="A2547" t="s">
        <v>2584</v>
      </c>
      <c r="B2547">
        <v>31</v>
      </c>
      <c r="C2547" t="s">
        <v>12</v>
      </c>
      <c r="D2547" t="s">
        <v>13</v>
      </c>
      <c r="E2547">
        <v>12</v>
      </c>
      <c r="F2547" t="s">
        <v>31</v>
      </c>
      <c r="G2547" t="s">
        <v>27</v>
      </c>
      <c r="H2547" s="1">
        <v>133.55000000000001</v>
      </c>
      <c r="I2547" t="s">
        <v>24</v>
      </c>
      <c r="J2547">
        <v>1</v>
      </c>
      <c r="K2547">
        <v>8</v>
      </c>
    </row>
    <row r="2548" spans="1:11" x14ac:dyDescent="0.35">
      <c r="A2548" t="s">
        <v>2585</v>
      </c>
      <c r="B2548">
        <v>79</v>
      </c>
      <c r="C2548" t="s">
        <v>18</v>
      </c>
      <c r="D2548" t="s">
        <v>13</v>
      </c>
      <c r="E2548">
        <v>12</v>
      </c>
      <c r="F2548" t="s">
        <v>26</v>
      </c>
      <c r="G2548" t="s">
        <v>15</v>
      </c>
      <c r="H2548" s="1">
        <v>293.95999999999998</v>
      </c>
      <c r="I2548" t="s">
        <v>28</v>
      </c>
      <c r="J2548">
        <v>0</v>
      </c>
      <c r="K2548">
        <v>7</v>
      </c>
    </row>
    <row r="2549" spans="1:11" x14ac:dyDescent="0.35">
      <c r="A2549" t="s">
        <v>2586</v>
      </c>
      <c r="B2549">
        <v>71</v>
      </c>
      <c r="C2549" t="s">
        <v>18</v>
      </c>
      <c r="D2549" t="s">
        <v>19</v>
      </c>
      <c r="E2549">
        <v>19</v>
      </c>
      <c r="F2549" t="s">
        <v>31</v>
      </c>
      <c r="G2549" t="s">
        <v>27</v>
      </c>
      <c r="H2549" s="1">
        <v>47.13</v>
      </c>
      <c r="I2549" t="s">
        <v>24</v>
      </c>
      <c r="J2549">
        <v>1</v>
      </c>
      <c r="K2549">
        <v>3</v>
      </c>
    </row>
    <row r="2550" spans="1:11" x14ac:dyDescent="0.35">
      <c r="A2550" t="s">
        <v>2587</v>
      </c>
      <c r="B2550">
        <v>82</v>
      </c>
      <c r="C2550" t="s">
        <v>18</v>
      </c>
      <c r="D2550" t="s">
        <v>19</v>
      </c>
      <c r="E2550">
        <v>17</v>
      </c>
      <c r="F2550" t="s">
        <v>22</v>
      </c>
      <c r="G2550" t="s">
        <v>34</v>
      </c>
      <c r="H2550" s="1">
        <v>209.99</v>
      </c>
      <c r="I2550" t="s">
        <v>24</v>
      </c>
      <c r="J2550">
        <v>2</v>
      </c>
      <c r="K2550">
        <v>4</v>
      </c>
    </row>
    <row r="2551" spans="1:11" x14ac:dyDescent="0.35">
      <c r="A2551" t="s">
        <v>2588</v>
      </c>
      <c r="B2551">
        <v>59</v>
      </c>
      <c r="C2551" t="s">
        <v>12</v>
      </c>
      <c r="D2551" t="s">
        <v>13</v>
      </c>
      <c r="E2551">
        <v>9</v>
      </c>
      <c r="F2551" t="s">
        <v>33</v>
      </c>
      <c r="G2551" t="s">
        <v>15</v>
      </c>
      <c r="H2551" s="1">
        <v>320.26</v>
      </c>
      <c r="I2551" t="s">
        <v>24</v>
      </c>
      <c r="J2551">
        <v>2</v>
      </c>
      <c r="K2551">
        <v>8</v>
      </c>
    </row>
    <row r="2552" spans="1:11" x14ac:dyDescent="0.35">
      <c r="A2552" t="s">
        <v>2589</v>
      </c>
      <c r="B2552">
        <v>77</v>
      </c>
      <c r="C2552" t="s">
        <v>12</v>
      </c>
      <c r="D2552" t="s">
        <v>57</v>
      </c>
      <c r="E2552">
        <v>21</v>
      </c>
      <c r="F2552" t="s">
        <v>22</v>
      </c>
      <c r="G2552" t="s">
        <v>34</v>
      </c>
      <c r="H2552" s="1">
        <v>114.79</v>
      </c>
      <c r="I2552" t="s">
        <v>24</v>
      </c>
      <c r="J2552">
        <v>1</v>
      </c>
      <c r="K2552">
        <v>3</v>
      </c>
    </row>
    <row r="2553" spans="1:11" x14ac:dyDescent="0.35">
      <c r="A2553" t="s">
        <v>2590</v>
      </c>
      <c r="B2553">
        <v>46</v>
      </c>
      <c r="C2553" t="s">
        <v>18</v>
      </c>
      <c r="D2553" t="s">
        <v>30</v>
      </c>
      <c r="E2553">
        <v>10</v>
      </c>
      <c r="F2553" t="s">
        <v>26</v>
      </c>
      <c r="G2553" t="s">
        <v>27</v>
      </c>
      <c r="H2553" s="1">
        <v>155.04</v>
      </c>
      <c r="I2553" t="s">
        <v>24</v>
      </c>
      <c r="J2553">
        <v>0</v>
      </c>
      <c r="K2553">
        <v>4</v>
      </c>
    </row>
    <row r="2554" spans="1:11" x14ac:dyDescent="0.35">
      <c r="A2554" t="s">
        <v>2591</v>
      </c>
      <c r="B2554">
        <v>59</v>
      </c>
      <c r="C2554" t="s">
        <v>12</v>
      </c>
      <c r="D2554" t="s">
        <v>21</v>
      </c>
      <c r="E2554">
        <v>33</v>
      </c>
      <c r="F2554" t="s">
        <v>26</v>
      </c>
      <c r="G2554" t="s">
        <v>15</v>
      </c>
      <c r="H2554" s="1">
        <v>245.14</v>
      </c>
      <c r="I2554" t="s">
        <v>24</v>
      </c>
      <c r="J2554">
        <v>2</v>
      </c>
      <c r="K2554">
        <v>1</v>
      </c>
    </row>
    <row r="2555" spans="1:11" x14ac:dyDescent="0.35">
      <c r="A2555" t="s">
        <v>2592</v>
      </c>
      <c r="B2555">
        <v>65</v>
      </c>
      <c r="C2555" t="s">
        <v>12</v>
      </c>
      <c r="D2555" t="s">
        <v>21</v>
      </c>
      <c r="E2555">
        <v>18</v>
      </c>
      <c r="F2555" t="s">
        <v>26</v>
      </c>
      <c r="G2555" t="s">
        <v>15</v>
      </c>
      <c r="H2555" s="1">
        <v>284.81</v>
      </c>
      <c r="I2555" t="s">
        <v>28</v>
      </c>
      <c r="J2555">
        <v>1</v>
      </c>
      <c r="K2555">
        <v>6</v>
      </c>
    </row>
    <row r="2556" spans="1:11" x14ac:dyDescent="0.35">
      <c r="A2556" t="s">
        <v>2593</v>
      </c>
      <c r="B2556">
        <v>39</v>
      </c>
      <c r="C2556" t="s">
        <v>12</v>
      </c>
      <c r="D2556" t="s">
        <v>30</v>
      </c>
      <c r="E2556">
        <v>2</v>
      </c>
      <c r="F2556" t="s">
        <v>14</v>
      </c>
      <c r="G2556" t="s">
        <v>15</v>
      </c>
      <c r="H2556" s="1">
        <v>0</v>
      </c>
      <c r="I2556" t="s">
        <v>16</v>
      </c>
      <c r="J2556">
        <v>1</v>
      </c>
      <c r="K2556">
        <v>7</v>
      </c>
    </row>
    <row r="2557" spans="1:11" x14ac:dyDescent="0.35">
      <c r="A2557" t="s">
        <v>2594</v>
      </c>
      <c r="B2557">
        <v>21</v>
      </c>
      <c r="C2557" t="s">
        <v>12</v>
      </c>
      <c r="D2557" t="s">
        <v>19</v>
      </c>
      <c r="E2557">
        <v>8</v>
      </c>
      <c r="F2557" t="s">
        <v>22</v>
      </c>
      <c r="G2557" t="s">
        <v>34</v>
      </c>
      <c r="H2557" s="1">
        <v>91.27</v>
      </c>
      <c r="I2557" t="s">
        <v>24</v>
      </c>
      <c r="J2557">
        <v>0</v>
      </c>
      <c r="K2557">
        <v>7</v>
      </c>
    </row>
    <row r="2558" spans="1:11" x14ac:dyDescent="0.35">
      <c r="A2558" t="s">
        <v>2595</v>
      </c>
      <c r="B2558">
        <v>72</v>
      </c>
      <c r="C2558" t="s">
        <v>12</v>
      </c>
      <c r="D2558" t="s">
        <v>19</v>
      </c>
      <c r="E2558">
        <v>11</v>
      </c>
      <c r="F2558" t="s">
        <v>31</v>
      </c>
      <c r="G2558" t="s">
        <v>34</v>
      </c>
      <c r="H2558" s="1">
        <v>109.06</v>
      </c>
      <c r="I2558" t="s">
        <v>28</v>
      </c>
      <c r="J2558">
        <v>1</v>
      </c>
      <c r="K2558">
        <v>7</v>
      </c>
    </row>
    <row r="2559" spans="1:11" x14ac:dyDescent="0.35">
      <c r="A2559" t="s">
        <v>2596</v>
      </c>
      <c r="B2559">
        <v>49</v>
      </c>
      <c r="C2559" t="s">
        <v>18</v>
      </c>
      <c r="D2559" t="s">
        <v>30</v>
      </c>
      <c r="E2559">
        <v>10</v>
      </c>
      <c r="F2559" t="s">
        <v>14</v>
      </c>
      <c r="G2559" t="s">
        <v>23</v>
      </c>
      <c r="H2559" s="1">
        <v>0</v>
      </c>
      <c r="I2559" t="s">
        <v>16</v>
      </c>
      <c r="J2559">
        <v>1</v>
      </c>
      <c r="K2559">
        <v>8</v>
      </c>
    </row>
    <row r="2560" spans="1:11" x14ac:dyDescent="0.35">
      <c r="A2560" t="s">
        <v>2597</v>
      </c>
      <c r="B2560">
        <v>27</v>
      </c>
      <c r="C2560" t="s">
        <v>18</v>
      </c>
      <c r="D2560" t="s">
        <v>21</v>
      </c>
      <c r="E2560">
        <v>18</v>
      </c>
      <c r="F2560" t="s">
        <v>33</v>
      </c>
      <c r="G2560" t="s">
        <v>37</v>
      </c>
      <c r="H2560" s="1">
        <v>213.47</v>
      </c>
      <c r="I2560" t="s">
        <v>28</v>
      </c>
      <c r="J2560">
        <v>1</v>
      </c>
      <c r="K2560">
        <v>8</v>
      </c>
    </row>
    <row r="2561" spans="1:11" x14ac:dyDescent="0.35">
      <c r="A2561" t="s">
        <v>2598</v>
      </c>
      <c r="B2561">
        <v>56</v>
      </c>
      <c r="C2561" t="s">
        <v>12</v>
      </c>
      <c r="D2561" t="s">
        <v>41</v>
      </c>
      <c r="E2561">
        <v>2</v>
      </c>
      <c r="F2561" t="s">
        <v>33</v>
      </c>
      <c r="G2561" t="s">
        <v>15</v>
      </c>
      <c r="H2561" s="1">
        <v>334.4</v>
      </c>
      <c r="I2561" t="s">
        <v>24</v>
      </c>
      <c r="J2561">
        <v>0</v>
      </c>
      <c r="K2561">
        <v>9</v>
      </c>
    </row>
    <row r="2562" spans="1:11" x14ac:dyDescent="0.35">
      <c r="A2562" t="s">
        <v>2599</v>
      </c>
      <c r="B2562">
        <v>50</v>
      </c>
      <c r="C2562" t="s">
        <v>18</v>
      </c>
      <c r="D2562" t="s">
        <v>244</v>
      </c>
      <c r="E2562">
        <v>6</v>
      </c>
      <c r="F2562" t="s">
        <v>26</v>
      </c>
      <c r="G2562" t="s">
        <v>27</v>
      </c>
      <c r="H2562" s="1">
        <v>86.46</v>
      </c>
      <c r="I2562" t="s">
        <v>24</v>
      </c>
      <c r="J2562">
        <v>0</v>
      </c>
      <c r="K2562">
        <v>8</v>
      </c>
    </row>
    <row r="2563" spans="1:11" x14ac:dyDescent="0.35">
      <c r="A2563" t="s">
        <v>2600</v>
      </c>
      <c r="B2563">
        <v>19</v>
      </c>
      <c r="C2563" t="s">
        <v>18</v>
      </c>
      <c r="D2563" t="s">
        <v>13</v>
      </c>
      <c r="E2563">
        <v>23</v>
      </c>
      <c r="F2563" t="s">
        <v>26</v>
      </c>
      <c r="G2563" t="s">
        <v>37</v>
      </c>
      <c r="H2563" s="1">
        <v>101.14</v>
      </c>
      <c r="I2563" t="s">
        <v>24</v>
      </c>
      <c r="J2563">
        <v>2</v>
      </c>
      <c r="K2563">
        <v>2</v>
      </c>
    </row>
    <row r="2564" spans="1:11" x14ac:dyDescent="0.35">
      <c r="A2564" t="s">
        <v>2601</v>
      </c>
      <c r="B2564">
        <v>53</v>
      </c>
      <c r="C2564" t="s">
        <v>18</v>
      </c>
      <c r="D2564" t="s">
        <v>21</v>
      </c>
      <c r="E2564">
        <v>40</v>
      </c>
      <c r="F2564" t="s">
        <v>31</v>
      </c>
      <c r="G2564" t="s">
        <v>37</v>
      </c>
      <c r="H2564" s="1">
        <v>181.53</v>
      </c>
      <c r="I2564" t="s">
        <v>24</v>
      </c>
      <c r="J2564">
        <v>2</v>
      </c>
      <c r="K2564">
        <v>5</v>
      </c>
    </row>
    <row r="2565" spans="1:11" x14ac:dyDescent="0.35">
      <c r="A2565" t="s">
        <v>2602</v>
      </c>
      <c r="B2565">
        <v>35</v>
      </c>
      <c r="C2565" t="s">
        <v>12</v>
      </c>
      <c r="D2565" t="s">
        <v>19</v>
      </c>
      <c r="E2565">
        <v>11</v>
      </c>
      <c r="F2565" t="s">
        <v>26</v>
      </c>
      <c r="G2565" t="s">
        <v>15</v>
      </c>
      <c r="H2565" s="1">
        <v>366.08</v>
      </c>
      <c r="I2565" t="s">
        <v>24</v>
      </c>
      <c r="J2565">
        <v>2</v>
      </c>
      <c r="K2565">
        <v>5</v>
      </c>
    </row>
    <row r="2566" spans="1:11" x14ac:dyDescent="0.35">
      <c r="A2566" t="s">
        <v>2603</v>
      </c>
      <c r="B2566">
        <v>24</v>
      </c>
      <c r="C2566" t="s">
        <v>18</v>
      </c>
      <c r="D2566" t="s">
        <v>19</v>
      </c>
      <c r="E2566">
        <v>24</v>
      </c>
      <c r="F2566" t="s">
        <v>31</v>
      </c>
      <c r="G2566" t="s">
        <v>37</v>
      </c>
      <c r="H2566" s="1">
        <v>138.37</v>
      </c>
      <c r="I2566" t="s">
        <v>43</v>
      </c>
      <c r="J2566">
        <v>0</v>
      </c>
      <c r="K2566">
        <v>4</v>
      </c>
    </row>
    <row r="2567" spans="1:11" x14ac:dyDescent="0.35">
      <c r="A2567" t="s">
        <v>2604</v>
      </c>
      <c r="B2567">
        <v>43</v>
      </c>
      <c r="C2567" t="s">
        <v>12</v>
      </c>
      <c r="D2567" t="s">
        <v>57</v>
      </c>
      <c r="E2567">
        <v>44</v>
      </c>
      <c r="F2567" t="s">
        <v>26</v>
      </c>
      <c r="G2567" t="s">
        <v>37</v>
      </c>
      <c r="H2567" s="1">
        <v>203.96</v>
      </c>
      <c r="I2567" t="s">
        <v>24</v>
      </c>
      <c r="J2567">
        <v>3</v>
      </c>
      <c r="K2567">
        <v>4</v>
      </c>
    </row>
    <row r="2568" spans="1:11" x14ac:dyDescent="0.35">
      <c r="A2568" t="s">
        <v>2605</v>
      </c>
      <c r="B2568">
        <v>49</v>
      </c>
      <c r="C2568" t="s">
        <v>12</v>
      </c>
      <c r="D2568" t="s">
        <v>19</v>
      </c>
      <c r="E2568">
        <v>22</v>
      </c>
      <c r="F2568" t="s">
        <v>22</v>
      </c>
      <c r="G2568" t="s">
        <v>34</v>
      </c>
      <c r="H2568" s="1">
        <v>109.08</v>
      </c>
      <c r="I2568" t="s">
        <v>24</v>
      </c>
      <c r="J2568">
        <v>2</v>
      </c>
      <c r="K2568">
        <v>5</v>
      </c>
    </row>
    <row r="2569" spans="1:11" x14ac:dyDescent="0.35">
      <c r="A2569" t="s">
        <v>2606</v>
      </c>
      <c r="B2569">
        <v>43</v>
      </c>
      <c r="C2569" t="s">
        <v>18</v>
      </c>
      <c r="D2569" t="s">
        <v>21</v>
      </c>
      <c r="E2569">
        <v>16</v>
      </c>
      <c r="F2569" t="s">
        <v>22</v>
      </c>
      <c r="G2569" t="s">
        <v>37</v>
      </c>
      <c r="H2569" s="1">
        <v>130.49</v>
      </c>
      <c r="I2569" t="s">
        <v>24</v>
      </c>
      <c r="J2569">
        <v>2</v>
      </c>
      <c r="K2569">
        <v>7</v>
      </c>
    </row>
    <row r="2570" spans="1:11" x14ac:dyDescent="0.35">
      <c r="A2570" t="s">
        <v>2607</v>
      </c>
      <c r="B2570">
        <v>38</v>
      </c>
      <c r="C2570" t="s">
        <v>12</v>
      </c>
      <c r="D2570" t="s">
        <v>13</v>
      </c>
      <c r="E2570">
        <v>23</v>
      </c>
      <c r="F2570" t="s">
        <v>33</v>
      </c>
      <c r="G2570" t="s">
        <v>37</v>
      </c>
      <c r="H2570" s="1">
        <v>116.71</v>
      </c>
      <c r="I2570" t="s">
        <v>28</v>
      </c>
      <c r="J2570">
        <v>2</v>
      </c>
      <c r="K2570">
        <v>4</v>
      </c>
    </row>
    <row r="2571" spans="1:11" x14ac:dyDescent="0.35">
      <c r="A2571" t="s">
        <v>2608</v>
      </c>
      <c r="B2571">
        <v>32</v>
      </c>
      <c r="C2571" t="s">
        <v>18</v>
      </c>
      <c r="D2571" t="s">
        <v>13</v>
      </c>
      <c r="E2571">
        <v>11</v>
      </c>
      <c r="F2571" t="s">
        <v>26</v>
      </c>
      <c r="G2571" t="s">
        <v>15</v>
      </c>
      <c r="H2571" s="1">
        <v>152.13</v>
      </c>
      <c r="I2571" t="s">
        <v>28</v>
      </c>
      <c r="J2571">
        <v>1</v>
      </c>
      <c r="K2571">
        <v>5</v>
      </c>
    </row>
    <row r="2572" spans="1:11" x14ac:dyDescent="0.35">
      <c r="A2572" t="s">
        <v>2609</v>
      </c>
      <c r="B2572">
        <v>60</v>
      </c>
      <c r="C2572" t="s">
        <v>189</v>
      </c>
      <c r="D2572" t="s">
        <v>13</v>
      </c>
      <c r="E2572">
        <v>10</v>
      </c>
      <c r="F2572" t="s">
        <v>14</v>
      </c>
      <c r="G2572" t="s">
        <v>34</v>
      </c>
      <c r="H2572" s="1">
        <v>0</v>
      </c>
      <c r="I2572" t="s">
        <v>16</v>
      </c>
      <c r="J2572">
        <v>3</v>
      </c>
      <c r="K2572">
        <v>5</v>
      </c>
    </row>
    <row r="2573" spans="1:11" x14ac:dyDescent="0.35">
      <c r="A2573" t="s">
        <v>2610</v>
      </c>
      <c r="B2573">
        <v>63</v>
      </c>
      <c r="C2573" t="s">
        <v>18</v>
      </c>
      <c r="D2573" t="s">
        <v>19</v>
      </c>
      <c r="E2573">
        <v>12</v>
      </c>
      <c r="F2573" t="s">
        <v>33</v>
      </c>
      <c r="G2573" t="s">
        <v>34</v>
      </c>
      <c r="H2573" s="1">
        <v>177.79</v>
      </c>
      <c r="I2573" t="s">
        <v>24</v>
      </c>
      <c r="J2573">
        <v>1</v>
      </c>
      <c r="K2573">
        <v>5</v>
      </c>
    </row>
    <row r="2574" spans="1:11" x14ac:dyDescent="0.35">
      <c r="A2574" t="s">
        <v>2611</v>
      </c>
      <c r="B2574">
        <v>54</v>
      </c>
      <c r="C2574" t="s">
        <v>18</v>
      </c>
      <c r="D2574" t="s">
        <v>19</v>
      </c>
      <c r="E2574">
        <v>24</v>
      </c>
      <c r="F2574" t="s">
        <v>31</v>
      </c>
      <c r="G2574" t="s">
        <v>27</v>
      </c>
      <c r="H2574" s="1">
        <v>139.47999999999999</v>
      </c>
      <c r="I2574" t="s">
        <v>24</v>
      </c>
      <c r="J2574">
        <v>3</v>
      </c>
      <c r="K2574">
        <v>4</v>
      </c>
    </row>
    <row r="2575" spans="1:11" x14ac:dyDescent="0.35">
      <c r="A2575" t="s">
        <v>2612</v>
      </c>
      <c r="B2575">
        <v>22</v>
      </c>
      <c r="C2575" t="s">
        <v>18</v>
      </c>
      <c r="D2575" t="s">
        <v>30</v>
      </c>
      <c r="E2575">
        <v>7</v>
      </c>
      <c r="F2575" t="s">
        <v>14</v>
      </c>
      <c r="G2575" t="s">
        <v>27</v>
      </c>
      <c r="H2575" s="1">
        <v>0</v>
      </c>
      <c r="I2575" t="s">
        <v>16</v>
      </c>
      <c r="J2575">
        <v>1</v>
      </c>
      <c r="K2575">
        <v>7</v>
      </c>
    </row>
    <row r="2576" spans="1:11" x14ac:dyDescent="0.35">
      <c r="A2576" t="s">
        <v>2613</v>
      </c>
      <c r="B2576">
        <v>34</v>
      </c>
      <c r="C2576" t="s">
        <v>12</v>
      </c>
      <c r="D2576" t="s">
        <v>57</v>
      </c>
      <c r="E2576">
        <v>22</v>
      </c>
      <c r="F2576" t="s">
        <v>31</v>
      </c>
      <c r="G2576" t="s">
        <v>23</v>
      </c>
      <c r="H2576" s="1">
        <v>537.17999999999995</v>
      </c>
      <c r="I2576" t="s">
        <v>24</v>
      </c>
      <c r="J2576">
        <v>3</v>
      </c>
      <c r="K2576">
        <v>4</v>
      </c>
    </row>
    <row r="2577" spans="1:11" x14ac:dyDescent="0.35">
      <c r="A2577" t="s">
        <v>2614</v>
      </c>
      <c r="B2577">
        <v>47</v>
      </c>
      <c r="C2577" t="s">
        <v>18</v>
      </c>
      <c r="D2577" t="s">
        <v>19</v>
      </c>
      <c r="E2577">
        <v>18</v>
      </c>
      <c r="F2577" t="s">
        <v>22</v>
      </c>
      <c r="G2577" t="s">
        <v>37</v>
      </c>
      <c r="H2577" s="1">
        <v>169.08</v>
      </c>
      <c r="I2577" t="s">
        <v>24</v>
      </c>
      <c r="J2577">
        <v>0</v>
      </c>
      <c r="K2577">
        <v>7</v>
      </c>
    </row>
    <row r="2578" spans="1:11" x14ac:dyDescent="0.35">
      <c r="A2578" t="s">
        <v>2615</v>
      </c>
      <c r="B2578">
        <v>45</v>
      </c>
      <c r="C2578" t="s">
        <v>18</v>
      </c>
      <c r="D2578" t="s">
        <v>19</v>
      </c>
      <c r="E2578">
        <v>14</v>
      </c>
      <c r="F2578" t="s">
        <v>31</v>
      </c>
      <c r="G2578" t="s">
        <v>27</v>
      </c>
      <c r="H2578" s="1">
        <v>82.22</v>
      </c>
      <c r="I2578" t="s">
        <v>24</v>
      </c>
      <c r="J2578">
        <v>0</v>
      </c>
      <c r="K2578">
        <v>5</v>
      </c>
    </row>
    <row r="2579" spans="1:11" x14ac:dyDescent="0.35">
      <c r="A2579" t="s">
        <v>2616</v>
      </c>
      <c r="B2579">
        <v>24</v>
      </c>
      <c r="C2579" t="s">
        <v>12</v>
      </c>
      <c r="D2579" t="s">
        <v>30</v>
      </c>
      <c r="E2579">
        <v>8</v>
      </c>
      <c r="F2579" t="s">
        <v>26</v>
      </c>
      <c r="G2579" t="s">
        <v>23</v>
      </c>
      <c r="H2579" s="1">
        <v>195.3</v>
      </c>
      <c r="I2579" t="s">
        <v>43</v>
      </c>
      <c r="J2579">
        <v>0</v>
      </c>
      <c r="K2579">
        <v>9</v>
      </c>
    </row>
    <row r="2580" spans="1:11" x14ac:dyDescent="0.35">
      <c r="A2580" t="s">
        <v>2617</v>
      </c>
      <c r="B2580">
        <v>57</v>
      </c>
      <c r="C2580" t="s">
        <v>12</v>
      </c>
      <c r="D2580" t="s">
        <v>13</v>
      </c>
      <c r="E2580">
        <v>21</v>
      </c>
      <c r="F2580" t="s">
        <v>22</v>
      </c>
      <c r="G2580" t="s">
        <v>34</v>
      </c>
      <c r="H2580" s="1">
        <v>125.79</v>
      </c>
      <c r="I2580" t="s">
        <v>24</v>
      </c>
      <c r="J2580">
        <v>0</v>
      </c>
      <c r="K2580">
        <v>2</v>
      </c>
    </row>
    <row r="2581" spans="1:11" x14ac:dyDescent="0.35">
      <c r="A2581" t="s">
        <v>2618</v>
      </c>
      <c r="B2581">
        <v>66</v>
      </c>
      <c r="C2581" t="s">
        <v>18</v>
      </c>
      <c r="D2581" t="s">
        <v>13</v>
      </c>
      <c r="E2581">
        <v>18</v>
      </c>
      <c r="F2581" t="s">
        <v>33</v>
      </c>
      <c r="G2581" t="s">
        <v>34</v>
      </c>
      <c r="H2581" s="1">
        <v>188.98</v>
      </c>
      <c r="I2581" t="s">
        <v>24</v>
      </c>
      <c r="J2581">
        <v>1</v>
      </c>
      <c r="K2581">
        <v>6</v>
      </c>
    </row>
    <row r="2582" spans="1:11" x14ac:dyDescent="0.35">
      <c r="A2582" t="s">
        <v>2619</v>
      </c>
      <c r="B2582">
        <v>80</v>
      </c>
      <c r="C2582" t="s">
        <v>12</v>
      </c>
      <c r="D2582" t="s">
        <v>41</v>
      </c>
      <c r="E2582">
        <v>5</v>
      </c>
      <c r="F2582" t="s">
        <v>31</v>
      </c>
      <c r="G2582" t="s">
        <v>37</v>
      </c>
      <c r="H2582" s="1">
        <v>151.12</v>
      </c>
      <c r="I2582" t="s">
        <v>24</v>
      </c>
      <c r="J2582">
        <v>0</v>
      </c>
      <c r="K2582">
        <v>8</v>
      </c>
    </row>
    <row r="2583" spans="1:11" x14ac:dyDescent="0.35">
      <c r="A2583" t="s">
        <v>2620</v>
      </c>
      <c r="B2583">
        <v>52</v>
      </c>
      <c r="C2583" t="s">
        <v>12</v>
      </c>
      <c r="D2583" t="s">
        <v>13</v>
      </c>
      <c r="E2583">
        <v>8</v>
      </c>
      <c r="F2583" t="s">
        <v>26</v>
      </c>
      <c r="G2583" t="s">
        <v>34</v>
      </c>
      <c r="H2583" s="1">
        <v>183.75</v>
      </c>
      <c r="I2583" t="s">
        <v>24</v>
      </c>
      <c r="J2583">
        <v>0</v>
      </c>
      <c r="K2583">
        <v>8</v>
      </c>
    </row>
    <row r="2584" spans="1:11" x14ac:dyDescent="0.35">
      <c r="A2584" t="s">
        <v>2621</v>
      </c>
      <c r="B2584">
        <v>35</v>
      </c>
      <c r="C2584" t="s">
        <v>18</v>
      </c>
      <c r="D2584" t="s">
        <v>13</v>
      </c>
      <c r="E2584">
        <v>14</v>
      </c>
      <c r="F2584" t="s">
        <v>14</v>
      </c>
      <c r="G2584" t="s">
        <v>23</v>
      </c>
      <c r="H2584" s="1">
        <v>0</v>
      </c>
      <c r="I2584" t="s">
        <v>16</v>
      </c>
      <c r="J2584">
        <v>1</v>
      </c>
      <c r="K2584">
        <v>7</v>
      </c>
    </row>
    <row r="2585" spans="1:11" x14ac:dyDescent="0.35">
      <c r="A2585" t="s">
        <v>2622</v>
      </c>
      <c r="B2585">
        <v>22</v>
      </c>
      <c r="C2585" t="s">
        <v>528</v>
      </c>
      <c r="D2585" t="s">
        <v>19</v>
      </c>
      <c r="E2585">
        <v>7</v>
      </c>
      <c r="F2585" t="s">
        <v>26</v>
      </c>
      <c r="G2585" t="s">
        <v>23</v>
      </c>
      <c r="H2585" s="1">
        <v>233.24</v>
      </c>
      <c r="I2585" t="s">
        <v>24</v>
      </c>
      <c r="J2585">
        <v>1</v>
      </c>
      <c r="K2585">
        <v>9</v>
      </c>
    </row>
    <row r="2586" spans="1:11" x14ac:dyDescent="0.35">
      <c r="A2586" t="s">
        <v>2623</v>
      </c>
      <c r="B2586">
        <v>34</v>
      </c>
      <c r="C2586" t="s">
        <v>18</v>
      </c>
      <c r="D2586" t="s">
        <v>19</v>
      </c>
      <c r="E2586">
        <v>23</v>
      </c>
      <c r="F2586" t="s">
        <v>33</v>
      </c>
      <c r="G2586" t="s">
        <v>23</v>
      </c>
      <c r="H2586" s="1">
        <v>430.49</v>
      </c>
      <c r="I2586" t="s">
        <v>24</v>
      </c>
      <c r="J2586">
        <v>2</v>
      </c>
      <c r="K2586">
        <v>2</v>
      </c>
    </row>
    <row r="2587" spans="1:11" x14ac:dyDescent="0.35">
      <c r="A2587" t="s">
        <v>2624</v>
      </c>
      <c r="B2587">
        <v>73</v>
      </c>
      <c r="C2587" t="s">
        <v>12</v>
      </c>
      <c r="D2587" t="s">
        <v>21</v>
      </c>
      <c r="E2587">
        <v>43</v>
      </c>
      <c r="F2587" t="s">
        <v>22</v>
      </c>
      <c r="G2587" t="s">
        <v>27</v>
      </c>
      <c r="H2587" s="1">
        <v>110.5</v>
      </c>
      <c r="I2587" t="s">
        <v>43</v>
      </c>
      <c r="J2587">
        <v>2</v>
      </c>
      <c r="K2587">
        <v>5</v>
      </c>
    </row>
    <row r="2588" spans="1:11" x14ac:dyDescent="0.35">
      <c r="A2588" t="s">
        <v>2625</v>
      </c>
      <c r="B2588">
        <v>21</v>
      </c>
      <c r="C2588" t="s">
        <v>18</v>
      </c>
      <c r="D2588" t="s">
        <v>13</v>
      </c>
      <c r="E2588">
        <v>13</v>
      </c>
      <c r="F2588" t="s">
        <v>14</v>
      </c>
      <c r="G2588" t="s">
        <v>34</v>
      </c>
      <c r="H2588" s="1">
        <v>0</v>
      </c>
      <c r="I2588" t="s">
        <v>16</v>
      </c>
      <c r="J2588">
        <v>0</v>
      </c>
      <c r="K2588">
        <v>6</v>
      </c>
    </row>
    <row r="2589" spans="1:11" x14ac:dyDescent="0.35">
      <c r="A2589" t="s">
        <v>2626</v>
      </c>
      <c r="B2589">
        <v>67</v>
      </c>
      <c r="C2589" t="s">
        <v>12</v>
      </c>
      <c r="D2589" t="s">
        <v>21</v>
      </c>
      <c r="E2589">
        <v>34</v>
      </c>
      <c r="F2589" t="s">
        <v>31</v>
      </c>
      <c r="G2589" t="s">
        <v>23</v>
      </c>
      <c r="H2589" s="1">
        <v>307.49</v>
      </c>
      <c r="I2589" t="s">
        <v>43</v>
      </c>
      <c r="J2589">
        <v>2</v>
      </c>
      <c r="K2589">
        <v>3</v>
      </c>
    </row>
    <row r="2590" spans="1:11" x14ac:dyDescent="0.35">
      <c r="A2590" t="s">
        <v>2627</v>
      </c>
      <c r="B2590">
        <v>49</v>
      </c>
      <c r="C2590" t="s">
        <v>12</v>
      </c>
      <c r="D2590" t="s">
        <v>19</v>
      </c>
      <c r="E2590">
        <v>21</v>
      </c>
      <c r="F2590" t="s">
        <v>22</v>
      </c>
      <c r="G2590" t="s">
        <v>34</v>
      </c>
      <c r="H2590" s="1">
        <v>144.25</v>
      </c>
      <c r="I2590" t="s">
        <v>24</v>
      </c>
      <c r="J2590">
        <v>1</v>
      </c>
      <c r="K2590">
        <v>1</v>
      </c>
    </row>
    <row r="2591" spans="1:11" x14ac:dyDescent="0.35">
      <c r="A2591" t="s">
        <v>2628</v>
      </c>
      <c r="B2591">
        <v>79</v>
      </c>
      <c r="C2591" t="s">
        <v>18</v>
      </c>
      <c r="D2591" t="s">
        <v>120</v>
      </c>
      <c r="E2591">
        <v>48</v>
      </c>
      <c r="F2591" t="s">
        <v>14</v>
      </c>
      <c r="G2591" t="s">
        <v>34</v>
      </c>
      <c r="H2591" s="1">
        <v>0</v>
      </c>
      <c r="I2591" t="s">
        <v>16</v>
      </c>
      <c r="J2591">
        <v>1</v>
      </c>
      <c r="K2591">
        <v>3</v>
      </c>
    </row>
    <row r="2592" spans="1:11" x14ac:dyDescent="0.35">
      <c r="A2592" t="s">
        <v>2629</v>
      </c>
      <c r="B2592">
        <v>48</v>
      </c>
      <c r="C2592" t="s">
        <v>12</v>
      </c>
      <c r="D2592" t="s">
        <v>19</v>
      </c>
      <c r="E2592">
        <v>15</v>
      </c>
      <c r="F2592" t="s">
        <v>33</v>
      </c>
      <c r="G2592" t="s">
        <v>27</v>
      </c>
      <c r="H2592" s="1">
        <v>70.37</v>
      </c>
      <c r="I2592" t="s">
        <v>24</v>
      </c>
      <c r="J2592">
        <v>3</v>
      </c>
      <c r="K2592">
        <v>6</v>
      </c>
    </row>
    <row r="2593" spans="1:11" x14ac:dyDescent="0.35">
      <c r="A2593" t="s">
        <v>2630</v>
      </c>
      <c r="B2593">
        <v>78</v>
      </c>
      <c r="C2593" t="s">
        <v>18</v>
      </c>
      <c r="D2593" t="s">
        <v>30</v>
      </c>
      <c r="E2593">
        <v>9</v>
      </c>
      <c r="F2593" t="s">
        <v>22</v>
      </c>
      <c r="G2593" t="s">
        <v>15</v>
      </c>
      <c r="H2593" s="1">
        <v>141.66999999999999</v>
      </c>
      <c r="I2593" t="s">
        <v>24</v>
      </c>
      <c r="J2593">
        <v>0</v>
      </c>
      <c r="K2593">
        <v>5</v>
      </c>
    </row>
    <row r="2594" spans="1:11" x14ac:dyDescent="0.35">
      <c r="A2594" t="s">
        <v>2631</v>
      </c>
      <c r="B2594">
        <v>65</v>
      </c>
      <c r="C2594" t="s">
        <v>18</v>
      </c>
      <c r="D2594" t="s">
        <v>19</v>
      </c>
      <c r="E2594">
        <v>18</v>
      </c>
      <c r="F2594" t="s">
        <v>33</v>
      </c>
      <c r="G2594" t="s">
        <v>23</v>
      </c>
      <c r="H2594" s="1">
        <v>574.29</v>
      </c>
      <c r="I2594" t="s">
        <v>24</v>
      </c>
      <c r="J2594">
        <v>3</v>
      </c>
      <c r="K2594">
        <v>6</v>
      </c>
    </row>
    <row r="2595" spans="1:11" x14ac:dyDescent="0.35">
      <c r="A2595" t="s">
        <v>2632</v>
      </c>
      <c r="B2595">
        <v>66</v>
      </c>
      <c r="C2595" t="s">
        <v>12</v>
      </c>
      <c r="D2595" t="s">
        <v>19</v>
      </c>
      <c r="E2595">
        <v>9</v>
      </c>
      <c r="F2595" t="s">
        <v>22</v>
      </c>
      <c r="G2595" t="s">
        <v>37</v>
      </c>
      <c r="H2595" s="1">
        <v>197.25</v>
      </c>
      <c r="I2595" t="s">
        <v>24</v>
      </c>
      <c r="J2595">
        <v>0</v>
      </c>
      <c r="K2595">
        <v>6</v>
      </c>
    </row>
    <row r="2596" spans="1:11" x14ac:dyDescent="0.35">
      <c r="A2596" t="s">
        <v>2633</v>
      </c>
      <c r="B2596">
        <v>77</v>
      </c>
      <c r="C2596" t="s">
        <v>18</v>
      </c>
      <c r="D2596" t="s">
        <v>19</v>
      </c>
      <c r="E2596">
        <v>12</v>
      </c>
      <c r="F2596" t="s">
        <v>33</v>
      </c>
      <c r="G2596" t="s">
        <v>37</v>
      </c>
      <c r="H2596" s="1">
        <v>216.83</v>
      </c>
      <c r="I2596" t="s">
        <v>24</v>
      </c>
      <c r="J2596">
        <v>1</v>
      </c>
      <c r="K2596">
        <v>4</v>
      </c>
    </row>
    <row r="2597" spans="1:11" x14ac:dyDescent="0.35">
      <c r="A2597" t="s">
        <v>2634</v>
      </c>
      <c r="B2597">
        <v>40</v>
      </c>
      <c r="C2597" t="s">
        <v>18</v>
      </c>
      <c r="D2597" t="s">
        <v>19</v>
      </c>
      <c r="E2597">
        <v>21</v>
      </c>
      <c r="F2597" t="s">
        <v>33</v>
      </c>
      <c r="G2597" t="s">
        <v>37</v>
      </c>
      <c r="H2597" s="1">
        <v>111.91</v>
      </c>
      <c r="I2597" t="s">
        <v>24</v>
      </c>
      <c r="J2597">
        <v>3</v>
      </c>
      <c r="K2597">
        <v>1</v>
      </c>
    </row>
    <row r="2598" spans="1:11" x14ac:dyDescent="0.35">
      <c r="A2598" t="s">
        <v>2635</v>
      </c>
      <c r="B2598">
        <v>74</v>
      </c>
      <c r="C2598" t="s">
        <v>18</v>
      </c>
      <c r="D2598" t="s">
        <v>21</v>
      </c>
      <c r="E2598">
        <v>20</v>
      </c>
      <c r="F2598" t="s">
        <v>31</v>
      </c>
      <c r="G2598" t="s">
        <v>23</v>
      </c>
      <c r="H2598" s="1">
        <v>249.83</v>
      </c>
      <c r="I2598" t="s">
        <v>24</v>
      </c>
      <c r="J2598">
        <v>1</v>
      </c>
      <c r="K2598">
        <v>4</v>
      </c>
    </row>
    <row r="2599" spans="1:11" x14ac:dyDescent="0.35">
      <c r="A2599" t="s">
        <v>2636</v>
      </c>
      <c r="B2599">
        <v>85</v>
      </c>
      <c r="C2599" t="s">
        <v>12</v>
      </c>
      <c r="D2599" t="s">
        <v>19</v>
      </c>
      <c r="E2599">
        <v>8</v>
      </c>
      <c r="F2599" t="s">
        <v>31</v>
      </c>
      <c r="G2599" t="s">
        <v>27</v>
      </c>
      <c r="H2599" s="1">
        <v>45.65</v>
      </c>
      <c r="I2599" t="s">
        <v>28</v>
      </c>
      <c r="J2599">
        <v>2</v>
      </c>
      <c r="K2599">
        <v>9</v>
      </c>
    </row>
    <row r="2600" spans="1:11" x14ac:dyDescent="0.35">
      <c r="A2600" t="s">
        <v>2637</v>
      </c>
      <c r="B2600">
        <v>78</v>
      </c>
      <c r="C2600" t="s">
        <v>528</v>
      </c>
      <c r="D2600" t="s">
        <v>19</v>
      </c>
      <c r="E2600">
        <v>22</v>
      </c>
      <c r="F2600" t="s">
        <v>33</v>
      </c>
      <c r="G2600" t="s">
        <v>23</v>
      </c>
      <c r="H2600" s="1">
        <v>531.46</v>
      </c>
      <c r="I2600" t="s">
        <v>28</v>
      </c>
      <c r="J2600">
        <v>1</v>
      </c>
      <c r="K2600">
        <v>1</v>
      </c>
    </row>
    <row r="2601" spans="1:11" x14ac:dyDescent="0.35">
      <c r="A2601" t="s">
        <v>2638</v>
      </c>
      <c r="B2601">
        <v>18</v>
      </c>
      <c r="C2601" t="s">
        <v>18</v>
      </c>
      <c r="D2601" t="s">
        <v>19</v>
      </c>
      <c r="E2601">
        <v>24</v>
      </c>
      <c r="F2601" t="s">
        <v>22</v>
      </c>
      <c r="G2601" t="s">
        <v>27</v>
      </c>
      <c r="H2601" s="1">
        <v>148.22999999999999</v>
      </c>
      <c r="I2601" t="s">
        <v>24</v>
      </c>
      <c r="J2601">
        <v>1</v>
      </c>
      <c r="K2601">
        <v>1</v>
      </c>
    </row>
    <row r="2602" spans="1:11" x14ac:dyDescent="0.35">
      <c r="A2602" t="s">
        <v>2639</v>
      </c>
      <c r="B2602">
        <v>27</v>
      </c>
      <c r="C2602" t="s">
        <v>18</v>
      </c>
      <c r="D2602" t="s">
        <v>19</v>
      </c>
      <c r="E2602">
        <v>8</v>
      </c>
      <c r="F2602" t="s">
        <v>31</v>
      </c>
      <c r="G2602" t="s">
        <v>15</v>
      </c>
      <c r="H2602" s="1">
        <v>219.17</v>
      </c>
      <c r="I2602" t="s">
        <v>28</v>
      </c>
      <c r="J2602">
        <v>1</v>
      </c>
      <c r="K2602">
        <v>8</v>
      </c>
    </row>
    <row r="2603" spans="1:11" x14ac:dyDescent="0.35">
      <c r="A2603" t="s">
        <v>2640</v>
      </c>
      <c r="B2603">
        <v>55</v>
      </c>
      <c r="C2603" t="s">
        <v>18</v>
      </c>
      <c r="D2603" t="s">
        <v>19</v>
      </c>
      <c r="E2603">
        <v>11</v>
      </c>
      <c r="F2603" t="s">
        <v>22</v>
      </c>
      <c r="G2603" t="s">
        <v>27</v>
      </c>
      <c r="H2603" s="1">
        <v>57.01</v>
      </c>
      <c r="I2603" t="s">
        <v>24</v>
      </c>
      <c r="J2603">
        <v>2</v>
      </c>
      <c r="K2603">
        <v>5</v>
      </c>
    </row>
    <row r="2604" spans="1:11" x14ac:dyDescent="0.35">
      <c r="A2604" t="s">
        <v>2641</v>
      </c>
      <c r="B2604">
        <v>67</v>
      </c>
      <c r="C2604" t="s">
        <v>18</v>
      </c>
      <c r="D2604" t="s">
        <v>21</v>
      </c>
      <c r="E2604">
        <v>17</v>
      </c>
      <c r="F2604" t="s">
        <v>33</v>
      </c>
      <c r="G2604" t="s">
        <v>15</v>
      </c>
      <c r="H2604" s="1">
        <v>384.52</v>
      </c>
      <c r="I2604" t="s">
        <v>24</v>
      </c>
      <c r="J2604">
        <v>1</v>
      </c>
      <c r="K2604">
        <v>6</v>
      </c>
    </row>
    <row r="2605" spans="1:11" x14ac:dyDescent="0.35">
      <c r="A2605" t="s">
        <v>2642</v>
      </c>
      <c r="B2605">
        <v>35</v>
      </c>
      <c r="C2605" t="s">
        <v>18</v>
      </c>
      <c r="D2605" t="s">
        <v>47</v>
      </c>
      <c r="E2605">
        <v>8</v>
      </c>
      <c r="F2605" t="s">
        <v>33</v>
      </c>
      <c r="G2605" t="s">
        <v>15</v>
      </c>
      <c r="H2605" s="1">
        <v>118.3</v>
      </c>
      <c r="I2605" t="s">
        <v>24</v>
      </c>
      <c r="J2605">
        <v>0</v>
      </c>
      <c r="K2605">
        <v>8</v>
      </c>
    </row>
    <row r="2606" spans="1:11" x14ac:dyDescent="0.35">
      <c r="A2606" t="s">
        <v>2643</v>
      </c>
      <c r="B2606">
        <v>56</v>
      </c>
      <c r="C2606" t="s">
        <v>18</v>
      </c>
      <c r="D2606" t="s">
        <v>19</v>
      </c>
      <c r="E2606">
        <v>11</v>
      </c>
      <c r="F2606" t="s">
        <v>22</v>
      </c>
      <c r="G2606" t="s">
        <v>27</v>
      </c>
      <c r="H2606" s="1">
        <v>177.35</v>
      </c>
      <c r="I2606" t="s">
        <v>24</v>
      </c>
      <c r="J2606">
        <v>3</v>
      </c>
      <c r="K2606">
        <v>6</v>
      </c>
    </row>
    <row r="2607" spans="1:11" x14ac:dyDescent="0.35">
      <c r="A2607" t="s">
        <v>2644</v>
      </c>
      <c r="B2607">
        <v>33</v>
      </c>
      <c r="C2607" t="s">
        <v>528</v>
      </c>
      <c r="D2607" t="s">
        <v>13</v>
      </c>
      <c r="E2607">
        <v>18</v>
      </c>
      <c r="F2607" t="s">
        <v>26</v>
      </c>
      <c r="G2607" t="s">
        <v>15</v>
      </c>
      <c r="H2607" s="1">
        <v>304.64999999999998</v>
      </c>
      <c r="I2607" t="s">
        <v>28</v>
      </c>
      <c r="J2607">
        <v>2</v>
      </c>
      <c r="K2607">
        <v>8</v>
      </c>
    </row>
    <row r="2608" spans="1:11" x14ac:dyDescent="0.35">
      <c r="A2608" t="s">
        <v>2645</v>
      </c>
      <c r="B2608">
        <v>62</v>
      </c>
      <c r="C2608" t="s">
        <v>12</v>
      </c>
      <c r="D2608" t="s">
        <v>13</v>
      </c>
      <c r="E2608">
        <v>23</v>
      </c>
      <c r="F2608" t="s">
        <v>31</v>
      </c>
      <c r="G2608" t="s">
        <v>37</v>
      </c>
      <c r="H2608" s="1">
        <v>119.45</v>
      </c>
      <c r="I2608" t="s">
        <v>43</v>
      </c>
      <c r="J2608">
        <v>2</v>
      </c>
      <c r="K2608">
        <v>1</v>
      </c>
    </row>
    <row r="2609" spans="1:11" x14ac:dyDescent="0.35">
      <c r="A2609" t="s">
        <v>2646</v>
      </c>
      <c r="B2609">
        <v>75</v>
      </c>
      <c r="C2609" t="s">
        <v>12</v>
      </c>
      <c r="D2609" t="s">
        <v>19</v>
      </c>
      <c r="E2609">
        <v>14</v>
      </c>
      <c r="F2609" t="s">
        <v>31</v>
      </c>
      <c r="G2609" t="s">
        <v>23</v>
      </c>
      <c r="H2609" s="1">
        <v>522.62</v>
      </c>
      <c r="I2609" t="s">
        <v>24</v>
      </c>
      <c r="J2609">
        <v>0</v>
      </c>
      <c r="K2609">
        <v>5</v>
      </c>
    </row>
    <row r="2610" spans="1:11" x14ac:dyDescent="0.35">
      <c r="A2610" t="s">
        <v>2647</v>
      </c>
      <c r="B2610">
        <v>66</v>
      </c>
      <c r="C2610" t="s">
        <v>18</v>
      </c>
      <c r="D2610" t="s">
        <v>21</v>
      </c>
      <c r="E2610">
        <v>21</v>
      </c>
      <c r="F2610" t="s">
        <v>22</v>
      </c>
      <c r="G2610" t="s">
        <v>34</v>
      </c>
      <c r="H2610" s="1">
        <v>110.71</v>
      </c>
      <c r="I2610" t="s">
        <v>24</v>
      </c>
      <c r="J2610">
        <v>1</v>
      </c>
      <c r="K2610">
        <v>1</v>
      </c>
    </row>
    <row r="2611" spans="1:11" x14ac:dyDescent="0.35">
      <c r="A2611" t="s">
        <v>2648</v>
      </c>
      <c r="B2611">
        <v>22</v>
      </c>
      <c r="C2611" t="s">
        <v>18</v>
      </c>
      <c r="D2611" t="s">
        <v>120</v>
      </c>
      <c r="E2611">
        <v>18</v>
      </c>
      <c r="F2611" t="s">
        <v>22</v>
      </c>
      <c r="G2611" t="s">
        <v>34</v>
      </c>
      <c r="H2611" s="1">
        <v>167.75</v>
      </c>
      <c r="I2611" t="s">
        <v>24</v>
      </c>
      <c r="J2611">
        <v>1</v>
      </c>
      <c r="K2611">
        <v>8</v>
      </c>
    </row>
    <row r="2612" spans="1:11" x14ac:dyDescent="0.35">
      <c r="A2612" t="s">
        <v>2649</v>
      </c>
      <c r="B2612">
        <v>68</v>
      </c>
      <c r="C2612" t="s">
        <v>18</v>
      </c>
      <c r="D2612" t="s">
        <v>19</v>
      </c>
      <c r="E2612">
        <v>15</v>
      </c>
      <c r="F2612" t="s">
        <v>26</v>
      </c>
      <c r="G2612" t="s">
        <v>34</v>
      </c>
      <c r="H2612" s="1">
        <v>216.35</v>
      </c>
      <c r="I2612" t="s">
        <v>24</v>
      </c>
      <c r="J2612">
        <v>0</v>
      </c>
      <c r="K2612">
        <v>4</v>
      </c>
    </row>
    <row r="2613" spans="1:11" x14ac:dyDescent="0.35">
      <c r="A2613" t="s">
        <v>2650</v>
      </c>
      <c r="B2613">
        <v>69</v>
      </c>
      <c r="C2613" t="s">
        <v>18</v>
      </c>
      <c r="D2613" t="s">
        <v>19</v>
      </c>
      <c r="E2613">
        <v>8</v>
      </c>
      <c r="F2613" t="s">
        <v>22</v>
      </c>
      <c r="G2613" t="s">
        <v>27</v>
      </c>
      <c r="H2613" s="1">
        <v>163.86</v>
      </c>
      <c r="I2613" t="s">
        <v>28</v>
      </c>
      <c r="J2613">
        <v>1</v>
      </c>
      <c r="K2613">
        <v>8</v>
      </c>
    </row>
    <row r="2614" spans="1:11" x14ac:dyDescent="0.35">
      <c r="A2614" t="s">
        <v>2651</v>
      </c>
      <c r="B2614">
        <v>56</v>
      </c>
      <c r="C2614" t="s">
        <v>18</v>
      </c>
      <c r="D2614" t="s">
        <v>19</v>
      </c>
      <c r="E2614">
        <v>13</v>
      </c>
      <c r="F2614" t="s">
        <v>31</v>
      </c>
      <c r="G2614" t="s">
        <v>23</v>
      </c>
      <c r="H2614" s="1">
        <v>585.1</v>
      </c>
      <c r="I2614" t="s">
        <v>43</v>
      </c>
      <c r="J2614">
        <v>1</v>
      </c>
      <c r="K2614">
        <v>5</v>
      </c>
    </row>
    <row r="2615" spans="1:11" x14ac:dyDescent="0.35">
      <c r="A2615" t="s">
        <v>2652</v>
      </c>
      <c r="B2615">
        <v>54</v>
      </c>
      <c r="C2615" t="s">
        <v>189</v>
      </c>
      <c r="D2615" t="s">
        <v>13</v>
      </c>
      <c r="E2615">
        <v>18</v>
      </c>
      <c r="F2615" t="s">
        <v>33</v>
      </c>
      <c r="G2615" t="s">
        <v>34</v>
      </c>
      <c r="H2615" s="1">
        <v>200.05</v>
      </c>
      <c r="I2615" t="s">
        <v>24</v>
      </c>
      <c r="J2615">
        <v>2</v>
      </c>
      <c r="K2615">
        <v>6</v>
      </c>
    </row>
    <row r="2616" spans="1:11" x14ac:dyDescent="0.35">
      <c r="A2616" t="s">
        <v>2653</v>
      </c>
      <c r="B2616">
        <v>34</v>
      </c>
      <c r="C2616" t="s">
        <v>12</v>
      </c>
      <c r="D2616" t="s">
        <v>21</v>
      </c>
      <c r="E2616">
        <v>23</v>
      </c>
      <c r="F2616" t="s">
        <v>22</v>
      </c>
      <c r="G2616" t="s">
        <v>37</v>
      </c>
      <c r="H2616" s="1">
        <v>168.77</v>
      </c>
      <c r="I2616" t="s">
        <v>24</v>
      </c>
      <c r="J2616">
        <v>4</v>
      </c>
      <c r="K2616">
        <v>3</v>
      </c>
    </row>
    <row r="2617" spans="1:11" x14ac:dyDescent="0.35">
      <c r="A2617" t="s">
        <v>2654</v>
      </c>
      <c r="B2617">
        <v>51</v>
      </c>
      <c r="C2617" t="s">
        <v>18</v>
      </c>
      <c r="D2617" t="s">
        <v>30</v>
      </c>
      <c r="E2617">
        <v>4</v>
      </c>
      <c r="F2617" t="s">
        <v>26</v>
      </c>
      <c r="G2617" t="s">
        <v>27</v>
      </c>
      <c r="H2617" s="1">
        <v>16.72</v>
      </c>
      <c r="I2617" t="s">
        <v>24</v>
      </c>
      <c r="J2617">
        <v>0</v>
      </c>
      <c r="K2617">
        <v>8</v>
      </c>
    </row>
    <row r="2618" spans="1:11" x14ac:dyDescent="0.35">
      <c r="A2618" t="s">
        <v>2655</v>
      </c>
      <c r="B2618">
        <v>84</v>
      </c>
      <c r="C2618" t="s">
        <v>18</v>
      </c>
      <c r="D2618" t="s">
        <v>30</v>
      </c>
      <c r="E2618">
        <v>4</v>
      </c>
      <c r="F2618" t="s">
        <v>22</v>
      </c>
      <c r="G2618" t="s">
        <v>34</v>
      </c>
      <c r="H2618" s="1">
        <v>98.18</v>
      </c>
      <c r="I2618" t="s">
        <v>24</v>
      </c>
      <c r="J2618">
        <v>1</v>
      </c>
      <c r="K2618">
        <v>7</v>
      </c>
    </row>
    <row r="2619" spans="1:11" x14ac:dyDescent="0.35">
      <c r="A2619" t="s">
        <v>2656</v>
      </c>
      <c r="B2619">
        <v>46</v>
      </c>
      <c r="C2619" t="s">
        <v>18</v>
      </c>
      <c r="D2619" t="s">
        <v>21</v>
      </c>
      <c r="E2619">
        <v>45</v>
      </c>
      <c r="F2619" t="s">
        <v>14</v>
      </c>
      <c r="G2619" t="s">
        <v>34</v>
      </c>
      <c r="H2619" s="1">
        <v>0</v>
      </c>
      <c r="I2619" t="s">
        <v>16</v>
      </c>
      <c r="J2619">
        <v>2</v>
      </c>
      <c r="K2619">
        <v>4</v>
      </c>
    </row>
    <row r="2620" spans="1:11" x14ac:dyDescent="0.35">
      <c r="A2620" t="s">
        <v>2657</v>
      </c>
      <c r="B2620">
        <v>37</v>
      </c>
      <c r="C2620" t="s">
        <v>18</v>
      </c>
      <c r="D2620" t="s">
        <v>21</v>
      </c>
      <c r="E2620">
        <v>41</v>
      </c>
      <c r="F2620" t="s">
        <v>14</v>
      </c>
      <c r="G2620" t="s">
        <v>23</v>
      </c>
      <c r="H2620" s="1">
        <v>0</v>
      </c>
      <c r="I2620" t="s">
        <v>16</v>
      </c>
      <c r="J2620">
        <v>1</v>
      </c>
      <c r="K2620">
        <v>5</v>
      </c>
    </row>
    <row r="2621" spans="1:11" x14ac:dyDescent="0.35">
      <c r="A2621" t="s">
        <v>2658</v>
      </c>
      <c r="B2621">
        <v>24</v>
      </c>
      <c r="C2621" t="s">
        <v>12</v>
      </c>
      <c r="D2621" t="s">
        <v>13</v>
      </c>
      <c r="E2621">
        <v>22</v>
      </c>
      <c r="F2621" t="s">
        <v>22</v>
      </c>
      <c r="G2621" t="s">
        <v>23</v>
      </c>
      <c r="H2621" s="1">
        <v>208.42</v>
      </c>
      <c r="I2621" t="s">
        <v>28</v>
      </c>
      <c r="J2621">
        <v>3</v>
      </c>
      <c r="K2621">
        <v>1</v>
      </c>
    </row>
    <row r="2622" spans="1:11" x14ac:dyDescent="0.35">
      <c r="A2622" t="s">
        <v>2659</v>
      </c>
      <c r="B2622">
        <v>40</v>
      </c>
      <c r="C2622" t="s">
        <v>189</v>
      </c>
      <c r="D2622" t="s">
        <v>120</v>
      </c>
      <c r="E2622">
        <v>31</v>
      </c>
      <c r="F2622" t="s">
        <v>26</v>
      </c>
      <c r="G2622" t="s">
        <v>15</v>
      </c>
      <c r="H2622" s="1">
        <v>241.81</v>
      </c>
      <c r="I2622" t="s">
        <v>24</v>
      </c>
      <c r="J2622">
        <v>2</v>
      </c>
      <c r="K2622">
        <v>2</v>
      </c>
    </row>
    <row r="2623" spans="1:11" x14ac:dyDescent="0.35">
      <c r="A2623" t="s">
        <v>2660</v>
      </c>
      <c r="B2623">
        <v>64</v>
      </c>
      <c r="C2623" t="s">
        <v>18</v>
      </c>
      <c r="D2623" t="s">
        <v>30</v>
      </c>
      <c r="E2623">
        <v>10</v>
      </c>
      <c r="F2623" t="s">
        <v>26</v>
      </c>
      <c r="G2623" t="s">
        <v>15</v>
      </c>
      <c r="H2623" s="1">
        <v>259.49</v>
      </c>
      <c r="I2623" t="s">
        <v>24</v>
      </c>
      <c r="J2623">
        <v>3</v>
      </c>
      <c r="K2623">
        <v>8</v>
      </c>
    </row>
    <row r="2624" spans="1:11" x14ac:dyDescent="0.35">
      <c r="A2624" t="s">
        <v>2661</v>
      </c>
      <c r="B2624">
        <v>45</v>
      </c>
      <c r="C2624" t="s">
        <v>18</v>
      </c>
      <c r="D2624" t="s">
        <v>19</v>
      </c>
      <c r="E2624">
        <v>23</v>
      </c>
      <c r="F2624" t="s">
        <v>26</v>
      </c>
      <c r="G2624" t="s">
        <v>27</v>
      </c>
      <c r="H2624" s="1">
        <v>123.31</v>
      </c>
      <c r="I2624" t="s">
        <v>28</v>
      </c>
      <c r="J2624">
        <v>4</v>
      </c>
      <c r="K2624">
        <v>3</v>
      </c>
    </row>
    <row r="2625" spans="1:11" x14ac:dyDescent="0.35">
      <c r="A2625" t="s">
        <v>2662</v>
      </c>
      <c r="B2625">
        <v>47</v>
      </c>
      <c r="C2625" t="s">
        <v>18</v>
      </c>
      <c r="D2625" t="s">
        <v>19</v>
      </c>
      <c r="E2625">
        <v>21</v>
      </c>
      <c r="F2625" t="s">
        <v>14</v>
      </c>
      <c r="G2625" t="s">
        <v>27</v>
      </c>
      <c r="H2625" s="1">
        <v>0</v>
      </c>
      <c r="I2625" t="s">
        <v>16</v>
      </c>
      <c r="J2625">
        <v>3</v>
      </c>
      <c r="K2625">
        <v>2</v>
      </c>
    </row>
    <row r="2626" spans="1:11" x14ac:dyDescent="0.35">
      <c r="A2626" t="s">
        <v>2663</v>
      </c>
      <c r="B2626">
        <v>75</v>
      </c>
      <c r="C2626" t="s">
        <v>12</v>
      </c>
      <c r="D2626" t="s">
        <v>19</v>
      </c>
      <c r="E2626">
        <v>18</v>
      </c>
      <c r="F2626" t="s">
        <v>31</v>
      </c>
      <c r="G2626" t="s">
        <v>15</v>
      </c>
      <c r="H2626" s="1">
        <v>339.33</v>
      </c>
      <c r="I2626" t="s">
        <v>24</v>
      </c>
      <c r="J2626">
        <v>1</v>
      </c>
      <c r="K2626">
        <v>4</v>
      </c>
    </row>
    <row r="2627" spans="1:11" x14ac:dyDescent="0.35">
      <c r="A2627" t="s">
        <v>2664</v>
      </c>
      <c r="B2627">
        <v>30</v>
      </c>
      <c r="C2627" t="s">
        <v>18</v>
      </c>
      <c r="D2627" t="s">
        <v>30</v>
      </c>
      <c r="E2627">
        <v>8</v>
      </c>
      <c r="F2627" t="s">
        <v>31</v>
      </c>
      <c r="G2627" t="s">
        <v>27</v>
      </c>
      <c r="H2627" s="1">
        <v>78.94</v>
      </c>
      <c r="I2627" t="s">
        <v>24</v>
      </c>
      <c r="J2627">
        <v>0</v>
      </c>
      <c r="K2627">
        <v>7</v>
      </c>
    </row>
    <row r="2628" spans="1:11" x14ac:dyDescent="0.35">
      <c r="A2628" t="s">
        <v>2665</v>
      </c>
      <c r="B2628">
        <v>41</v>
      </c>
      <c r="C2628" t="s">
        <v>18</v>
      </c>
      <c r="D2628" t="s">
        <v>21</v>
      </c>
      <c r="E2628">
        <v>48</v>
      </c>
      <c r="F2628" t="s">
        <v>22</v>
      </c>
      <c r="G2628" t="s">
        <v>37</v>
      </c>
      <c r="H2628" s="1">
        <v>218.45</v>
      </c>
      <c r="I2628" t="s">
        <v>24</v>
      </c>
      <c r="J2628">
        <v>2</v>
      </c>
      <c r="K2628">
        <v>5</v>
      </c>
    </row>
    <row r="2629" spans="1:11" x14ac:dyDescent="0.35">
      <c r="A2629" t="s">
        <v>2666</v>
      </c>
      <c r="B2629">
        <v>78</v>
      </c>
      <c r="C2629" t="s">
        <v>18</v>
      </c>
      <c r="D2629" t="s">
        <v>21</v>
      </c>
      <c r="E2629">
        <v>20</v>
      </c>
      <c r="F2629" t="s">
        <v>31</v>
      </c>
      <c r="G2629" t="s">
        <v>37</v>
      </c>
      <c r="H2629" s="1">
        <v>132.91999999999999</v>
      </c>
      <c r="I2629" t="s">
        <v>24</v>
      </c>
      <c r="J2629">
        <v>3</v>
      </c>
      <c r="K2629">
        <v>5</v>
      </c>
    </row>
    <row r="2630" spans="1:11" x14ac:dyDescent="0.35">
      <c r="A2630" t="s">
        <v>2667</v>
      </c>
      <c r="B2630">
        <v>79</v>
      </c>
      <c r="C2630" t="s">
        <v>18</v>
      </c>
      <c r="D2630" t="s">
        <v>19</v>
      </c>
      <c r="E2630">
        <v>9</v>
      </c>
      <c r="F2630" t="s">
        <v>31</v>
      </c>
      <c r="G2630" t="s">
        <v>15</v>
      </c>
      <c r="H2630" s="1">
        <v>198.4</v>
      </c>
      <c r="I2630" t="s">
        <v>24</v>
      </c>
      <c r="J2630">
        <v>3</v>
      </c>
      <c r="K2630">
        <v>8</v>
      </c>
    </row>
    <row r="2631" spans="1:11" x14ac:dyDescent="0.35">
      <c r="A2631" t="s">
        <v>2668</v>
      </c>
      <c r="B2631">
        <v>57</v>
      </c>
      <c r="C2631" t="s">
        <v>18</v>
      </c>
      <c r="D2631" t="s">
        <v>19</v>
      </c>
      <c r="E2631">
        <v>13</v>
      </c>
      <c r="F2631" t="s">
        <v>26</v>
      </c>
      <c r="G2631" t="s">
        <v>15</v>
      </c>
      <c r="H2631" s="1">
        <v>328.27</v>
      </c>
      <c r="I2631" t="s">
        <v>28</v>
      </c>
      <c r="J2631">
        <v>2</v>
      </c>
      <c r="K2631">
        <v>5</v>
      </c>
    </row>
    <row r="2632" spans="1:11" x14ac:dyDescent="0.35">
      <c r="A2632" t="s">
        <v>2669</v>
      </c>
      <c r="B2632">
        <v>30</v>
      </c>
      <c r="C2632" t="s">
        <v>18</v>
      </c>
      <c r="D2632" t="s">
        <v>19</v>
      </c>
      <c r="E2632">
        <v>9</v>
      </c>
      <c r="F2632" t="s">
        <v>22</v>
      </c>
      <c r="G2632" t="s">
        <v>37</v>
      </c>
      <c r="H2632" s="1">
        <v>198.6</v>
      </c>
      <c r="I2632" t="s">
        <v>28</v>
      </c>
      <c r="J2632">
        <v>1</v>
      </c>
      <c r="K2632">
        <v>6</v>
      </c>
    </row>
    <row r="2633" spans="1:11" x14ac:dyDescent="0.35">
      <c r="A2633" t="s">
        <v>2670</v>
      </c>
      <c r="B2633">
        <v>56</v>
      </c>
      <c r="C2633" t="s">
        <v>18</v>
      </c>
      <c r="D2633" t="s">
        <v>19</v>
      </c>
      <c r="E2633">
        <v>12</v>
      </c>
      <c r="F2633" t="s">
        <v>31</v>
      </c>
      <c r="G2633" t="s">
        <v>15</v>
      </c>
      <c r="H2633" s="1">
        <v>265.29000000000002</v>
      </c>
      <c r="I2633" t="s">
        <v>24</v>
      </c>
      <c r="J2633">
        <v>0</v>
      </c>
      <c r="K2633">
        <v>4</v>
      </c>
    </row>
    <row r="2634" spans="1:11" x14ac:dyDescent="0.35">
      <c r="A2634" t="s">
        <v>2671</v>
      </c>
      <c r="B2634">
        <v>83</v>
      </c>
      <c r="C2634" t="s">
        <v>12</v>
      </c>
      <c r="D2634" t="s">
        <v>19</v>
      </c>
      <c r="E2634">
        <v>21</v>
      </c>
      <c r="F2634" t="s">
        <v>33</v>
      </c>
      <c r="G2634" t="s">
        <v>27</v>
      </c>
      <c r="H2634" s="1">
        <v>168.27</v>
      </c>
      <c r="I2634" t="s">
        <v>24</v>
      </c>
      <c r="J2634">
        <v>2</v>
      </c>
      <c r="K2634">
        <v>1</v>
      </c>
    </row>
    <row r="2635" spans="1:11" x14ac:dyDescent="0.35">
      <c r="A2635" t="s">
        <v>2672</v>
      </c>
      <c r="B2635">
        <v>79</v>
      </c>
      <c r="C2635" t="s">
        <v>18</v>
      </c>
      <c r="D2635" t="s">
        <v>19</v>
      </c>
      <c r="E2635">
        <v>19</v>
      </c>
      <c r="F2635" t="s">
        <v>22</v>
      </c>
      <c r="G2635" t="s">
        <v>37</v>
      </c>
      <c r="H2635" s="1">
        <v>145.16999999999999</v>
      </c>
      <c r="I2635" t="s">
        <v>28</v>
      </c>
      <c r="J2635">
        <v>1</v>
      </c>
      <c r="K2635">
        <v>2</v>
      </c>
    </row>
    <row r="2636" spans="1:11" x14ac:dyDescent="0.35">
      <c r="A2636" t="s">
        <v>2673</v>
      </c>
      <c r="B2636">
        <v>63</v>
      </c>
      <c r="C2636" t="s">
        <v>18</v>
      </c>
      <c r="D2636" t="s">
        <v>21</v>
      </c>
      <c r="E2636">
        <v>44</v>
      </c>
      <c r="F2636" t="s">
        <v>33</v>
      </c>
      <c r="G2636" t="s">
        <v>37</v>
      </c>
      <c r="H2636" s="1">
        <v>169.24</v>
      </c>
      <c r="I2636" t="s">
        <v>24</v>
      </c>
      <c r="J2636">
        <v>0</v>
      </c>
      <c r="K2636">
        <v>3</v>
      </c>
    </row>
    <row r="2637" spans="1:11" x14ac:dyDescent="0.35">
      <c r="A2637" t="s">
        <v>2674</v>
      </c>
      <c r="B2637">
        <v>67</v>
      </c>
      <c r="C2637" t="s">
        <v>12</v>
      </c>
      <c r="D2637" t="s">
        <v>21</v>
      </c>
      <c r="E2637">
        <v>43</v>
      </c>
      <c r="F2637" t="s">
        <v>31</v>
      </c>
      <c r="G2637" t="s">
        <v>34</v>
      </c>
      <c r="H2637" s="1">
        <v>167.95</v>
      </c>
      <c r="I2637" t="s">
        <v>24</v>
      </c>
      <c r="J2637">
        <v>3</v>
      </c>
      <c r="K2637">
        <v>2</v>
      </c>
    </row>
    <row r="2638" spans="1:11" x14ac:dyDescent="0.35">
      <c r="A2638" t="s">
        <v>2675</v>
      </c>
      <c r="B2638">
        <v>19</v>
      </c>
      <c r="C2638" t="s">
        <v>18</v>
      </c>
      <c r="D2638" t="s">
        <v>19</v>
      </c>
      <c r="E2638">
        <v>15</v>
      </c>
      <c r="F2638" t="s">
        <v>26</v>
      </c>
      <c r="G2638" t="s">
        <v>15</v>
      </c>
      <c r="H2638" s="1">
        <v>234.5</v>
      </c>
      <c r="I2638" t="s">
        <v>24</v>
      </c>
      <c r="J2638">
        <v>2</v>
      </c>
      <c r="K2638">
        <v>6</v>
      </c>
    </row>
    <row r="2639" spans="1:11" x14ac:dyDescent="0.35">
      <c r="A2639" t="s">
        <v>2676</v>
      </c>
      <c r="B2639">
        <v>45</v>
      </c>
      <c r="C2639" t="s">
        <v>18</v>
      </c>
      <c r="D2639" t="s">
        <v>13</v>
      </c>
      <c r="E2639">
        <v>9</v>
      </c>
      <c r="F2639" t="s">
        <v>26</v>
      </c>
      <c r="G2639" t="s">
        <v>34</v>
      </c>
      <c r="H2639" s="1">
        <v>96.93</v>
      </c>
      <c r="I2639" t="s">
        <v>24</v>
      </c>
      <c r="J2639">
        <v>0</v>
      </c>
      <c r="K2639">
        <v>4</v>
      </c>
    </row>
    <row r="2640" spans="1:11" x14ac:dyDescent="0.35">
      <c r="A2640" t="s">
        <v>2677</v>
      </c>
      <c r="B2640">
        <v>83</v>
      </c>
      <c r="C2640" t="s">
        <v>12</v>
      </c>
      <c r="D2640" t="s">
        <v>57</v>
      </c>
      <c r="E2640">
        <v>40</v>
      </c>
      <c r="F2640" t="s">
        <v>22</v>
      </c>
      <c r="G2640" t="s">
        <v>37</v>
      </c>
      <c r="H2640" s="1">
        <v>176.27</v>
      </c>
      <c r="I2640" t="s">
        <v>24</v>
      </c>
      <c r="J2640">
        <v>3</v>
      </c>
      <c r="K2640">
        <v>1</v>
      </c>
    </row>
    <row r="2641" spans="1:11" x14ac:dyDescent="0.35">
      <c r="A2641" t="s">
        <v>2678</v>
      </c>
      <c r="B2641">
        <v>53</v>
      </c>
      <c r="C2641" t="s">
        <v>12</v>
      </c>
      <c r="D2641" t="s">
        <v>19</v>
      </c>
      <c r="E2641">
        <v>21</v>
      </c>
      <c r="F2641" t="s">
        <v>22</v>
      </c>
      <c r="G2641" t="s">
        <v>37</v>
      </c>
      <c r="H2641" s="1">
        <v>210.24</v>
      </c>
      <c r="I2641" t="s">
        <v>24</v>
      </c>
      <c r="J2641">
        <v>3</v>
      </c>
      <c r="K2641">
        <v>4</v>
      </c>
    </row>
    <row r="2642" spans="1:11" x14ac:dyDescent="0.35">
      <c r="A2642" t="s">
        <v>2679</v>
      </c>
      <c r="B2642">
        <v>22</v>
      </c>
      <c r="C2642" t="s">
        <v>12</v>
      </c>
      <c r="D2642" t="s">
        <v>41</v>
      </c>
      <c r="E2642">
        <v>13</v>
      </c>
      <c r="F2642" t="s">
        <v>26</v>
      </c>
      <c r="G2642" t="s">
        <v>27</v>
      </c>
      <c r="H2642" s="1">
        <v>85.15</v>
      </c>
      <c r="I2642" t="s">
        <v>24</v>
      </c>
      <c r="J2642">
        <v>1</v>
      </c>
      <c r="K2642">
        <v>8</v>
      </c>
    </row>
    <row r="2643" spans="1:11" x14ac:dyDescent="0.35">
      <c r="A2643" t="s">
        <v>2680</v>
      </c>
      <c r="B2643">
        <v>68</v>
      </c>
      <c r="C2643" t="s">
        <v>12</v>
      </c>
      <c r="D2643" t="s">
        <v>19</v>
      </c>
      <c r="E2643">
        <v>9</v>
      </c>
      <c r="F2643" t="s">
        <v>33</v>
      </c>
      <c r="G2643" t="s">
        <v>37</v>
      </c>
      <c r="H2643" s="1">
        <v>193.67</v>
      </c>
      <c r="I2643" t="s">
        <v>24</v>
      </c>
      <c r="J2643">
        <v>0</v>
      </c>
      <c r="K2643">
        <v>5</v>
      </c>
    </row>
    <row r="2644" spans="1:11" x14ac:dyDescent="0.35">
      <c r="A2644" t="s">
        <v>2681</v>
      </c>
      <c r="B2644">
        <v>68</v>
      </c>
      <c r="C2644" t="s">
        <v>18</v>
      </c>
      <c r="D2644" t="s">
        <v>21</v>
      </c>
      <c r="E2644">
        <v>17</v>
      </c>
      <c r="F2644" t="s">
        <v>22</v>
      </c>
      <c r="G2644" t="s">
        <v>34</v>
      </c>
      <c r="H2644" s="1">
        <v>170.29</v>
      </c>
      <c r="I2644" t="s">
        <v>24</v>
      </c>
      <c r="J2644">
        <v>1</v>
      </c>
      <c r="K2644">
        <v>8</v>
      </c>
    </row>
    <row r="2645" spans="1:11" x14ac:dyDescent="0.35">
      <c r="A2645" t="s">
        <v>2682</v>
      </c>
      <c r="B2645">
        <v>48</v>
      </c>
      <c r="C2645" t="s">
        <v>18</v>
      </c>
      <c r="D2645" t="s">
        <v>19</v>
      </c>
      <c r="E2645">
        <v>7</v>
      </c>
      <c r="F2645" t="s">
        <v>33</v>
      </c>
      <c r="G2645" t="s">
        <v>37</v>
      </c>
      <c r="H2645" s="1">
        <v>146.02000000000001</v>
      </c>
      <c r="I2645" t="s">
        <v>28</v>
      </c>
      <c r="J2645">
        <v>0</v>
      </c>
      <c r="K2645">
        <v>9</v>
      </c>
    </row>
    <row r="2646" spans="1:11" x14ac:dyDescent="0.35">
      <c r="A2646" t="s">
        <v>2683</v>
      </c>
      <c r="B2646">
        <v>46</v>
      </c>
      <c r="C2646" t="s">
        <v>18</v>
      </c>
      <c r="D2646" t="s">
        <v>21</v>
      </c>
      <c r="E2646">
        <v>27</v>
      </c>
      <c r="F2646" t="s">
        <v>14</v>
      </c>
      <c r="G2646" t="s">
        <v>23</v>
      </c>
      <c r="H2646" s="1">
        <v>0</v>
      </c>
      <c r="I2646" t="s">
        <v>16</v>
      </c>
      <c r="J2646">
        <v>2</v>
      </c>
      <c r="K2646">
        <v>4</v>
      </c>
    </row>
    <row r="2647" spans="1:11" x14ac:dyDescent="0.35">
      <c r="A2647" t="s">
        <v>2684</v>
      </c>
      <c r="B2647">
        <v>51</v>
      </c>
      <c r="C2647" t="s">
        <v>12</v>
      </c>
      <c r="D2647" t="s">
        <v>30</v>
      </c>
      <c r="E2647">
        <v>11</v>
      </c>
      <c r="F2647" t="s">
        <v>31</v>
      </c>
      <c r="G2647" t="s">
        <v>27</v>
      </c>
      <c r="H2647" s="1">
        <v>85.45</v>
      </c>
      <c r="I2647" t="s">
        <v>24</v>
      </c>
      <c r="J2647">
        <v>0</v>
      </c>
      <c r="K2647">
        <v>8</v>
      </c>
    </row>
    <row r="2648" spans="1:11" x14ac:dyDescent="0.35">
      <c r="A2648" t="s">
        <v>2685</v>
      </c>
      <c r="B2648">
        <v>43</v>
      </c>
      <c r="C2648" t="s">
        <v>12</v>
      </c>
      <c r="D2648" t="s">
        <v>19</v>
      </c>
      <c r="E2648">
        <v>10</v>
      </c>
      <c r="F2648" t="s">
        <v>33</v>
      </c>
      <c r="G2648" t="s">
        <v>15</v>
      </c>
      <c r="H2648" s="1">
        <v>138.94</v>
      </c>
      <c r="I2648" t="s">
        <v>24</v>
      </c>
      <c r="J2648">
        <v>2</v>
      </c>
      <c r="K2648">
        <v>4</v>
      </c>
    </row>
    <row r="2649" spans="1:11" x14ac:dyDescent="0.35">
      <c r="A2649" t="s">
        <v>2686</v>
      </c>
      <c r="B2649">
        <v>38</v>
      </c>
      <c r="C2649" t="s">
        <v>18</v>
      </c>
      <c r="D2649" t="s">
        <v>30</v>
      </c>
      <c r="E2649">
        <v>4</v>
      </c>
      <c r="F2649" t="s">
        <v>14</v>
      </c>
      <c r="G2649" t="s">
        <v>34</v>
      </c>
      <c r="H2649" s="1">
        <v>0</v>
      </c>
      <c r="I2649" t="s">
        <v>16</v>
      </c>
      <c r="J2649">
        <v>0</v>
      </c>
      <c r="K2649">
        <v>8</v>
      </c>
    </row>
    <row r="2650" spans="1:11" x14ac:dyDescent="0.35">
      <c r="A2650" t="s">
        <v>2687</v>
      </c>
      <c r="B2650">
        <v>35</v>
      </c>
      <c r="C2650" t="s">
        <v>12</v>
      </c>
      <c r="D2650" t="s">
        <v>21</v>
      </c>
      <c r="E2650">
        <v>47</v>
      </c>
      <c r="F2650" t="s">
        <v>22</v>
      </c>
      <c r="G2650" t="s">
        <v>27</v>
      </c>
      <c r="H2650" s="1">
        <v>133.37</v>
      </c>
      <c r="I2650" t="s">
        <v>24</v>
      </c>
      <c r="J2650">
        <v>1</v>
      </c>
      <c r="K2650">
        <v>5</v>
      </c>
    </row>
    <row r="2651" spans="1:11" x14ac:dyDescent="0.35">
      <c r="A2651" t="s">
        <v>2688</v>
      </c>
      <c r="B2651">
        <v>76</v>
      </c>
      <c r="C2651" t="s">
        <v>12</v>
      </c>
      <c r="D2651" t="s">
        <v>19</v>
      </c>
      <c r="E2651">
        <v>17</v>
      </c>
      <c r="F2651" t="s">
        <v>33</v>
      </c>
      <c r="G2651" t="s">
        <v>34</v>
      </c>
      <c r="H2651" s="1">
        <v>196.25</v>
      </c>
      <c r="I2651" t="s">
        <v>24</v>
      </c>
      <c r="J2651">
        <v>0</v>
      </c>
      <c r="K2651">
        <v>4</v>
      </c>
    </row>
    <row r="2652" spans="1:11" x14ac:dyDescent="0.35">
      <c r="A2652" t="s">
        <v>2689</v>
      </c>
      <c r="B2652">
        <v>33</v>
      </c>
      <c r="C2652" t="s">
        <v>18</v>
      </c>
      <c r="D2652" t="s">
        <v>13</v>
      </c>
      <c r="E2652">
        <v>15</v>
      </c>
      <c r="F2652" t="s">
        <v>22</v>
      </c>
      <c r="G2652" t="s">
        <v>23</v>
      </c>
      <c r="H2652" s="1">
        <v>403.32</v>
      </c>
      <c r="I2652" t="s">
        <v>24</v>
      </c>
      <c r="J2652">
        <v>0</v>
      </c>
      <c r="K2652">
        <v>6</v>
      </c>
    </row>
    <row r="2653" spans="1:11" x14ac:dyDescent="0.35">
      <c r="A2653" t="s">
        <v>2690</v>
      </c>
      <c r="B2653">
        <v>43</v>
      </c>
      <c r="C2653" t="s">
        <v>12</v>
      </c>
      <c r="D2653" t="s">
        <v>19</v>
      </c>
      <c r="E2653">
        <v>17</v>
      </c>
      <c r="F2653" t="s">
        <v>31</v>
      </c>
      <c r="G2653" t="s">
        <v>23</v>
      </c>
      <c r="H2653" s="1">
        <v>224.76</v>
      </c>
      <c r="I2653" t="s">
        <v>28</v>
      </c>
      <c r="J2653">
        <v>2</v>
      </c>
      <c r="K2653">
        <v>4</v>
      </c>
    </row>
    <row r="2654" spans="1:11" x14ac:dyDescent="0.35">
      <c r="A2654" t="s">
        <v>2691</v>
      </c>
      <c r="B2654">
        <v>53</v>
      </c>
      <c r="C2654" t="s">
        <v>12</v>
      </c>
      <c r="D2654" t="s">
        <v>21</v>
      </c>
      <c r="E2654">
        <v>42</v>
      </c>
      <c r="F2654" t="s">
        <v>22</v>
      </c>
      <c r="G2654" t="s">
        <v>34</v>
      </c>
      <c r="H2654" s="1">
        <v>165.49</v>
      </c>
      <c r="I2654" t="s">
        <v>24</v>
      </c>
      <c r="J2654">
        <v>0</v>
      </c>
      <c r="K2654">
        <v>2</v>
      </c>
    </row>
    <row r="2655" spans="1:11" x14ac:dyDescent="0.35">
      <c r="A2655" t="s">
        <v>2692</v>
      </c>
      <c r="B2655">
        <v>35</v>
      </c>
      <c r="C2655" t="s">
        <v>18</v>
      </c>
      <c r="D2655" t="s">
        <v>19</v>
      </c>
      <c r="E2655">
        <v>20</v>
      </c>
      <c r="F2655" t="s">
        <v>22</v>
      </c>
      <c r="G2655" t="s">
        <v>37</v>
      </c>
      <c r="H2655" s="1">
        <v>217.57</v>
      </c>
      <c r="I2655" t="s">
        <v>24</v>
      </c>
      <c r="J2655">
        <v>0</v>
      </c>
      <c r="K2655">
        <v>5</v>
      </c>
    </row>
    <row r="2656" spans="1:11" x14ac:dyDescent="0.35">
      <c r="A2656" t="s">
        <v>2693</v>
      </c>
      <c r="B2656">
        <v>57</v>
      </c>
      <c r="C2656" t="s">
        <v>18</v>
      </c>
      <c r="D2656" t="s">
        <v>19</v>
      </c>
      <c r="E2656">
        <v>9</v>
      </c>
      <c r="F2656" t="s">
        <v>26</v>
      </c>
      <c r="G2656" t="s">
        <v>37</v>
      </c>
      <c r="H2656" s="1">
        <v>136.16</v>
      </c>
      <c r="I2656" t="s">
        <v>24</v>
      </c>
      <c r="J2656">
        <v>1</v>
      </c>
      <c r="K2656">
        <v>4</v>
      </c>
    </row>
    <row r="2657" spans="1:11" x14ac:dyDescent="0.35">
      <c r="A2657" t="s">
        <v>2694</v>
      </c>
      <c r="B2657">
        <v>44</v>
      </c>
      <c r="C2657" t="s">
        <v>12</v>
      </c>
      <c r="D2657" t="s">
        <v>19</v>
      </c>
      <c r="E2657">
        <v>22</v>
      </c>
      <c r="F2657" t="s">
        <v>33</v>
      </c>
      <c r="G2657" t="s">
        <v>15</v>
      </c>
      <c r="H2657" s="1">
        <v>416.85</v>
      </c>
      <c r="I2657" t="s">
        <v>24</v>
      </c>
      <c r="J2657">
        <v>0</v>
      </c>
      <c r="K2657">
        <v>5</v>
      </c>
    </row>
    <row r="2658" spans="1:11" x14ac:dyDescent="0.35">
      <c r="A2658" t="s">
        <v>2695</v>
      </c>
      <c r="B2658">
        <v>57</v>
      </c>
      <c r="C2658" t="s">
        <v>18</v>
      </c>
      <c r="D2658" t="s">
        <v>30</v>
      </c>
      <c r="E2658">
        <v>7</v>
      </c>
      <c r="F2658" t="s">
        <v>26</v>
      </c>
      <c r="G2658" t="s">
        <v>23</v>
      </c>
      <c r="H2658" s="1">
        <v>575.41</v>
      </c>
      <c r="I2658" t="s">
        <v>43</v>
      </c>
      <c r="J2658">
        <v>0</v>
      </c>
      <c r="K2658">
        <v>10</v>
      </c>
    </row>
    <row r="2659" spans="1:11" x14ac:dyDescent="0.35">
      <c r="A2659" t="s">
        <v>2696</v>
      </c>
      <c r="B2659">
        <v>19</v>
      </c>
      <c r="C2659" t="s">
        <v>12</v>
      </c>
      <c r="D2659" t="s">
        <v>19</v>
      </c>
      <c r="E2659">
        <v>19</v>
      </c>
      <c r="F2659" t="s">
        <v>26</v>
      </c>
      <c r="G2659" t="s">
        <v>27</v>
      </c>
      <c r="H2659" s="1">
        <v>105.96</v>
      </c>
      <c r="I2659" t="s">
        <v>24</v>
      </c>
      <c r="J2659">
        <v>4</v>
      </c>
      <c r="K2659">
        <v>3</v>
      </c>
    </row>
    <row r="2660" spans="1:11" x14ac:dyDescent="0.35">
      <c r="A2660" t="s">
        <v>2697</v>
      </c>
      <c r="B2660">
        <v>41</v>
      </c>
      <c r="C2660" t="s">
        <v>18</v>
      </c>
      <c r="D2660" t="s">
        <v>19</v>
      </c>
      <c r="E2660">
        <v>15</v>
      </c>
      <c r="F2660" t="s">
        <v>33</v>
      </c>
      <c r="G2660" t="s">
        <v>15</v>
      </c>
      <c r="H2660" s="1">
        <v>86.62</v>
      </c>
      <c r="I2660" t="s">
        <v>24</v>
      </c>
      <c r="J2660">
        <v>0</v>
      </c>
      <c r="K2660">
        <v>8</v>
      </c>
    </row>
    <row r="2661" spans="1:11" x14ac:dyDescent="0.35">
      <c r="A2661" t="s">
        <v>2698</v>
      </c>
      <c r="B2661">
        <v>55</v>
      </c>
      <c r="C2661" t="s">
        <v>12</v>
      </c>
      <c r="D2661" t="s">
        <v>30</v>
      </c>
      <c r="E2661">
        <v>9</v>
      </c>
      <c r="F2661" t="s">
        <v>33</v>
      </c>
      <c r="G2661" t="s">
        <v>37</v>
      </c>
      <c r="H2661" s="1">
        <v>185.63</v>
      </c>
      <c r="I2661" t="s">
        <v>24</v>
      </c>
      <c r="J2661">
        <v>1</v>
      </c>
      <c r="K2661">
        <v>8</v>
      </c>
    </row>
    <row r="2662" spans="1:11" x14ac:dyDescent="0.35">
      <c r="A2662" t="s">
        <v>2699</v>
      </c>
      <c r="B2662">
        <v>49</v>
      </c>
      <c r="C2662" t="s">
        <v>12</v>
      </c>
      <c r="D2662" t="s">
        <v>21</v>
      </c>
      <c r="E2662">
        <v>48</v>
      </c>
      <c r="F2662" t="s">
        <v>22</v>
      </c>
      <c r="G2662" t="s">
        <v>23</v>
      </c>
      <c r="H2662" s="1">
        <v>431.63</v>
      </c>
      <c r="I2662" t="s">
        <v>28</v>
      </c>
      <c r="J2662">
        <v>1</v>
      </c>
      <c r="K2662">
        <v>1</v>
      </c>
    </row>
    <row r="2663" spans="1:11" x14ac:dyDescent="0.35">
      <c r="A2663" t="s">
        <v>2700</v>
      </c>
      <c r="B2663">
        <v>56</v>
      </c>
      <c r="C2663" t="s">
        <v>18</v>
      </c>
      <c r="D2663" t="s">
        <v>41</v>
      </c>
      <c r="E2663">
        <v>5</v>
      </c>
      <c r="F2663" t="s">
        <v>22</v>
      </c>
      <c r="G2663" t="s">
        <v>37</v>
      </c>
      <c r="H2663" s="1">
        <v>212.51</v>
      </c>
      <c r="I2663" t="s">
        <v>24</v>
      </c>
      <c r="J2663">
        <v>0</v>
      </c>
      <c r="K2663">
        <v>9</v>
      </c>
    </row>
    <row r="2664" spans="1:11" x14ac:dyDescent="0.35">
      <c r="A2664" t="s">
        <v>2701</v>
      </c>
      <c r="B2664">
        <v>19</v>
      </c>
      <c r="C2664" t="s">
        <v>12</v>
      </c>
      <c r="D2664" t="s">
        <v>244</v>
      </c>
      <c r="E2664">
        <v>21</v>
      </c>
      <c r="F2664" t="s">
        <v>33</v>
      </c>
      <c r="G2664" t="s">
        <v>27</v>
      </c>
      <c r="H2664" s="1">
        <v>163.04</v>
      </c>
      <c r="I2664" t="s">
        <v>28</v>
      </c>
      <c r="J2664">
        <v>4</v>
      </c>
      <c r="K2664">
        <v>2</v>
      </c>
    </row>
    <row r="2665" spans="1:11" x14ac:dyDescent="0.35">
      <c r="A2665" t="s">
        <v>2702</v>
      </c>
      <c r="B2665">
        <v>85</v>
      </c>
      <c r="C2665" t="s">
        <v>18</v>
      </c>
      <c r="D2665" t="s">
        <v>13</v>
      </c>
      <c r="E2665">
        <v>14</v>
      </c>
      <c r="F2665" t="s">
        <v>22</v>
      </c>
      <c r="G2665" t="s">
        <v>37</v>
      </c>
      <c r="H2665" s="1">
        <v>187.62</v>
      </c>
      <c r="I2665" t="s">
        <v>24</v>
      </c>
      <c r="J2665">
        <v>1</v>
      </c>
      <c r="K2665">
        <v>6</v>
      </c>
    </row>
    <row r="2666" spans="1:11" x14ac:dyDescent="0.35">
      <c r="A2666" t="s">
        <v>2703</v>
      </c>
      <c r="B2666">
        <v>28</v>
      </c>
      <c r="C2666" t="s">
        <v>18</v>
      </c>
      <c r="D2666" t="s">
        <v>19</v>
      </c>
      <c r="E2666">
        <v>14</v>
      </c>
      <c r="F2666" t="s">
        <v>33</v>
      </c>
      <c r="G2666" t="s">
        <v>34</v>
      </c>
      <c r="H2666" s="1">
        <v>129.07</v>
      </c>
      <c r="I2666" t="s">
        <v>24</v>
      </c>
      <c r="J2666">
        <v>3</v>
      </c>
      <c r="K2666">
        <v>6</v>
      </c>
    </row>
    <row r="2667" spans="1:11" x14ac:dyDescent="0.35">
      <c r="A2667" t="s">
        <v>2704</v>
      </c>
      <c r="B2667">
        <v>56</v>
      </c>
      <c r="C2667" t="s">
        <v>18</v>
      </c>
      <c r="D2667" t="s">
        <v>30</v>
      </c>
      <c r="E2667">
        <v>3</v>
      </c>
      <c r="F2667" t="s">
        <v>22</v>
      </c>
      <c r="G2667" t="s">
        <v>37</v>
      </c>
      <c r="H2667" s="1">
        <v>135.94999999999999</v>
      </c>
      <c r="I2667" t="s">
        <v>28</v>
      </c>
      <c r="J2667">
        <v>2</v>
      </c>
      <c r="K2667">
        <v>9</v>
      </c>
    </row>
    <row r="2668" spans="1:11" x14ac:dyDescent="0.35">
      <c r="A2668" t="s">
        <v>2705</v>
      </c>
      <c r="B2668">
        <v>46</v>
      </c>
      <c r="C2668" t="s">
        <v>18</v>
      </c>
      <c r="D2668" t="s">
        <v>30</v>
      </c>
      <c r="E2668">
        <v>13</v>
      </c>
      <c r="F2668" t="s">
        <v>22</v>
      </c>
      <c r="G2668" t="s">
        <v>23</v>
      </c>
      <c r="H2668" s="1">
        <v>239.29</v>
      </c>
      <c r="I2668" t="s">
        <v>24</v>
      </c>
      <c r="J2668">
        <v>0</v>
      </c>
      <c r="K2668">
        <v>8</v>
      </c>
    </row>
    <row r="2669" spans="1:11" x14ac:dyDescent="0.35">
      <c r="A2669" t="s">
        <v>2706</v>
      </c>
      <c r="B2669">
        <v>55</v>
      </c>
      <c r="C2669" t="s">
        <v>18</v>
      </c>
      <c r="D2669" t="s">
        <v>30</v>
      </c>
      <c r="E2669">
        <v>7</v>
      </c>
      <c r="F2669" t="s">
        <v>33</v>
      </c>
      <c r="G2669" t="s">
        <v>23</v>
      </c>
      <c r="H2669" s="1">
        <v>352.17</v>
      </c>
      <c r="I2669" t="s">
        <v>24</v>
      </c>
      <c r="J2669">
        <v>2</v>
      </c>
      <c r="K2669">
        <v>7</v>
      </c>
    </row>
    <row r="2670" spans="1:11" x14ac:dyDescent="0.35">
      <c r="A2670" t="s">
        <v>2707</v>
      </c>
      <c r="B2670">
        <v>30</v>
      </c>
      <c r="C2670" t="s">
        <v>18</v>
      </c>
      <c r="D2670" t="s">
        <v>19</v>
      </c>
      <c r="E2670">
        <v>8</v>
      </c>
      <c r="F2670" t="s">
        <v>33</v>
      </c>
      <c r="G2670" t="s">
        <v>34</v>
      </c>
      <c r="H2670" s="1">
        <v>198.88</v>
      </c>
      <c r="I2670" t="s">
        <v>24</v>
      </c>
      <c r="J2670">
        <v>2</v>
      </c>
      <c r="K2670">
        <v>10</v>
      </c>
    </row>
    <row r="2671" spans="1:11" x14ac:dyDescent="0.35">
      <c r="A2671" t="s">
        <v>2708</v>
      </c>
      <c r="B2671">
        <v>68</v>
      </c>
      <c r="C2671" t="s">
        <v>18</v>
      </c>
      <c r="D2671" t="s">
        <v>30</v>
      </c>
      <c r="E2671">
        <v>9</v>
      </c>
      <c r="F2671" t="s">
        <v>33</v>
      </c>
      <c r="G2671" t="s">
        <v>23</v>
      </c>
      <c r="H2671" s="1">
        <v>380.42</v>
      </c>
      <c r="I2671" t="s">
        <v>28</v>
      </c>
      <c r="J2671">
        <v>2</v>
      </c>
      <c r="K2671">
        <v>8</v>
      </c>
    </row>
    <row r="2672" spans="1:11" x14ac:dyDescent="0.35">
      <c r="A2672" t="s">
        <v>2709</v>
      </c>
      <c r="B2672">
        <v>56</v>
      </c>
      <c r="C2672" t="s">
        <v>18</v>
      </c>
      <c r="D2672" t="s">
        <v>19</v>
      </c>
      <c r="E2672">
        <v>11</v>
      </c>
      <c r="F2672" t="s">
        <v>31</v>
      </c>
      <c r="G2672" t="s">
        <v>23</v>
      </c>
      <c r="H2672" s="1">
        <v>103.85</v>
      </c>
      <c r="I2672" t="s">
        <v>43</v>
      </c>
      <c r="J2672">
        <v>1</v>
      </c>
      <c r="K2672">
        <v>6</v>
      </c>
    </row>
    <row r="2673" spans="1:11" x14ac:dyDescent="0.35">
      <c r="A2673" t="s">
        <v>2710</v>
      </c>
      <c r="B2673">
        <v>61</v>
      </c>
      <c r="C2673" t="s">
        <v>18</v>
      </c>
      <c r="D2673" t="s">
        <v>19</v>
      </c>
      <c r="E2673">
        <v>17</v>
      </c>
      <c r="F2673" t="s">
        <v>31</v>
      </c>
      <c r="G2673" t="s">
        <v>15</v>
      </c>
      <c r="H2673" s="1">
        <v>349.93</v>
      </c>
      <c r="I2673" t="s">
        <v>43</v>
      </c>
      <c r="J2673">
        <v>1</v>
      </c>
      <c r="K2673">
        <v>4</v>
      </c>
    </row>
    <row r="2674" spans="1:11" x14ac:dyDescent="0.35">
      <c r="A2674" t="s">
        <v>2711</v>
      </c>
      <c r="B2674">
        <v>66</v>
      </c>
      <c r="C2674" t="s">
        <v>18</v>
      </c>
      <c r="D2674" t="s">
        <v>21</v>
      </c>
      <c r="E2674">
        <v>12</v>
      </c>
      <c r="F2674" t="s">
        <v>14</v>
      </c>
      <c r="G2674" t="s">
        <v>37</v>
      </c>
      <c r="H2674" s="1">
        <v>0</v>
      </c>
      <c r="I2674" t="s">
        <v>16</v>
      </c>
      <c r="J2674">
        <v>1</v>
      </c>
      <c r="K2674">
        <v>4</v>
      </c>
    </row>
    <row r="2675" spans="1:11" x14ac:dyDescent="0.35">
      <c r="A2675" t="s">
        <v>2712</v>
      </c>
      <c r="B2675">
        <v>67</v>
      </c>
      <c r="C2675" t="s">
        <v>12</v>
      </c>
      <c r="D2675" t="s">
        <v>30</v>
      </c>
      <c r="E2675">
        <v>2</v>
      </c>
      <c r="F2675" t="s">
        <v>31</v>
      </c>
      <c r="G2675" t="s">
        <v>23</v>
      </c>
      <c r="H2675" s="1">
        <v>431.49</v>
      </c>
      <c r="I2675" t="s">
        <v>24</v>
      </c>
      <c r="J2675">
        <v>0</v>
      </c>
      <c r="K2675">
        <v>10</v>
      </c>
    </row>
    <row r="2676" spans="1:11" x14ac:dyDescent="0.35">
      <c r="A2676" t="s">
        <v>2713</v>
      </c>
      <c r="B2676">
        <v>39</v>
      </c>
      <c r="C2676" t="s">
        <v>18</v>
      </c>
      <c r="D2676" t="s">
        <v>19</v>
      </c>
      <c r="E2676">
        <v>17</v>
      </c>
      <c r="F2676" t="s">
        <v>22</v>
      </c>
      <c r="G2676" t="s">
        <v>37</v>
      </c>
      <c r="H2676" s="1">
        <v>106.72</v>
      </c>
      <c r="I2676" t="s">
        <v>24</v>
      </c>
      <c r="J2676">
        <v>0</v>
      </c>
      <c r="K2676">
        <v>8</v>
      </c>
    </row>
    <row r="2677" spans="1:11" x14ac:dyDescent="0.35">
      <c r="A2677" t="s">
        <v>2714</v>
      </c>
      <c r="B2677">
        <v>85</v>
      </c>
      <c r="C2677" t="s">
        <v>18</v>
      </c>
      <c r="D2677" t="s">
        <v>19</v>
      </c>
      <c r="E2677">
        <v>23</v>
      </c>
      <c r="F2677" t="s">
        <v>31</v>
      </c>
      <c r="G2677" t="s">
        <v>37</v>
      </c>
      <c r="H2677" s="1">
        <v>147.03</v>
      </c>
      <c r="I2677" t="s">
        <v>43</v>
      </c>
      <c r="J2677">
        <v>4</v>
      </c>
      <c r="K2677">
        <v>2</v>
      </c>
    </row>
    <row r="2678" spans="1:11" x14ac:dyDescent="0.35">
      <c r="A2678" t="s">
        <v>2715</v>
      </c>
      <c r="B2678">
        <v>82</v>
      </c>
      <c r="C2678" t="s">
        <v>12</v>
      </c>
      <c r="D2678" t="s">
        <v>19</v>
      </c>
      <c r="E2678">
        <v>9</v>
      </c>
      <c r="F2678" t="s">
        <v>22</v>
      </c>
      <c r="G2678" t="s">
        <v>34</v>
      </c>
      <c r="H2678" s="1">
        <v>153.4</v>
      </c>
      <c r="I2678" t="s">
        <v>43</v>
      </c>
      <c r="J2678">
        <v>2</v>
      </c>
      <c r="K2678">
        <v>4</v>
      </c>
    </row>
    <row r="2679" spans="1:11" x14ac:dyDescent="0.35">
      <c r="A2679" t="s">
        <v>2716</v>
      </c>
      <c r="B2679">
        <v>34</v>
      </c>
      <c r="C2679" t="s">
        <v>12</v>
      </c>
      <c r="D2679" t="s">
        <v>21</v>
      </c>
      <c r="E2679">
        <v>44</v>
      </c>
      <c r="F2679" t="s">
        <v>33</v>
      </c>
      <c r="G2679" t="s">
        <v>34</v>
      </c>
      <c r="H2679" s="1">
        <v>178.17</v>
      </c>
      <c r="I2679" t="s">
        <v>24</v>
      </c>
      <c r="J2679">
        <v>1</v>
      </c>
      <c r="K2679">
        <v>1</v>
      </c>
    </row>
    <row r="2680" spans="1:11" x14ac:dyDescent="0.35">
      <c r="A2680" t="s">
        <v>2717</v>
      </c>
      <c r="B2680">
        <v>76</v>
      </c>
      <c r="C2680" t="s">
        <v>12</v>
      </c>
      <c r="D2680" t="s">
        <v>13</v>
      </c>
      <c r="E2680">
        <v>8</v>
      </c>
      <c r="F2680" t="s">
        <v>26</v>
      </c>
      <c r="G2680" t="s">
        <v>15</v>
      </c>
      <c r="H2680" s="1">
        <v>396.68</v>
      </c>
      <c r="I2680" t="s">
        <v>24</v>
      </c>
      <c r="J2680">
        <v>1</v>
      </c>
      <c r="K2680">
        <v>10</v>
      </c>
    </row>
    <row r="2681" spans="1:11" x14ac:dyDescent="0.35">
      <c r="A2681" t="s">
        <v>2718</v>
      </c>
      <c r="B2681">
        <v>80</v>
      </c>
      <c r="C2681" t="s">
        <v>18</v>
      </c>
      <c r="D2681" t="s">
        <v>19</v>
      </c>
      <c r="E2681">
        <v>14</v>
      </c>
      <c r="F2681" t="s">
        <v>14</v>
      </c>
      <c r="G2681" t="s">
        <v>27</v>
      </c>
      <c r="H2681" s="1">
        <v>0</v>
      </c>
      <c r="I2681" t="s">
        <v>16</v>
      </c>
      <c r="J2681">
        <v>2</v>
      </c>
      <c r="K2681">
        <v>8</v>
      </c>
    </row>
    <row r="2682" spans="1:11" x14ac:dyDescent="0.35">
      <c r="A2682" t="s">
        <v>2719</v>
      </c>
      <c r="B2682">
        <v>40</v>
      </c>
      <c r="C2682" t="s">
        <v>18</v>
      </c>
      <c r="D2682" t="s">
        <v>19</v>
      </c>
      <c r="E2682">
        <v>6</v>
      </c>
      <c r="F2682" t="s">
        <v>26</v>
      </c>
      <c r="G2682" t="s">
        <v>37</v>
      </c>
      <c r="H2682" s="1">
        <v>101.47</v>
      </c>
      <c r="I2682" t="s">
        <v>43</v>
      </c>
      <c r="J2682">
        <v>2</v>
      </c>
      <c r="K2682">
        <v>10</v>
      </c>
    </row>
    <row r="2683" spans="1:11" x14ac:dyDescent="0.35">
      <c r="A2683" t="s">
        <v>2720</v>
      </c>
      <c r="B2683">
        <v>85</v>
      </c>
      <c r="C2683" t="s">
        <v>18</v>
      </c>
      <c r="D2683" t="s">
        <v>21</v>
      </c>
      <c r="E2683">
        <v>48</v>
      </c>
      <c r="F2683" t="s">
        <v>22</v>
      </c>
      <c r="G2683" t="s">
        <v>34</v>
      </c>
      <c r="H2683" s="1">
        <v>167.05</v>
      </c>
      <c r="I2683" t="s">
        <v>24</v>
      </c>
      <c r="J2683">
        <v>2</v>
      </c>
      <c r="K2683">
        <v>5</v>
      </c>
    </row>
    <row r="2684" spans="1:11" x14ac:dyDescent="0.35">
      <c r="A2684" t="s">
        <v>2721</v>
      </c>
      <c r="B2684">
        <v>73</v>
      </c>
      <c r="C2684" t="s">
        <v>18</v>
      </c>
      <c r="D2684" t="s">
        <v>21</v>
      </c>
      <c r="E2684">
        <v>13</v>
      </c>
      <c r="F2684" t="s">
        <v>22</v>
      </c>
      <c r="G2684" t="s">
        <v>27</v>
      </c>
      <c r="H2684" s="1">
        <v>143.43</v>
      </c>
      <c r="I2684" t="s">
        <v>24</v>
      </c>
      <c r="J2684">
        <v>0</v>
      </c>
      <c r="K2684">
        <v>8</v>
      </c>
    </row>
    <row r="2685" spans="1:11" x14ac:dyDescent="0.35">
      <c r="A2685" t="s">
        <v>2722</v>
      </c>
      <c r="B2685">
        <v>46</v>
      </c>
      <c r="C2685" t="s">
        <v>18</v>
      </c>
      <c r="D2685" t="s">
        <v>30</v>
      </c>
      <c r="E2685">
        <v>3</v>
      </c>
      <c r="F2685" t="s">
        <v>22</v>
      </c>
      <c r="G2685" t="s">
        <v>27</v>
      </c>
      <c r="H2685" s="1">
        <v>39.97</v>
      </c>
      <c r="I2685" t="s">
        <v>24</v>
      </c>
      <c r="J2685">
        <v>2</v>
      </c>
      <c r="K2685">
        <v>9</v>
      </c>
    </row>
    <row r="2686" spans="1:11" x14ac:dyDescent="0.35">
      <c r="A2686" t="s">
        <v>2723</v>
      </c>
      <c r="B2686">
        <v>50</v>
      </c>
      <c r="C2686" t="s">
        <v>18</v>
      </c>
      <c r="D2686" t="s">
        <v>19</v>
      </c>
      <c r="E2686">
        <v>12</v>
      </c>
      <c r="F2686" t="s">
        <v>33</v>
      </c>
      <c r="G2686" t="s">
        <v>37</v>
      </c>
      <c r="H2686" s="1">
        <v>110.36</v>
      </c>
      <c r="I2686" t="s">
        <v>24</v>
      </c>
      <c r="J2686">
        <v>2</v>
      </c>
      <c r="K2686">
        <v>5</v>
      </c>
    </row>
    <row r="2687" spans="1:11" x14ac:dyDescent="0.35">
      <c r="A2687" t="s">
        <v>2724</v>
      </c>
      <c r="B2687">
        <v>77</v>
      </c>
      <c r="C2687" t="s">
        <v>18</v>
      </c>
      <c r="D2687" t="s">
        <v>19</v>
      </c>
      <c r="E2687">
        <v>21</v>
      </c>
      <c r="F2687" t="s">
        <v>33</v>
      </c>
      <c r="G2687" t="s">
        <v>27</v>
      </c>
      <c r="H2687" s="1">
        <v>39.15</v>
      </c>
      <c r="I2687" t="s">
        <v>24</v>
      </c>
      <c r="J2687">
        <v>2</v>
      </c>
      <c r="K2687">
        <v>4</v>
      </c>
    </row>
    <row r="2688" spans="1:11" x14ac:dyDescent="0.35">
      <c r="A2688" t="s">
        <v>2725</v>
      </c>
      <c r="B2688">
        <v>36</v>
      </c>
      <c r="C2688" t="s">
        <v>12</v>
      </c>
      <c r="D2688" t="s">
        <v>19</v>
      </c>
      <c r="E2688">
        <v>24</v>
      </c>
      <c r="F2688" t="s">
        <v>26</v>
      </c>
      <c r="G2688" t="s">
        <v>23</v>
      </c>
      <c r="H2688" s="1">
        <v>338.91</v>
      </c>
      <c r="I2688" t="s">
        <v>24</v>
      </c>
      <c r="J2688">
        <v>2</v>
      </c>
      <c r="K2688">
        <v>1</v>
      </c>
    </row>
    <row r="2689" spans="1:11" x14ac:dyDescent="0.35">
      <c r="A2689" t="s">
        <v>2726</v>
      </c>
      <c r="B2689">
        <v>28</v>
      </c>
      <c r="C2689" t="s">
        <v>12</v>
      </c>
      <c r="D2689" t="s">
        <v>13</v>
      </c>
      <c r="E2689">
        <v>20</v>
      </c>
      <c r="F2689" t="s">
        <v>31</v>
      </c>
      <c r="G2689" t="s">
        <v>15</v>
      </c>
      <c r="H2689" s="1">
        <v>293.37</v>
      </c>
      <c r="I2689" t="s">
        <v>24</v>
      </c>
      <c r="J2689">
        <v>1</v>
      </c>
      <c r="K2689">
        <v>3</v>
      </c>
    </row>
    <row r="2690" spans="1:11" x14ac:dyDescent="0.35">
      <c r="A2690" t="s">
        <v>2727</v>
      </c>
      <c r="B2690">
        <v>50</v>
      </c>
      <c r="C2690" t="s">
        <v>18</v>
      </c>
      <c r="D2690" t="s">
        <v>21</v>
      </c>
      <c r="E2690">
        <v>24</v>
      </c>
      <c r="F2690" t="s">
        <v>33</v>
      </c>
      <c r="G2690" t="s">
        <v>15</v>
      </c>
      <c r="H2690" s="1">
        <v>269.33999999999997</v>
      </c>
      <c r="I2690" t="s">
        <v>24</v>
      </c>
      <c r="J2690">
        <v>4</v>
      </c>
      <c r="K2690">
        <v>4</v>
      </c>
    </row>
    <row r="2691" spans="1:11" x14ac:dyDescent="0.35">
      <c r="A2691" t="s">
        <v>2728</v>
      </c>
      <c r="B2691">
        <v>66</v>
      </c>
      <c r="C2691" t="s">
        <v>12</v>
      </c>
      <c r="D2691" t="s">
        <v>21</v>
      </c>
      <c r="E2691">
        <v>45</v>
      </c>
      <c r="F2691" t="s">
        <v>31</v>
      </c>
      <c r="G2691" t="s">
        <v>15</v>
      </c>
      <c r="H2691" s="1">
        <v>85.37</v>
      </c>
      <c r="I2691" t="s">
        <v>24</v>
      </c>
      <c r="J2691">
        <v>0</v>
      </c>
      <c r="K2691">
        <v>5</v>
      </c>
    </row>
    <row r="2692" spans="1:11" x14ac:dyDescent="0.35">
      <c r="A2692" t="s">
        <v>2729</v>
      </c>
      <c r="B2692">
        <v>61</v>
      </c>
      <c r="C2692" t="s">
        <v>12</v>
      </c>
      <c r="D2692" t="s">
        <v>13</v>
      </c>
      <c r="E2692">
        <v>11</v>
      </c>
      <c r="F2692" t="s">
        <v>22</v>
      </c>
      <c r="G2692" t="s">
        <v>23</v>
      </c>
      <c r="H2692" s="1">
        <v>449.11</v>
      </c>
      <c r="I2692" t="s">
        <v>24</v>
      </c>
      <c r="J2692">
        <v>0</v>
      </c>
      <c r="K2692">
        <v>5</v>
      </c>
    </row>
    <row r="2693" spans="1:11" x14ac:dyDescent="0.35">
      <c r="A2693" t="s">
        <v>2730</v>
      </c>
      <c r="B2693">
        <v>18</v>
      </c>
      <c r="C2693" t="s">
        <v>18</v>
      </c>
      <c r="D2693" t="s">
        <v>47</v>
      </c>
      <c r="E2693">
        <v>4</v>
      </c>
      <c r="F2693" t="s">
        <v>22</v>
      </c>
      <c r="G2693" t="s">
        <v>27</v>
      </c>
      <c r="H2693" s="1">
        <v>143.58000000000001</v>
      </c>
      <c r="I2693" t="s">
        <v>24</v>
      </c>
      <c r="J2693">
        <v>2</v>
      </c>
      <c r="K2693">
        <v>10</v>
      </c>
    </row>
    <row r="2694" spans="1:11" x14ac:dyDescent="0.35">
      <c r="A2694" t="s">
        <v>2731</v>
      </c>
      <c r="B2694">
        <v>78</v>
      </c>
      <c r="C2694" t="s">
        <v>18</v>
      </c>
      <c r="D2694" t="s">
        <v>19</v>
      </c>
      <c r="E2694">
        <v>21</v>
      </c>
      <c r="F2694" t="s">
        <v>31</v>
      </c>
      <c r="G2694" t="s">
        <v>37</v>
      </c>
      <c r="H2694" s="1">
        <v>209.22</v>
      </c>
      <c r="I2694" t="s">
        <v>24</v>
      </c>
      <c r="J2694">
        <v>4</v>
      </c>
      <c r="K2694">
        <v>4</v>
      </c>
    </row>
    <row r="2695" spans="1:11" x14ac:dyDescent="0.35">
      <c r="A2695" t="s">
        <v>2732</v>
      </c>
      <c r="B2695">
        <v>46</v>
      </c>
      <c r="C2695" t="s">
        <v>18</v>
      </c>
      <c r="D2695" t="s">
        <v>21</v>
      </c>
      <c r="E2695">
        <v>24</v>
      </c>
      <c r="F2695" t="s">
        <v>31</v>
      </c>
      <c r="G2695" t="s">
        <v>34</v>
      </c>
      <c r="H2695" s="1">
        <v>177.83</v>
      </c>
      <c r="I2695" t="s">
        <v>24</v>
      </c>
      <c r="J2695">
        <v>1</v>
      </c>
      <c r="K2695">
        <v>2</v>
      </c>
    </row>
    <row r="2696" spans="1:11" x14ac:dyDescent="0.35">
      <c r="A2696" t="s">
        <v>2733</v>
      </c>
      <c r="B2696">
        <v>59</v>
      </c>
      <c r="C2696" t="s">
        <v>18</v>
      </c>
      <c r="D2696" t="s">
        <v>47</v>
      </c>
      <c r="E2696">
        <v>7</v>
      </c>
      <c r="F2696" t="s">
        <v>31</v>
      </c>
      <c r="G2696" t="s">
        <v>34</v>
      </c>
      <c r="H2696" s="1">
        <v>211.67</v>
      </c>
      <c r="I2696" t="s">
        <v>24</v>
      </c>
      <c r="J2696">
        <v>0</v>
      </c>
      <c r="K2696">
        <v>9</v>
      </c>
    </row>
    <row r="2697" spans="1:11" x14ac:dyDescent="0.35">
      <c r="A2697" t="s">
        <v>2734</v>
      </c>
      <c r="B2697">
        <v>73</v>
      </c>
      <c r="C2697" t="s">
        <v>18</v>
      </c>
      <c r="D2697" t="s">
        <v>13</v>
      </c>
      <c r="E2697">
        <v>9</v>
      </c>
      <c r="F2697" t="s">
        <v>26</v>
      </c>
      <c r="G2697" t="s">
        <v>34</v>
      </c>
      <c r="H2697" s="1">
        <v>210.16</v>
      </c>
      <c r="I2697" t="s">
        <v>24</v>
      </c>
      <c r="J2697">
        <v>3</v>
      </c>
      <c r="K2697">
        <v>6</v>
      </c>
    </row>
    <row r="2698" spans="1:11" x14ac:dyDescent="0.35">
      <c r="A2698" t="s">
        <v>2735</v>
      </c>
      <c r="B2698">
        <v>30</v>
      </c>
      <c r="C2698" t="s">
        <v>12</v>
      </c>
      <c r="D2698" t="s">
        <v>19</v>
      </c>
      <c r="E2698">
        <v>11</v>
      </c>
      <c r="F2698" t="s">
        <v>33</v>
      </c>
      <c r="G2698" t="s">
        <v>37</v>
      </c>
      <c r="H2698" s="1">
        <v>125.09</v>
      </c>
      <c r="I2698" t="s">
        <v>43</v>
      </c>
      <c r="J2698">
        <v>0</v>
      </c>
      <c r="K2698">
        <v>4</v>
      </c>
    </row>
    <row r="2699" spans="1:11" x14ac:dyDescent="0.35">
      <c r="A2699" t="s">
        <v>2736</v>
      </c>
      <c r="B2699">
        <v>49</v>
      </c>
      <c r="C2699" t="s">
        <v>18</v>
      </c>
      <c r="D2699" t="s">
        <v>19</v>
      </c>
      <c r="E2699">
        <v>21</v>
      </c>
      <c r="F2699" t="s">
        <v>22</v>
      </c>
      <c r="G2699" t="s">
        <v>37</v>
      </c>
      <c r="H2699" s="1">
        <v>198.81</v>
      </c>
      <c r="I2699" t="s">
        <v>24</v>
      </c>
      <c r="J2699">
        <v>2</v>
      </c>
      <c r="K2699">
        <v>2</v>
      </c>
    </row>
    <row r="2700" spans="1:11" x14ac:dyDescent="0.35">
      <c r="A2700" t="s">
        <v>2737</v>
      </c>
      <c r="B2700">
        <v>78</v>
      </c>
      <c r="C2700" t="s">
        <v>18</v>
      </c>
      <c r="D2700" t="s">
        <v>21</v>
      </c>
      <c r="E2700">
        <v>43</v>
      </c>
      <c r="F2700" t="s">
        <v>33</v>
      </c>
      <c r="G2700" t="s">
        <v>34</v>
      </c>
      <c r="H2700" s="1">
        <v>210.03</v>
      </c>
      <c r="I2700" t="s">
        <v>24</v>
      </c>
      <c r="J2700">
        <v>1</v>
      </c>
      <c r="K2700">
        <v>3</v>
      </c>
    </row>
    <row r="2701" spans="1:11" x14ac:dyDescent="0.35">
      <c r="A2701" t="s">
        <v>2738</v>
      </c>
      <c r="B2701">
        <v>18</v>
      </c>
      <c r="C2701" t="s">
        <v>18</v>
      </c>
      <c r="D2701" t="s">
        <v>21</v>
      </c>
      <c r="E2701">
        <v>38</v>
      </c>
      <c r="F2701" t="s">
        <v>33</v>
      </c>
      <c r="G2701" t="s">
        <v>23</v>
      </c>
      <c r="H2701" s="1">
        <v>547.54999999999995</v>
      </c>
      <c r="I2701" t="s">
        <v>24</v>
      </c>
      <c r="J2701">
        <v>4</v>
      </c>
      <c r="K2701">
        <v>2</v>
      </c>
    </row>
    <row r="2702" spans="1:11" x14ac:dyDescent="0.35">
      <c r="A2702" t="s">
        <v>2739</v>
      </c>
      <c r="B2702">
        <v>49</v>
      </c>
      <c r="C2702" t="s">
        <v>18</v>
      </c>
      <c r="D2702" t="s">
        <v>21</v>
      </c>
      <c r="E2702">
        <v>20</v>
      </c>
      <c r="F2702" t="s">
        <v>22</v>
      </c>
      <c r="G2702" t="s">
        <v>34</v>
      </c>
      <c r="H2702" s="1">
        <v>119.78</v>
      </c>
      <c r="I2702" t="s">
        <v>24</v>
      </c>
      <c r="J2702">
        <v>2</v>
      </c>
      <c r="K2702">
        <v>1</v>
      </c>
    </row>
    <row r="2703" spans="1:11" x14ac:dyDescent="0.35">
      <c r="A2703" t="s">
        <v>2740</v>
      </c>
      <c r="B2703">
        <v>19</v>
      </c>
      <c r="C2703" t="s">
        <v>12</v>
      </c>
      <c r="D2703" t="s">
        <v>13</v>
      </c>
      <c r="E2703">
        <v>21</v>
      </c>
      <c r="F2703" t="s">
        <v>26</v>
      </c>
      <c r="G2703" t="s">
        <v>34</v>
      </c>
      <c r="H2703" s="1">
        <v>148.77000000000001</v>
      </c>
      <c r="I2703" t="s">
        <v>24</v>
      </c>
      <c r="J2703">
        <v>1</v>
      </c>
      <c r="K2703">
        <v>3</v>
      </c>
    </row>
    <row r="2704" spans="1:11" x14ac:dyDescent="0.35">
      <c r="A2704" t="s">
        <v>2741</v>
      </c>
      <c r="B2704">
        <v>18</v>
      </c>
      <c r="C2704" t="s">
        <v>12</v>
      </c>
      <c r="D2704" t="s">
        <v>19</v>
      </c>
      <c r="E2704">
        <v>10</v>
      </c>
      <c r="F2704" t="s">
        <v>22</v>
      </c>
      <c r="G2704" t="s">
        <v>34</v>
      </c>
      <c r="H2704" s="1">
        <v>157.38999999999999</v>
      </c>
      <c r="I2704" t="s">
        <v>24</v>
      </c>
      <c r="J2704">
        <v>1</v>
      </c>
      <c r="K2704">
        <v>4</v>
      </c>
    </row>
    <row r="2705" spans="1:11" x14ac:dyDescent="0.35">
      <c r="A2705" t="s">
        <v>2742</v>
      </c>
      <c r="B2705">
        <v>27</v>
      </c>
      <c r="C2705" t="s">
        <v>12</v>
      </c>
      <c r="D2705" t="s">
        <v>19</v>
      </c>
      <c r="E2705">
        <v>10</v>
      </c>
      <c r="F2705" t="s">
        <v>31</v>
      </c>
      <c r="G2705" t="s">
        <v>37</v>
      </c>
      <c r="H2705" s="1">
        <v>182.8</v>
      </c>
      <c r="I2705" t="s">
        <v>28</v>
      </c>
      <c r="J2705">
        <v>1</v>
      </c>
      <c r="K2705">
        <v>8</v>
      </c>
    </row>
    <row r="2706" spans="1:11" x14ac:dyDescent="0.35">
      <c r="A2706" t="s">
        <v>2743</v>
      </c>
      <c r="B2706">
        <v>63</v>
      </c>
      <c r="C2706" t="s">
        <v>18</v>
      </c>
      <c r="D2706" t="s">
        <v>19</v>
      </c>
      <c r="E2706">
        <v>10</v>
      </c>
      <c r="F2706" t="s">
        <v>14</v>
      </c>
      <c r="G2706" t="s">
        <v>37</v>
      </c>
      <c r="H2706" s="1">
        <v>0</v>
      </c>
      <c r="I2706" t="s">
        <v>16</v>
      </c>
      <c r="J2706">
        <v>2</v>
      </c>
      <c r="K2706">
        <v>7</v>
      </c>
    </row>
    <row r="2707" spans="1:11" x14ac:dyDescent="0.35">
      <c r="A2707" t="s">
        <v>2744</v>
      </c>
      <c r="B2707">
        <v>43</v>
      </c>
      <c r="C2707" t="s">
        <v>12</v>
      </c>
      <c r="D2707" t="s">
        <v>30</v>
      </c>
      <c r="E2707">
        <v>12</v>
      </c>
      <c r="F2707" t="s">
        <v>26</v>
      </c>
      <c r="G2707" t="s">
        <v>27</v>
      </c>
      <c r="H2707" s="1">
        <v>126.2</v>
      </c>
      <c r="I2707" t="s">
        <v>24</v>
      </c>
      <c r="J2707">
        <v>0</v>
      </c>
      <c r="K2707">
        <v>4</v>
      </c>
    </row>
    <row r="2708" spans="1:11" x14ac:dyDescent="0.35">
      <c r="A2708" t="s">
        <v>2745</v>
      </c>
      <c r="B2708">
        <v>45</v>
      </c>
      <c r="C2708" t="s">
        <v>18</v>
      </c>
      <c r="D2708" t="s">
        <v>21</v>
      </c>
      <c r="E2708">
        <v>13</v>
      </c>
      <c r="F2708" t="s">
        <v>33</v>
      </c>
      <c r="G2708" t="s">
        <v>34</v>
      </c>
      <c r="H2708" s="1">
        <v>150.03</v>
      </c>
      <c r="I2708" t="s">
        <v>24</v>
      </c>
      <c r="J2708">
        <v>1</v>
      </c>
      <c r="K2708">
        <v>7</v>
      </c>
    </row>
    <row r="2709" spans="1:11" x14ac:dyDescent="0.35">
      <c r="A2709" t="s">
        <v>2746</v>
      </c>
      <c r="B2709">
        <v>33</v>
      </c>
      <c r="C2709" t="s">
        <v>18</v>
      </c>
      <c r="D2709" t="s">
        <v>13</v>
      </c>
      <c r="E2709">
        <v>9</v>
      </c>
      <c r="F2709" t="s">
        <v>14</v>
      </c>
      <c r="G2709" t="s">
        <v>37</v>
      </c>
      <c r="H2709" s="1">
        <v>0</v>
      </c>
      <c r="I2709" t="s">
        <v>16</v>
      </c>
      <c r="J2709">
        <v>1</v>
      </c>
      <c r="K2709">
        <v>5</v>
      </c>
    </row>
    <row r="2710" spans="1:11" x14ac:dyDescent="0.35">
      <c r="A2710" t="s">
        <v>2747</v>
      </c>
      <c r="B2710">
        <v>34</v>
      </c>
      <c r="C2710" t="s">
        <v>18</v>
      </c>
      <c r="D2710" t="s">
        <v>13</v>
      </c>
      <c r="E2710">
        <v>21</v>
      </c>
      <c r="F2710" t="s">
        <v>22</v>
      </c>
      <c r="G2710" t="s">
        <v>23</v>
      </c>
      <c r="H2710" s="1">
        <v>433.06</v>
      </c>
      <c r="I2710" t="s">
        <v>24</v>
      </c>
      <c r="J2710">
        <v>3</v>
      </c>
      <c r="K2710">
        <v>4</v>
      </c>
    </row>
    <row r="2711" spans="1:11" x14ac:dyDescent="0.35">
      <c r="A2711" t="s">
        <v>2748</v>
      </c>
      <c r="B2711">
        <v>51</v>
      </c>
      <c r="C2711" t="s">
        <v>18</v>
      </c>
      <c r="D2711" t="s">
        <v>200</v>
      </c>
      <c r="E2711">
        <v>11</v>
      </c>
      <c r="F2711" t="s">
        <v>26</v>
      </c>
      <c r="G2711" t="s">
        <v>27</v>
      </c>
      <c r="H2711" s="1">
        <v>150.04</v>
      </c>
      <c r="I2711" t="s">
        <v>24</v>
      </c>
      <c r="J2711">
        <v>0</v>
      </c>
      <c r="K2711">
        <v>5</v>
      </c>
    </row>
    <row r="2712" spans="1:11" x14ac:dyDescent="0.35">
      <c r="A2712" t="s">
        <v>2749</v>
      </c>
      <c r="B2712">
        <v>39</v>
      </c>
      <c r="C2712" t="s">
        <v>18</v>
      </c>
      <c r="D2712" t="s">
        <v>13</v>
      </c>
      <c r="E2712">
        <v>9</v>
      </c>
      <c r="F2712" t="s">
        <v>33</v>
      </c>
      <c r="G2712" t="s">
        <v>23</v>
      </c>
      <c r="H2712" s="1">
        <v>178.99</v>
      </c>
      <c r="I2712" t="s">
        <v>28</v>
      </c>
      <c r="J2712">
        <v>1</v>
      </c>
      <c r="K2712">
        <v>4</v>
      </c>
    </row>
    <row r="2713" spans="1:11" x14ac:dyDescent="0.35">
      <c r="A2713" t="s">
        <v>2750</v>
      </c>
      <c r="B2713">
        <v>74</v>
      </c>
      <c r="C2713" t="s">
        <v>12</v>
      </c>
      <c r="D2713" t="s">
        <v>19</v>
      </c>
      <c r="E2713">
        <v>15</v>
      </c>
      <c r="F2713" t="s">
        <v>33</v>
      </c>
      <c r="G2713" t="s">
        <v>37</v>
      </c>
      <c r="H2713" s="1">
        <v>161.47999999999999</v>
      </c>
      <c r="I2713" t="s">
        <v>24</v>
      </c>
      <c r="J2713">
        <v>0</v>
      </c>
      <c r="K2713">
        <v>7</v>
      </c>
    </row>
    <row r="2714" spans="1:11" x14ac:dyDescent="0.35">
      <c r="A2714" t="s">
        <v>2751</v>
      </c>
      <c r="B2714">
        <v>82</v>
      </c>
      <c r="C2714" t="s">
        <v>18</v>
      </c>
      <c r="D2714" t="s">
        <v>21</v>
      </c>
      <c r="E2714">
        <v>16</v>
      </c>
      <c r="F2714" t="s">
        <v>22</v>
      </c>
      <c r="G2714" t="s">
        <v>37</v>
      </c>
      <c r="H2714" s="1">
        <v>205.92</v>
      </c>
      <c r="I2714" t="s">
        <v>24</v>
      </c>
      <c r="J2714">
        <v>3</v>
      </c>
      <c r="K2714">
        <v>7</v>
      </c>
    </row>
    <row r="2715" spans="1:11" x14ac:dyDescent="0.35">
      <c r="A2715" t="s">
        <v>2752</v>
      </c>
      <c r="B2715">
        <v>33</v>
      </c>
      <c r="C2715" t="s">
        <v>18</v>
      </c>
      <c r="D2715" t="s">
        <v>30</v>
      </c>
      <c r="E2715">
        <v>8</v>
      </c>
      <c r="F2715" t="s">
        <v>26</v>
      </c>
      <c r="G2715" t="s">
        <v>23</v>
      </c>
      <c r="H2715" s="1">
        <v>343.56</v>
      </c>
      <c r="I2715" t="s">
        <v>24</v>
      </c>
      <c r="J2715">
        <v>0</v>
      </c>
      <c r="K2715">
        <v>10</v>
      </c>
    </row>
    <row r="2716" spans="1:11" x14ac:dyDescent="0.35">
      <c r="A2716" t="s">
        <v>2753</v>
      </c>
      <c r="B2716">
        <v>75</v>
      </c>
      <c r="C2716" t="s">
        <v>18</v>
      </c>
      <c r="D2716" t="s">
        <v>21</v>
      </c>
      <c r="E2716">
        <v>22</v>
      </c>
      <c r="F2716" t="s">
        <v>14</v>
      </c>
      <c r="G2716" t="s">
        <v>23</v>
      </c>
      <c r="H2716" s="1">
        <v>0</v>
      </c>
      <c r="I2716" t="s">
        <v>16</v>
      </c>
      <c r="J2716">
        <v>2</v>
      </c>
      <c r="K2716">
        <v>3</v>
      </c>
    </row>
    <row r="2717" spans="1:11" x14ac:dyDescent="0.35">
      <c r="A2717" t="s">
        <v>2754</v>
      </c>
      <c r="B2717">
        <v>85</v>
      </c>
      <c r="C2717" t="s">
        <v>18</v>
      </c>
      <c r="D2717" t="s">
        <v>19</v>
      </c>
      <c r="E2717">
        <v>15</v>
      </c>
      <c r="F2717" t="s">
        <v>33</v>
      </c>
      <c r="G2717" t="s">
        <v>27</v>
      </c>
      <c r="H2717" s="1">
        <v>154.61000000000001</v>
      </c>
      <c r="I2717" t="s">
        <v>24</v>
      </c>
      <c r="J2717">
        <v>3</v>
      </c>
      <c r="K2717">
        <v>7</v>
      </c>
    </row>
    <row r="2718" spans="1:11" x14ac:dyDescent="0.35">
      <c r="A2718" t="s">
        <v>2755</v>
      </c>
      <c r="B2718">
        <v>50</v>
      </c>
      <c r="C2718" t="s">
        <v>12</v>
      </c>
      <c r="D2718" t="s">
        <v>19</v>
      </c>
      <c r="E2718">
        <v>14</v>
      </c>
      <c r="F2718" t="s">
        <v>22</v>
      </c>
      <c r="G2718" t="s">
        <v>15</v>
      </c>
      <c r="H2718" s="1">
        <v>398.95</v>
      </c>
      <c r="I2718" t="s">
        <v>28</v>
      </c>
      <c r="J2718">
        <v>3</v>
      </c>
      <c r="K2718">
        <v>5</v>
      </c>
    </row>
    <row r="2719" spans="1:11" x14ac:dyDescent="0.35">
      <c r="A2719" t="s">
        <v>2756</v>
      </c>
      <c r="B2719">
        <v>50</v>
      </c>
      <c r="C2719" t="s">
        <v>18</v>
      </c>
      <c r="D2719" t="s">
        <v>19</v>
      </c>
      <c r="E2719">
        <v>16</v>
      </c>
      <c r="F2719" t="s">
        <v>14</v>
      </c>
      <c r="G2719" t="s">
        <v>27</v>
      </c>
      <c r="H2719" s="1">
        <v>0</v>
      </c>
      <c r="I2719" t="s">
        <v>16</v>
      </c>
      <c r="J2719">
        <v>3</v>
      </c>
      <c r="K2719">
        <v>6</v>
      </c>
    </row>
    <row r="2720" spans="1:11" x14ac:dyDescent="0.35">
      <c r="A2720" t="s">
        <v>2757</v>
      </c>
      <c r="B2720">
        <v>29</v>
      </c>
      <c r="C2720" t="s">
        <v>18</v>
      </c>
      <c r="D2720" t="s">
        <v>13</v>
      </c>
      <c r="E2720">
        <v>16</v>
      </c>
      <c r="F2720" t="s">
        <v>22</v>
      </c>
      <c r="G2720" t="s">
        <v>23</v>
      </c>
      <c r="H2720" s="1">
        <v>271.36</v>
      </c>
      <c r="I2720" t="s">
        <v>28</v>
      </c>
      <c r="J2720">
        <v>3</v>
      </c>
      <c r="K2720">
        <v>6</v>
      </c>
    </row>
    <row r="2721" spans="1:11" x14ac:dyDescent="0.35">
      <c r="A2721" t="s">
        <v>2758</v>
      </c>
      <c r="B2721">
        <v>30</v>
      </c>
      <c r="C2721" t="s">
        <v>18</v>
      </c>
      <c r="D2721" t="s">
        <v>21</v>
      </c>
      <c r="E2721">
        <v>35</v>
      </c>
      <c r="F2721" t="s">
        <v>31</v>
      </c>
      <c r="G2721" t="s">
        <v>23</v>
      </c>
      <c r="H2721" s="1">
        <v>354.12</v>
      </c>
      <c r="I2721" t="s">
        <v>24</v>
      </c>
      <c r="J2721">
        <v>2</v>
      </c>
      <c r="K2721">
        <v>2</v>
      </c>
    </row>
    <row r="2722" spans="1:11" x14ac:dyDescent="0.35">
      <c r="A2722" t="s">
        <v>2759</v>
      </c>
      <c r="B2722">
        <v>21</v>
      </c>
      <c r="C2722" t="s">
        <v>12</v>
      </c>
      <c r="D2722" t="s">
        <v>21</v>
      </c>
      <c r="E2722">
        <v>29</v>
      </c>
      <c r="F2722" t="s">
        <v>31</v>
      </c>
      <c r="G2722" t="s">
        <v>27</v>
      </c>
      <c r="H2722" s="1">
        <v>23.63</v>
      </c>
      <c r="I2722" t="s">
        <v>24</v>
      </c>
      <c r="J2722">
        <v>3</v>
      </c>
      <c r="K2722">
        <v>3</v>
      </c>
    </row>
    <row r="2723" spans="1:11" x14ac:dyDescent="0.35">
      <c r="A2723" t="s">
        <v>2760</v>
      </c>
      <c r="B2723">
        <v>44</v>
      </c>
      <c r="C2723" t="s">
        <v>18</v>
      </c>
      <c r="D2723" t="s">
        <v>19</v>
      </c>
      <c r="E2723">
        <v>18</v>
      </c>
      <c r="F2723" t="s">
        <v>33</v>
      </c>
      <c r="G2723" t="s">
        <v>23</v>
      </c>
      <c r="H2723" s="1">
        <v>369.7</v>
      </c>
      <c r="I2723" t="s">
        <v>24</v>
      </c>
      <c r="J2723">
        <v>2</v>
      </c>
      <c r="K2723">
        <v>5</v>
      </c>
    </row>
    <row r="2724" spans="1:11" x14ac:dyDescent="0.35">
      <c r="A2724" t="s">
        <v>2761</v>
      </c>
      <c r="B2724">
        <v>20</v>
      </c>
      <c r="C2724" t="s">
        <v>12</v>
      </c>
      <c r="D2724" t="s">
        <v>19</v>
      </c>
      <c r="E2724">
        <v>24</v>
      </c>
      <c r="F2724" t="s">
        <v>31</v>
      </c>
      <c r="G2724" t="s">
        <v>23</v>
      </c>
      <c r="H2724" s="1">
        <v>516.69000000000005</v>
      </c>
      <c r="I2724" t="s">
        <v>28</v>
      </c>
      <c r="J2724">
        <v>3</v>
      </c>
      <c r="K2724">
        <v>5</v>
      </c>
    </row>
    <row r="2725" spans="1:11" x14ac:dyDescent="0.35">
      <c r="A2725" t="s">
        <v>2762</v>
      </c>
      <c r="B2725">
        <v>51</v>
      </c>
      <c r="C2725" t="s">
        <v>18</v>
      </c>
      <c r="D2725" t="s">
        <v>21</v>
      </c>
      <c r="E2725">
        <v>43</v>
      </c>
      <c r="F2725" t="s">
        <v>33</v>
      </c>
      <c r="G2725" t="s">
        <v>15</v>
      </c>
      <c r="H2725" s="1">
        <v>135.24</v>
      </c>
      <c r="I2725" t="s">
        <v>28</v>
      </c>
      <c r="J2725">
        <v>2</v>
      </c>
      <c r="K2725">
        <v>2</v>
      </c>
    </row>
    <row r="2726" spans="1:11" x14ac:dyDescent="0.35">
      <c r="A2726" t="s">
        <v>2763</v>
      </c>
      <c r="B2726">
        <v>84</v>
      </c>
      <c r="C2726" t="s">
        <v>12</v>
      </c>
      <c r="D2726" t="s">
        <v>19</v>
      </c>
      <c r="E2726">
        <v>19</v>
      </c>
      <c r="F2726" t="s">
        <v>31</v>
      </c>
      <c r="G2726" t="s">
        <v>23</v>
      </c>
      <c r="H2726" s="1">
        <v>210.27</v>
      </c>
      <c r="I2726" t="s">
        <v>24</v>
      </c>
      <c r="J2726">
        <v>1</v>
      </c>
      <c r="K2726">
        <v>1</v>
      </c>
    </row>
    <row r="2727" spans="1:11" x14ac:dyDescent="0.35">
      <c r="A2727" t="s">
        <v>2764</v>
      </c>
      <c r="B2727">
        <v>32</v>
      </c>
      <c r="C2727" t="s">
        <v>18</v>
      </c>
      <c r="D2727" t="s">
        <v>30</v>
      </c>
      <c r="E2727">
        <v>6</v>
      </c>
      <c r="F2727" t="s">
        <v>26</v>
      </c>
      <c r="G2727" t="s">
        <v>34</v>
      </c>
      <c r="H2727" s="1">
        <v>94.21</v>
      </c>
      <c r="I2727" t="s">
        <v>43</v>
      </c>
      <c r="J2727">
        <v>2</v>
      </c>
      <c r="K2727">
        <v>8</v>
      </c>
    </row>
    <row r="2728" spans="1:11" x14ac:dyDescent="0.35">
      <c r="A2728" t="s">
        <v>2765</v>
      </c>
      <c r="B2728">
        <v>65</v>
      </c>
      <c r="C2728" t="s">
        <v>12</v>
      </c>
      <c r="D2728" t="s">
        <v>19</v>
      </c>
      <c r="E2728">
        <v>24</v>
      </c>
      <c r="F2728" t="s">
        <v>33</v>
      </c>
      <c r="G2728" t="s">
        <v>27</v>
      </c>
      <c r="H2728" s="1">
        <v>24.89</v>
      </c>
      <c r="I2728" t="s">
        <v>24</v>
      </c>
      <c r="J2728">
        <v>3</v>
      </c>
      <c r="K2728">
        <v>5</v>
      </c>
    </row>
    <row r="2729" spans="1:11" x14ac:dyDescent="0.35">
      <c r="A2729" t="s">
        <v>2766</v>
      </c>
      <c r="B2729">
        <v>25</v>
      </c>
      <c r="C2729" t="s">
        <v>12</v>
      </c>
      <c r="D2729" t="s">
        <v>21</v>
      </c>
      <c r="E2729">
        <v>46</v>
      </c>
      <c r="F2729" t="s">
        <v>33</v>
      </c>
      <c r="G2729" t="s">
        <v>27</v>
      </c>
      <c r="H2729" s="1">
        <v>171.64</v>
      </c>
      <c r="I2729" t="s">
        <v>24</v>
      </c>
      <c r="J2729">
        <v>1</v>
      </c>
      <c r="K2729">
        <v>3</v>
      </c>
    </row>
    <row r="2730" spans="1:11" x14ac:dyDescent="0.35">
      <c r="A2730" t="s">
        <v>2767</v>
      </c>
      <c r="B2730">
        <v>22</v>
      </c>
      <c r="C2730" t="s">
        <v>18</v>
      </c>
      <c r="D2730" t="s">
        <v>19</v>
      </c>
      <c r="E2730">
        <v>18</v>
      </c>
      <c r="F2730" t="s">
        <v>31</v>
      </c>
      <c r="G2730" t="s">
        <v>37</v>
      </c>
      <c r="H2730" s="1">
        <v>218.46</v>
      </c>
      <c r="I2730" t="s">
        <v>24</v>
      </c>
      <c r="J2730">
        <v>3</v>
      </c>
      <c r="K2730">
        <v>4</v>
      </c>
    </row>
    <row r="2731" spans="1:11" x14ac:dyDescent="0.35">
      <c r="A2731" t="s">
        <v>2768</v>
      </c>
      <c r="B2731">
        <v>66</v>
      </c>
      <c r="C2731" t="s">
        <v>12</v>
      </c>
      <c r="D2731" t="s">
        <v>21</v>
      </c>
      <c r="E2731">
        <v>24</v>
      </c>
      <c r="F2731" t="s">
        <v>22</v>
      </c>
      <c r="G2731" t="s">
        <v>23</v>
      </c>
      <c r="H2731" s="1">
        <v>483.2</v>
      </c>
      <c r="I2731" t="s">
        <v>24</v>
      </c>
      <c r="J2731">
        <v>0</v>
      </c>
      <c r="K2731">
        <v>1</v>
      </c>
    </row>
    <row r="2732" spans="1:11" x14ac:dyDescent="0.35">
      <c r="A2732" t="s">
        <v>2769</v>
      </c>
      <c r="B2732">
        <v>23</v>
      </c>
      <c r="C2732" t="s">
        <v>18</v>
      </c>
      <c r="D2732" t="s">
        <v>30</v>
      </c>
      <c r="E2732">
        <v>3</v>
      </c>
      <c r="F2732" t="s">
        <v>33</v>
      </c>
      <c r="G2732" t="s">
        <v>34</v>
      </c>
      <c r="H2732" s="1">
        <v>154.57</v>
      </c>
      <c r="I2732" t="s">
        <v>24</v>
      </c>
      <c r="J2732">
        <v>0</v>
      </c>
      <c r="K2732">
        <v>7</v>
      </c>
    </row>
    <row r="2733" spans="1:11" x14ac:dyDescent="0.35">
      <c r="A2733" t="s">
        <v>2770</v>
      </c>
      <c r="B2733">
        <v>35</v>
      </c>
      <c r="C2733" t="s">
        <v>18</v>
      </c>
      <c r="D2733" t="s">
        <v>19</v>
      </c>
      <c r="E2733">
        <v>15</v>
      </c>
      <c r="F2733" t="s">
        <v>26</v>
      </c>
      <c r="G2733" t="s">
        <v>15</v>
      </c>
      <c r="H2733" s="1">
        <v>229.55</v>
      </c>
      <c r="I2733" t="s">
        <v>24</v>
      </c>
      <c r="J2733">
        <v>2</v>
      </c>
      <c r="K2733">
        <v>5</v>
      </c>
    </row>
    <row r="2734" spans="1:11" x14ac:dyDescent="0.35">
      <c r="A2734" t="s">
        <v>2771</v>
      </c>
      <c r="B2734">
        <v>62</v>
      </c>
      <c r="C2734" t="s">
        <v>12</v>
      </c>
      <c r="D2734" t="s">
        <v>13</v>
      </c>
      <c r="E2734">
        <v>8</v>
      </c>
      <c r="F2734" t="s">
        <v>33</v>
      </c>
      <c r="G2734" t="s">
        <v>34</v>
      </c>
      <c r="H2734" s="1">
        <v>218.31</v>
      </c>
      <c r="I2734" t="s">
        <v>24</v>
      </c>
      <c r="J2734">
        <v>0</v>
      </c>
      <c r="K2734">
        <v>10</v>
      </c>
    </row>
    <row r="2735" spans="1:11" x14ac:dyDescent="0.35">
      <c r="A2735" t="s">
        <v>2772</v>
      </c>
      <c r="B2735">
        <v>64</v>
      </c>
      <c r="C2735" t="s">
        <v>18</v>
      </c>
      <c r="D2735" t="s">
        <v>30</v>
      </c>
      <c r="E2735">
        <v>8</v>
      </c>
      <c r="F2735" t="s">
        <v>33</v>
      </c>
      <c r="G2735" t="s">
        <v>34</v>
      </c>
      <c r="H2735" s="1">
        <v>91.53</v>
      </c>
      <c r="I2735" t="s">
        <v>24</v>
      </c>
      <c r="J2735">
        <v>0</v>
      </c>
      <c r="K2735">
        <v>10</v>
      </c>
    </row>
    <row r="2736" spans="1:11" x14ac:dyDescent="0.35">
      <c r="A2736" t="s">
        <v>2773</v>
      </c>
      <c r="B2736">
        <v>67</v>
      </c>
      <c r="C2736" t="s">
        <v>12</v>
      </c>
      <c r="D2736" t="s">
        <v>21</v>
      </c>
      <c r="E2736">
        <v>17</v>
      </c>
      <c r="F2736" t="s">
        <v>33</v>
      </c>
      <c r="G2736" t="s">
        <v>27</v>
      </c>
      <c r="H2736" s="1">
        <v>108.09</v>
      </c>
      <c r="I2736" t="s">
        <v>24</v>
      </c>
      <c r="J2736">
        <v>1</v>
      </c>
      <c r="K2736">
        <v>5</v>
      </c>
    </row>
    <row r="2737" spans="1:11" x14ac:dyDescent="0.35">
      <c r="A2737" t="s">
        <v>2774</v>
      </c>
      <c r="B2737">
        <v>64</v>
      </c>
      <c r="C2737" t="s">
        <v>18</v>
      </c>
      <c r="D2737" t="s">
        <v>21</v>
      </c>
      <c r="E2737">
        <v>48</v>
      </c>
      <c r="F2737" t="s">
        <v>31</v>
      </c>
      <c r="G2737" t="s">
        <v>23</v>
      </c>
      <c r="H2737" s="1">
        <v>468.85</v>
      </c>
      <c r="I2737" t="s">
        <v>24</v>
      </c>
      <c r="J2737">
        <v>1</v>
      </c>
      <c r="K2737">
        <v>3</v>
      </c>
    </row>
    <row r="2738" spans="1:11" x14ac:dyDescent="0.35">
      <c r="A2738" t="s">
        <v>2775</v>
      </c>
      <c r="B2738">
        <v>28</v>
      </c>
      <c r="C2738" t="s">
        <v>18</v>
      </c>
      <c r="D2738" t="s">
        <v>19</v>
      </c>
      <c r="E2738">
        <v>6</v>
      </c>
      <c r="F2738" t="s">
        <v>33</v>
      </c>
      <c r="G2738" t="s">
        <v>15</v>
      </c>
      <c r="H2738" s="1">
        <v>173.72</v>
      </c>
      <c r="I2738" t="s">
        <v>28</v>
      </c>
      <c r="J2738">
        <v>1</v>
      </c>
      <c r="K2738">
        <v>7</v>
      </c>
    </row>
    <row r="2739" spans="1:11" x14ac:dyDescent="0.35">
      <c r="A2739" t="s">
        <v>2776</v>
      </c>
      <c r="B2739">
        <v>51</v>
      </c>
      <c r="C2739" t="s">
        <v>18</v>
      </c>
      <c r="D2739" t="s">
        <v>244</v>
      </c>
      <c r="E2739">
        <v>20</v>
      </c>
      <c r="F2739" t="s">
        <v>22</v>
      </c>
      <c r="G2739" t="s">
        <v>23</v>
      </c>
      <c r="H2739" s="1">
        <v>326.38</v>
      </c>
      <c r="I2739" t="s">
        <v>28</v>
      </c>
      <c r="J2739">
        <v>1</v>
      </c>
      <c r="K2739">
        <v>2</v>
      </c>
    </row>
    <row r="2740" spans="1:11" x14ac:dyDescent="0.35">
      <c r="A2740" t="s">
        <v>2777</v>
      </c>
      <c r="B2740">
        <v>80</v>
      </c>
      <c r="C2740" t="s">
        <v>12</v>
      </c>
      <c r="D2740" t="s">
        <v>19</v>
      </c>
      <c r="E2740">
        <v>7</v>
      </c>
      <c r="F2740" t="s">
        <v>14</v>
      </c>
      <c r="G2740" t="s">
        <v>34</v>
      </c>
      <c r="H2740" s="1">
        <v>0</v>
      </c>
      <c r="I2740" t="s">
        <v>16</v>
      </c>
      <c r="J2740">
        <v>1</v>
      </c>
      <c r="K2740">
        <v>9</v>
      </c>
    </row>
    <row r="2741" spans="1:11" x14ac:dyDescent="0.35">
      <c r="A2741" t="s">
        <v>2778</v>
      </c>
      <c r="B2741">
        <v>48</v>
      </c>
      <c r="C2741" t="s">
        <v>12</v>
      </c>
      <c r="D2741" t="s">
        <v>19</v>
      </c>
      <c r="E2741">
        <v>22</v>
      </c>
      <c r="F2741" t="s">
        <v>26</v>
      </c>
      <c r="G2741" t="s">
        <v>23</v>
      </c>
      <c r="H2741" s="1">
        <v>326.24</v>
      </c>
      <c r="I2741" t="s">
        <v>24</v>
      </c>
      <c r="J2741">
        <v>2</v>
      </c>
      <c r="K2741">
        <v>4</v>
      </c>
    </row>
    <row r="2742" spans="1:11" x14ac:dyDescent="0.35">
      <c r="A2742" t="s">
        <v>2779</v>
      </c>
      <c r="B2742">
        <v>85</v>
      </c>
      <c r="C2742" t="s">
        <v>12</v>
      </c>
      <c r="D2742" t="s">
        <v>30</v>
      </c>
      <c r="E2742">
        <v>11</v>
      </c>
      <c r="F2742" t="s">
        <v>31</v>
      </c>
      <c r="G2742" t="s">
        <v>23</v>
      </c>
      <c r="H2742" s="1">
        <v>511.44</v>
      </c>
      <c r="I2742" t="s">
        <v>24</v>
      </c>
      <c r="J2742">
        <v>2</v>
      </c>
      <c r="K2742">
        <v>6</v>
      </c>
    </row>
    <row r="2743" spans="1:11" x14ac:dyDescent="0.35">
      <c r="A2743" t="s">
        <v>2780</v>
      </c>
      <c r="B2743">
        <v>40</v>
      </c>
      <c r="C2743" t="s">
        <v>18</v>
      </c>
      <c r="D2743" t="s">
        <v>30</v>
      </c>
      <c r="E2743">
        <v>7</v>
      </c>
      <c r="F2743" t="s">
        <v>22</v>
      </c>
      <c r="G2743" t="s">
        <v>15</v>
      </c>
      <c r="H2743" s="1">
        <v>238.76</v>
      </c>
      <c r="I2743" t="s">
        <v>28</v>
      </c>
      <c r="J2743">
        <v>0</v>
      </c>
      <c r="K2743">
        <v>8</v>
      </c>
    </row>
    <row r="2744" spans="1:11" x14ac:dyDescent="0.35">
      <c r="A2744" t="s">
        <v>2781</v>
      </c>
      <c r="B2744">
        <v>35</v>
      </c>
      <c r="C2744" t="s">
        <v>18</v>
      </c>
      <c r="D2744" t="s">
        <v>21</v>
      </c>
      <c r="E2744">
        <v>29</v>
      </c>
      <c r="F2744" t="s">
        <v>33</v>
      </c>
      <c r="G2744" t="s">
        <v>23</v>
      </c>
      <c r="H2744" s="1">
        <v>575.78</v>
      </c>
      <c r="I2744" t="s">
        <v>24</v>
      </c>
      <c r="J2744">
        <v>3</v>
      </c>
      <c r="K2744">
        <v>5</v>
      </c>
    </row>
    <row r="2745" spans="1:11" x14ac:dyDescent="0.35">
      <c r="A2745" t="s">
        <v>2782</v>
      </c>
      <c r="B2745">
        <v>18</v>
      </c>
      <c r="C2745" t="s">
        <v>12</v>
      </c>
      <c r="D2745" t="s">
        <v>19</v>
      </c>
      <c r="E2745">
        <v>16</v>
      </c>
      <c r="F2745" t="s">
        <v>22</v>
      </c>
      <c r="G2745" t="s">
        <v>37</v>
      </c>
      <c r="H2745" s="1">
        <v>112.51</v>
      </c>
      <c r="I2745" t="s">
        <v>28</v>
      </c>
      <c r="J2745">
        <v>1</v>
      </c>
      <c r="K2745">
        <v>4</v>
      </c>
    </row>
    <row r="2746" spans="1:11" x14ac:dyDescent="0.35">
      <c r="A2746" t="s">
        <v>2783</v>
      </c>
      <c r="B2746">
        <v>29</v>
      </c>
      <c r="C2746" t="s">
        <v>18</v>
      </c>
      <c r="D2746" t="s">
        <v>13</v>
      </c>
      <c r="E2746">
        <v>11</v>
      </c>
      <c r="F2746" t="s">
        <v>33</v>
      </c>
      <c r="G2746" t="s">
        <v>37</v>
      </c>
      <c r="H2746" s="1">
        <v>120.39</v>
      </c>
      <c r="I2746" t="s">
        <v>24</v>
      </c>
      <c r="J2746">
        <v>0</v>
      </c>
      <c r="K2746">
        <v>4</v>
      </c>
    </row>
    <row r="2747" spans="1:11" x14ac:dyDescent="0.35">
      <c r="A2747" t="s">
        <v>2784</v>
      </c>
      <c r="B2747">
        <v>77</v>
      </c>
      <c r="C2747" t="s">
        <v>12</v>
      </c>
      <c r="D2747" t="s">
        <v>19</v>
      </c>
      <c r="E2747">
        <v>23</v>
      </c>
      <c r="F2747" t="s">
        <v>22</v>
      </c>
      <c r="G2747" t="s">
        <v>15</v>
      </c>
      <c r="H2747" s="1">
        <v>434.13</v>
      </c>
      <c r="I2747" t="s">
        <v>24</v>
      </c>
      <c r="J2747">
        <v>1</v>
      </c>
      <c r="K2747">
        <v>3</v>
      </c>
    </row>
    <row r="2748" spans="1:11" x14ac:dyDescent="0.35">
      <c r="A2748" t="s">
        <v>2785</v>
      </c>
      <c r="B2748">
        <v>70</v>
      </c>
      <c r="C2748" t="s">
        <v>18</v>
      </c>
      <c r="D2748" t="s">
        <v>19</v>
      </c>
      <c r="E2748">
        <v>13</v>
      </c>
      <c r="F2748" t="s">
        <v>26</v>
      </c>
      <c r="G2748" t="s">
        <v>37</v>
      </c>
      <c r="H2748" s="1">
        <v>197.54</v>
      </c>
      <c r="I2748" t="s">
        <v>24</v>
      </c>
      <c r="J2748">
        <v>1</v>
      </c>
      <c r="K2748">
        <v>5</v>
      </c>
    </row>
    <row r="2749" spans="1:11" x14ac:dyDescent="0.35">
      <c r="A2749" t="s">
        <v>2786</v>
      </c>
      <c r="B2749">
        <v>79</v>
      </c>
      <c r="C2749" t="s">
        <v>18</v>
      </c>
      <c r="D2749" t="s">
        <v>19</v>
      </c>
      <c r="E2749">
        <v>23</v>
      </c>
      <c r="F2749" t="s">
        <v>14</v>
      </c>
      <c r="G2749" t="s">
        <v>23</v>
      </c>
      <c r="H2749" s="1">
        <v>0</v>
      </c>
      <c r="I2749" t="s">
        <v>16</v>
      </c>
      <c r="J2749">
        <v>0</v>
      </c>
      <c r="K2749">
        <v>5</v>
      </c>
    </row>
    <row r="2750" spans="1:11" x14ac:dyDescent="0.35">
      <c r="A2750" t="s">
        <v>2787</v>
      </c>
      <c r="B2750">
        <v>69</v>
      </c>
      <c r="C2750" t="s">
        <v>18</v>
      </c>
      <c r="D2750" t="s">
        <v>19</v>
      </c>
      <c r="E2750">
        <v>6</v>
      </c>
      <c r="F2750" t="s">
        <v>26</v>
      </c>
      <c r="G2750" t="s">
        <v>15</v>
      </c>
      <c r="H2750" s="1">
        <v>446.56</v>
      </c>
      <c r="I2750" t="s">
        <v>24</v>
      </c>
      <c r="J2750">
        <v>2</v>
      </c>
      <c r="K2750">
        <v>9</v>
      </c>
    </row>
    <row r="2751" spans="1:11" x14ac:dyDescent="0.35">
      <c r="A2751" t="s">
        <v>2788</v>
      </c>
      <c r="B2751">
        <v>71</v>
      </c>
      <c r="C2751" t="s">
        <v>12</v>
      </c>
      <c r="D2751" t="s">
        <v>19</v>
      </c>
      <c r="E2751">
        <v>9</v>
      </c>
      <c r="F2751" t="s">
        <v>31</v>
      </c>
      <c r="G2751" t="s">
        <v>37</v>
      </c>
      <c r="H2751" s="1">
        <v>109.44</v>
      </c>
      <c r="I2751" t="s">
        <v>43</v>
      </c>
      <c r="J2751">
        <v>1</v>
      </c>
      <c r="K2751">
        <v>5</v>
      </c>
    </row>
    <row r="2752" spans="1:11" x14ac:dyDescent="0.35">
      <c r="A2752" t="s">
        <v>2789</v>
      </c>
      <c r="B2752">
        <v>75</v>
      </c>
      <c r="C2752" t="s">
        <v>12</v>
      </c>
      <c r="D2752" t="s">
        <v>19</v>
      </c>
      <c r="E2752">
        <v>11</v>
      </c>
      <c r="F2752" t="s">
        <v>22</v>
      </c>
      <c r="G2752" t="s">
        <v>34</v>
      </c>
      <c r="H2752" s="1">
        <v>163.78</v>
      </c>
      <c r="I2752" t="s">
        <v>24</v>
      </c>
      <c r="J2752">
        <v>0</v>
      </c>
      <c r="K2752">
        <v>5</v>
      </c>
    </row>
    <row r="2753" spans="1:11" x14ac:dyDescent="0.35">
      <c r="A2753" t="s">
        <v>2790</v>
      </c>
      <c r="B2753">
        <v>38</v>
      </c>
      <c r="C2753" t="s">
        <v>189</v>
      </c>
      <c r="D2753" t="s">
        <v>30</v>
      </c>
      <c r="E2753">
        <v>9</v>
      </c>
      <c r="F2753" t="s">
        <v>26</v>
      </c>
      <c r="G2753" t="s">
        <v>27</v>
      </c>
      <c r="H2753" s="1">
        <v>173.6</v>
      </c>
      <c r="I2753" t="s">
        <v>24</v>
      </c>
      <c r="J2753">
        <v>0</v>
      </c>
      <c r="K2753">
        <v>8</v>
      </c>
    </row>
    <row r="2754" spans="1:11" x14ac:dyDescent="0.35">
      <c r="A2754" t="s">
        <v>2791</v>
      </c>
      <c r="B2754">
        <v>51</v>
      </c>
      <c r="C2754" t="s">
        <v>18</v>
      </c>
      <c r="D2754" t="s">
        <v>19</v>
      </c>
      <c r="E2754">
        <v>10</v>
      </c>
      <c r="F2754" t="s">
        <v>33</v>
      </c>
      <c r="G2754" t="s">
        <v>27</v>
      </c>
      <c r="H2754" s="1">
        <v>135.74</v>
      </c>
      <c r="I2754" t="s">
        <v>28</v>
      </c>
      <c r="J2754">
        <v>0</v>
      </c>
      <c r="K2754">
        <v>8</v>
      </c>
    </row>
    <row r="2755" spans="1:11" x14ac:dyDescent="0.35">
      <c r="A2755" t="s">
        <v>2792</v>
      </c>
      <c r="B2755">
        <v>70</v>
      </c>
      <c r="C2755" t="s">
        <v>18</v>
      </c>
      <c r="D2755" t="s">
        <v>13</v>
      </c>
      <c r="E2755">
        <v>10</v>
      </c>
      <c r="F2755" t="s">
        <v>33</v>
      </c>
      <c r="G2755" t="s">
        <v>37</v>
      </c>
      <c r="H2755" s="1">
        <v>209.01</v>
      </c>
      <c r="I2755" t="s">
        <v>24</v>
      </c>
      <c r="J2755">
        <v>0</v>
      </c>
      <c r="K2755">
        <v>4</v>
      </c>
    </row>
    <row r="2756" spans="1:11" x14ac:dyDescent="0.35">
      <c r="A2756" t="s">
        <v>2793</v>
      </c>
      <c r="B2756">
        <v>80</v>
      </c>
      <c r="C2756" t="s">
        <v>12</v>
      </c>
      <c r="D2756" t="s">
        <v>19</v>
      </c>
      <c r="E2756">
        <v>11</v>
      </c>
      <c r="F2756" t="s">
        <v>22</v>
      </c>
      <c r="G2756" t="s">
        <v>27</v>
      </c>
      <c r="H2756" s="1">
        <v>144.69</v>
      </c>
      <c r="I2756" t="s">
        <v>24</v>
      </c>
      <c r="J2756">
        <v>0</v>
      </c>
      <c r="K2756">
        <v>4</v>
      </c>
    </row>
    <row r="2757" spans="1:11" x14ac:dyDescent="0.35">
      <c r="A2757" t="s">
        <v>2794</v>
      </c>
      <c r="B2757">
        <v>32</v>
      </c>
      <c r="C2757" t="s">
        <v>12</v>
      </c>
      <c r="D2757" t="s">
        <v>19</v>
      </c>
      <c r="E2757">
        <v>14</v>
      </c>
      <c r="F2757" t="s">
        <v>22</v>
      </c>
      <c r="G2757" t="s">
        <v>15</v>
      </c>
      <c r="H2757" s="1">
        <v>174.79</v>
      </c>
      <c r="I2757" t="s">
        <v>24</v>
      </c>
      <c r="J2757">
        <v>1</v>
      </c>
      <c r="K2757">
        <v>8</v>
      </c>
    </row>
    <row r="2758" spans="1:11" x14ac:dyDescent="0.35">
      <c r="A2758" t="s">
        <v>2795</v>
      </c>
      <c r="B2758">
        <v>20</v>
      </c>
      <c r="C2758" t="s">
        <v>12</v>
      </c>
      <c r="D2758" t="s">
        <v>19</v>
      </c>
      <c r="E2758">
        <v>7</v>
      </c>
      <c r="F2758" t="s">
        <v>33</v>
      </c>
      <c r="G2758" t="s">
        <v>37</v>
      </c>
      <c r="H2758" s="1">
        <v>190.27</v>
      </c>
      <c r="I2758" t="s">
        <v>24</v>
      </c>
      <c r="J2758">
        <v>0</v>
      </c>
      <c r="K2758">
        <v>7</v>
      </c>
    </row>
    <row r="2759" spans="1:11" x14ac:dyDescent="0.35">
      <c r="A2759" t="s">
        <v>2796</v>
      </c>
      <c r="B2759">
        <v>78</v>
      </c>
      <c r="C2759" t="s">
        <v>18</v>
      </c>
      <c r="D2759" t="s">
        <v>19</v>
      </c>
      <c r="E2759">
        <v>17</v>
      </c>
      <c r="F2759" t="s">
        <v>33</v>
      </c>
      <c r="G2759" t="s">
        <v>37</v>
      </c>
      <c r="H2759" s="1">
        <v>112.24</v>
      </c>
      <c r="I2759" t="s">
        <v>24</v>
      </c>
      <c r="J2759">
        <v>1</v>
      </c>
      <c r="K2759">
        <v>6</v>
      </c>
    </row>
    <row r="2760" spans="1:11" x14ac:dyDescent="0.35">
      <c r="A2760" t="s">
        <v>2797</v>
      </c>
      <c r="B2760">
        <v>20</v>
      </c>
      <c r="C2760" t="s">
        <v>12</v>
      </c>
      <c r="D2760" t="s">
        <v>21</v>
      </c>
      <c r="E2760">
        <v>36</v>
      </c>
      <c r="F2760" t="s">
        <v>22</v>
      </c>
      <c r="G2760" t="s">
        <v>15</v>
      </c>
      <c r="H2760" s="1">
        <v>397.89</v>
      </c>
      <c r="I2760" t="s">
        <v>24</v>
      </c>
      <c r="J2760">
        <v>2</v>
      </c>
      <c r="K2760">
        <v>1</v>
      </c>
    </row>
    <row r="2761" spans="1:11" x14ac:dyDescent="0.35">
      <c r="A2761" t="s">
        <v>2798</v>
      </c>
      <c r="B2761">
        <v>49</v>
      </c>
      <c r="C2761" t="s">
        <v>12</v>
      </c>
      <c r="D2761" t="s">
        <v>19</v>
      </c>
      <c r="E2761">
        <v>11</v>
      </c>
      <c r="F2761" t="s">
        <v>22</v>
      </c>
      <c r="G2761" t="s">
        <v>37</v>
      </c>
      <c r="H2761" s="1">
        <v>193.73</v>
      </c>
      <c r="I2761" t="s">
        <v>24</v>
      </c>
      <c r="J2761">
        <v>2</v>
      </c>
      <c r="K2761">
        <v>8</v>
      </c>
    </row>
    <row r="2762" spans="1:11" x14ac:dyDescent="0.35">
      <c r="A2762" t="s">
        <v>2799</v>
      </c>
      <c r="B2762">
        <v>49</v>
      </c>
      <c r="C2762" t="s">
        <v>18</v>
      </c>
      <c r="D2762" t="s">
        <v>30</v>
      </c>
      <c r="E2762">
        <v>10</v>
      </c>
      <c r="F2762" t="s">
        <v>33</v>
      </c>
      <c r="G2762" t="s">
        <v>23</v>
      </c>
      <c r="H2762" s="1">
        <v>576.07000000000005</v>
      </c>
      <c r="I2762" t="s">
        <v>24</v>
      </c>
      <c r="J2762">
        <v>0</v>
      </c>
      <c r="K2762">
        <v>8</v>
      </c>
    </row>
    <row r="2763" spans="1:11" x14ac:dyDescent="0.35">
      <c r="A2763" t="s">
        <v>2800</v>
      </c>
      <c r="B2763">
        <v>29</v>
      </c>
      <c r="C2763" t="s">
        <v>12</v>
      </c>
      <c r="D2763" t="s">
        <v>19</v>
      </c>
      <c r="E2763">
        <v>21</v>
      </c>
      <c r="F2763" t="s">
        <v>33</v>
      </c>
      <c r="G2763" t="s">
        <v>15</v>
      </c>
      <c r="H2763" s="1">
        <v>253.06</v>
      </c>
      <c r="I2763" t="s">
        <v>24</v>
      </c>
      <c r="J2763">
        <v>4</v>
      </c>
      <c r="K2763">
        <v>5</v>
      </c>
    </row>
    <row r="2764" spans="1:11" x14ac:dyDescent="0.35">
      <c r="A2764" t="s">
        <v>2801</v>
      </c>
      <c r="B2764">
        <v>73</v>
      </c>
      <c r="C2764" t="s">
        <v>12</v>
      </c>
      <c r="D2764" t="s">
        <v>21</v>
      </c>
      <c r="E2764">
        <v>46</v>
      </c>
      <c r="F2764" t="s">
        <v>33</v>
      </c>
      <c r="G2764" t="s">
        <v>23</v>
      </c>
      <c r="H2764" s="1">
        <v>595.44000000000005</v>
      </c>
      <c r="I2764" t="s">
        <v>24</v>
      </c>
      <c r="J2764">
        <v>2</v>
      </c>
      <c r="K2764">
        <v>3</v>
      </c>
    </row>
    <row r="2765" spans="1:11" x14ac:dyDescent="0.35">
      <c r="A2765" t="s">
        <v>2802</v>
      </c>
      <c r="B2765">
        <v>70</v>
      </c>
      <c r="C2765" t="s">
        <v>18</v>
      </c>
      <c r="D2765" t="s">
        <v>30</v>
      </c>
      <c r="E2765">
        <v>8</v>
      </c>
      <c r="F2765" t="s">
        <v>33</v>
      </c>
      <c r="G2765" t="s">
        <v>34</v>
      </c>
      <c r="H2765" s="1">
        <v>99.46</v>
      </c>
      <c r="I2765" t="s">
        <v>28</v>
      </c>
      <c r="J2765">
        <v>2</v>
      </c>
      <c r="K2765">
        <v>9</v>
      </c>
    </row>
    <row r="2766" spans="1:11" x14ac:dyDescent="0.35">
      <c r="A2766" t="s">
        <v>2803</v>
      </c>
      <c r="B2766">
        <v>26</v>
      </c>
      <c r="C2766" t="s">
        <v>18</v>
      </c>
      <c r="D2766" t="s">
        <v>30</v>
      </c>
      <c r="E2766">
        <v>13</v>
      </c>
      <c r="F2766" t="s">
        <v>31</v>
      </c>
      <c r="G2766" t="s">
        <v>15</v>
      </c>
      <c r="H2766" s="1">
        <v>98.81</v>
      </c>
      <c r="I2766" t="s">
        <v>24</v>
      </c>
      <c r="J2766">
        <v>0</v>
      </c>
      <c r="K2766">
        <v>8</v>
      </c>
    </row>
    <row r="2767" spans="1:11" x14ac:dyDescent="0.35">
      <c r="A2767" t="s">
        <v>2804</v>
      </c>
      <c r="B2767">
        <v>69</v>
      </c>
      <c r="C2767" t="s">
        <v>12</v>
      </c>
      <c r="D2767" t="s">
        <v>19</v>
      </c>
      <c r="E2767">
        <v>17</v>
      </c>
      <c r="F2767" t="s">
        <v>26</v>
      </c>
      <c r="G2767" t="s">
        <v>34</v>
      </c>
      <c r="H2767" s="1">
        <v>182.28</v>
      </c>
      <c r="I2767" t="s">
        <v>24</v>
      </c>
      <c r="J2767">
        <v>3</v>
      </c>
      <c r="K2767">
        <v>8</v>
      </c>
    </row>
    <row r="2768" spans="1:11" x14ac:dyDescent="0.35">
      <c r="A2768" t="s">
        <v>2805</v>
      </c>
      <c r="B2768">
        <v>70</v>
      </c>
      <c r="C2768" t="s">
        <v>18</v>
      </c>
      <c r="D2768" t="s">
        <v>19</v>
      </c>
      <c r="E2768">
        <v>9</v>
      </c>
      <c r="F2768" t="s">
        <v>33</v>
      </c>
      <c r="G2768" t="s">
        <v>27</v>
      </c>
      <c r="H2768" s="1">
        <v>132.16999999999999</v>
      </c>
      <c r="I2768" t="s">
        <v>24</v>
      </c>
      <c r="J2768">
        <v>1</v>
      </c>
      <c r="K2768">
        <v>6</v>
      </c>
    </row>
    <row r="2769" spans="1:11" x14ac:dyDescent="0.35">
      <c r="A2769" t="s">
        <v>2806</v>
      </c>
      <c r="B2769">
        <v>80</v>
      </c>
      <c r="C2769" t="s">
        <v>12</v>
      </c>
      <c r="D2769" t="s">
        <v>19</v>
      </c>
      <c r="E2769">
        <v>16</v>
      </c>
      <c r="F2769" t="s">
        <v>33</v>
      </c>
      <c r="G2769" t="s">
        <v>15</v>
      </c>
      <c r="H2769" s="1">
        <v>356.16</v>
      </c>
      <c r="I2769" t="s">
        <v>24</v>
      </c>
      <c r="J2769">
        <v>1</v>
      </c>
      <c r="K2769">
        <v>5</v>
      </c>
    </row>
    <row r="2770" spans="1:11" x14ac:dyDescent="0.35">
      <c r="A2770" t="s">
        <v>2807</v>
      </c>
      <c r="B2770">
        <v>62</v>
      </c>
      <c r="C2770" t="s">
        <v>12</v>
      </c>
      <c r="D2770" t="s">
        <v>19</v>
      </c>
      <c r="E2770">
        <v>11</v>
      </c>
      <c r="F2770" t="s">
        <v>33</v>
      </c>
      <c r="G2770" t="s">
        <v>15</v>
      </c>
      <c r="H2770" s="1">
        <v>185.7</v>
      </c>
      <c r="I2770" t="s">
        <v>24</v>
      </c>
      <c r="J2770">
        <v>0</v>
      </c>
      <c r="K2770">
        <v>6</v>
      </c>
    </row>
    <row r="2771" spans="1:11" x14ac:dyDescent="0.35">
      <c r="A2771" t="s">
        <v>2808</v>
      </c>
      <c r="B2771">
        <v>24</v>
      </c>
      <c r="C2771" t="s">
        <v>18</v>
      </c>
      <c r="D2771" t="s">
        <v>13</v>
      </c>
      <c r="E2771">
        <v>24</v>
      </c>
      <c r="F2771" t="s">
        <v>33</v>
      </c>
      <c r="G2771" t="s">
        <v>15</v>
      </c>
      <c r="H2771" s="1">
        <v>257.08</v>
      </c>
      <c r="I2771" t="s">
        <v>24</v>
      </c>
      <c r="J2771">
        <v>2</v>
      </c>
      <c r="K2771">
        <v>3</v>
      </c>
    </row>
    <row r="2772" spans="1:11" x14ac:dyDescent="0.35">
      <c r="A2772" t="s">
        <v>2809</v>
      </c>
      <c r="B2772">
        <v>33</v>
      </c>
      <c r="C2772" t="s">
        <v>18</v>
      </c>
      <c r="D2772" t="s">
        <v>19</v>
      </c>
      <c r="E2772">
        <v>6</v>
      </c>
      <c r="F2772" t="s">
        <v>22</v>
      </c>
      <c r="G2772" t="s">
        <v>23</v>
      </c>
      <c r="H2772" s="1">
        <v>313.77</v>
      </c>
      <c r="I2772" t="s">
        <v>24</v>
      </c>
      <c r="J2772">
        <v>2</v>
      </c>
      <c r="K2772">
        <v>9</v>
      </c>
    </row>
    <row r="2773" spans="1:11" x14ac:dyDescent="0.35">
      <c r="A2773" t="s">
        <v>2810</v>
      </c>
      <c r="B2773">
        <v>38</v>
      </c>
      <c r="C2773" t="s">
        <v>18</v>
      </c>
      <c r="D2773" t="s">
        <v>21</v>
      </c>
      <c r="E2773">
        <v>41</v>
      </c>
      <c r="F2773" t="s">
        <v>22</v>
      </c>
      <c r="G2773" t="s">
        <v>23</v>
      </c>
      <c r="H2773" s="1">
        <v>352.03</v>
      </c>
      <c r="I2773" t="s">
        <v>24</v>
      </c>
      <c r="J2773">
        <v>2</v>
      </c>
      <c r="K2773">
        <v>4</v>
      </c>
    </row>
    <row r="2774" spans="1:11" x14ac:dyDescent="0.35">
      <c r="A2774" t="s">
        <v>2811</v>
      </c>
      <c r="B2774">
        <v>84</v>
      </c>
      <c r="C2774" t="s">
        <v>18</v>
      </c>
      <c r="D2774" t="s">
        <v>19</v>
      </c>
      <c r="E2774">
        <v>17</v>
      </c>
      <c r="F2774" t="s">
        <v>31</v>
      </c>
      <c r="G2774" t="s">
        <v>34</v>
      </c>
      <c r="H2774" s="1">
        <v>208.16</v>
      </c>
      <c r="I2774" t="s">
        <v>24</v>
      </c>
      <c r="J2774">
        <v>2</v>
      </c>
      <c r="K2774">
        <v>7</v>
      </c>
    </row>
    <row r="2775" spans="1:11" x14ac:dyDescent="0.35">
      <c r="A2775" t="s">
        <v>2812</v>
      </c>
      <c r="B2775">
        <v>63</v>
      </c>
      <c r="C2775" t="s">
        <v>12</v>
      </c>
      <c r="D2775" t="s">
        <v>47</v>
      </c>
      <c r="E2775">
        <v>8</v>
      </c>
      <c r="F2775" t="s">
        <v>31</v>
      </c>
      <c r="G2775" t="s">
        <v>23</v>
      </c>
      <c r="H2775" s="1">
        <v>570.5</v>
      </c>
      <c r="I2775" t="s">
        <v>24</v>
      </c>
      <c r="J2775">
        <v>2</v>
      </c>
      <c r="K2775">
        <v>10</v>
      </c>
    </row>
    <row r="2776" spans="1:11" x14ac:dyDescent="0.35">
      <c r="A2776" t="s">
        <v>2813</v>
      </c>
      <c r="B2776">
        <v>41</v>
      </c>
      <c r="C2776" t="s">
        <v>18</v>
      </c>
      <c r="D2776" t="s">
        <v>19</v>
      </c>
      <c r="E2776">
        <v>22</v>
      </c>
      <c r="F2776" t="s">
        <v>14</v>
      </c>
      <c r="G2776" t="s">
        <v>15</v>
      </c>
      <c r="H2776" s="1">
        <v>0</v>
      </c>
      <c r="I2776" t="s">
        <v>16</v>
      </c>
      <c r="J2776">
        <v>3</v>
      </c>
      <c r="K2776">
        <v>2</v>
      </c>
    </row>
    <row r="2777" spans="1:11" x14ac:dyDescent="0.35">
      <c r="A2777" t="s">
        <v>2814</v>
      </c>
      <c r="B2777">
        <v>73</v>
      </c>
      <c r="C2777" t="s">
        <v>18</v>
      </c>
      <c r="D2777" t="s">
        <v>19</v>
      </c>
      <c r="E2777">
        <v>8</v>
      </c>
      <c r="F2777" t="s">
        <v>26</v>
      </c>
      <c r="G2777" t="s">
        <v>23</v>
      </c>
      <c r="H2777" s="1">
        <v>358.21</v>
      </c>
      <c r="I2777" t="s">
        <v>24</v>
      </c>
      <c r="J2777">
        <v>1</v>
      </c>
      <c r="K2777">
        <v>8</v>
      </c>
    </row>
    <row r="2778" spans="1:11" x14ac:dyDescent="0.35">
      <c r="A2778" t="s">
        <v>2815</v>
      </c>
      <c r="B2778">
        <v>66</v>
      </c>
      <c r="C2778" t="s">
        <v>12</v>
      </c>
      <c r="D2778" t="s">
        <v>21</v>
      </c>
      <c r="E2778">
        <v>19</v>
      </c>
      <c r="F2778" t="s">
        <v>31</v>
      </c>
      <c r="G2778" t="s">
        <v>27</v>
      </c>
      <c r="H2778" s="1">
        <v>147.97999999999999</v>
      </c>
      <c r="I2778" t="s">
        <v>24</v>
      </c>
      <c r="J2778">
        <v>0</v>
      </c>
      <c r="K2778">
        <v>4</v>
      </c>
    </row>
    <row r="2779" spans="1:11" x14ac:dyDescent="0.35">
      <c r="A2779" t="s">
        <v>2816</v>
      </c>
      <c r="B2779">
        <v>41</v>
      </c>
      <c r="C2779" t="s">
        <v>18</v>
      </c>
      <c r="D2779" t="s">
        <v>13</v>
      </c>
      <c r="E2779">
        <v>18</v>
      </c>
      <c r="F2779" t="s">
        <v>22</v>
      </c>
      <c r="G2779" t="s">
        <v>34</v>
      </c>
      <c r="H2779" s="1">
        <v>178.04</v>
      </c>
      <c r="I2779" t="s">
        <v>24</v>
      </c>
      <c r="J2779">
        <v>0</v>
      </c>
      <c r="K2779">
        <v>8</v>
      </c>
    </row>
    <row r="2780" spans="1:11" x14ac:dyDescent="0.35">
      <c r="A2780" t="s">
        <v>2817</v>
      </c>
      <c r="B2780">
        <v>46</v>
      </c>
      <c r="C2780" t="s">
        <v>12</v>
      </c>
      <c r="D2780" t="s">
        <v>19</v>
      </c>
      <c r="E2780">
        <v>9</v>
      </c>
      <c r="F2780" t="s">
        <v>26</v>
      </c>
      <c r="G2780" t="s">
        <v>27</v>
      </c>
      <c r="H2780" s="1">
        <v>141.56</v>
      </c>
      <c r="I2780" t="s">
        <v>24</v>
      </c>
      <c r="J2780">
        <v>2</v>
      </c>
      <c r="K2780">
        <v>5</v>
      </c>
    </row>
    <row r="2781" spans="1:11" x14ac:dyDescent="0.35">
      <c r="A2781" t="s">
        <v>2818</v>
      </c>
      <c r="B2781">
        <v>54</v>
      </c>
      <c r="C2781" t="s">
        <v>18</v>
      </c>
      <c r="D2781" t="s">
        <v>19</v>
      </c>
      <c r="E2781">
        <v>9</v>
      </c>
      <c r="F2781" t="s">
        <v>33</v>
      </c>
      <c r="G2781" t="s">
        <v>23</v>
      </c>
      <c r="H2781" s="1">
        <v>329.56</v>
      </c>
      <c r="I2781" t="s">
        <v>24</v>
      </c>
      <c r="J2781">
        <v>0</v>
      </c>
      <c r="K2781">
        <v>4</v>
      </c>
    </row>
    <row r="2782" spans="1:11" x14ac:dyDescent="0.35">
      <c r="A2782" t="s">
        <v>2819</v>
      </c>
      <c r="B2782">
        <v>85</v>
      </c>
      <c r="C2782" t="s">
        <v>18</v>
      </c>
      <c r="D2782" t="s">
        <v>30</v>
      </c>
      <c r="E2782">
        <v>6</v>
      </c>
      <c r="F2782" t="s">
        <v>33</v>
      </c>
      <c r="G2782" t="s">
        <v>27</v>
      </c>
      <c r="H2782" s="1">
        <v>124.39</v>
      </c>
      <c r="I2782" t="s">
        <v>43</v>
      </c>
      <c r="J2782">
        <v>1</v>
      </c>
      <c r="K2782">
        <v>7</v>
      </c>
    </row>
    <row r="2783" spans="1:11" x14ac:dyDescent="0.35">
      <c r="A2783" t="s">
        <v>2820</v>
      </c>
      <c r="B2783">
        <v>68</v>
      </c>
      <c r="C2783" t="s">
        <v>12</v>
      </c>
      <c r="D2783" t="s">
        <v>21</v>
      </c>
      <c r="E2783">
        <v>24</v>
      </c>
      <c r="F2783" t="s">
        <v>22</v>
      </c>
      <c r="G2783" t="s">
        <v>27</v>
      </c>
      <c r="H2783" s="1">
        <v>83.28</v>
      </c>
      <c r="I2783" t="s">
        <v>28</v>
      </c>
      <c r="J2783">
        <v>2</v>
      </c>
      <c r="K2783">
        <v>2</v>
      </c>
    </row>
    <row r="2784" spans="1:11" x14ac:dyDescent="0.35">
      <c r="A2784" t="s">
        <v>2821</v>
      </c>
      <c r="B2784">
        <v>24</v>
      </c>
      <c r="C2784" t="s">
        <v>18</v>
      </c>
      <c r="D2784" t="s">
        <v>19</v>
      </c>
      <c r="E2784">
        <v>22</v>
      </c>
      <c r="F2784" t="s">
        <v>14</v>
      </c>
      <c r="G2784" t="s">
        <v>27</v>
      </c>
      <c r="H2784" s="1">
        <v>0</v>
      </c>
      <c r="I2784" t="s">
        <v>16</v>
      </c>
      <c r="J2784">
        <v>2</v>
      </c>
      <c r="K2784">
        <v>5</v>
      </c>
    </row>
    <row r="2785" spans="1:11" x14ac:dyDescent="0.35">
      <c r="A2785" t="s">
        <v>2822</v>
      </c>
      <c r="B2785">
        <v>33</v>
      </c>
      <c r="C2785" t="s">
        <v>12</v>
      </c>
      <c r="D2785" t="s">
        <v>30</v>
      </c>
      <c r="E2785">
        <v>9</v>
      </c>
      <c r="F2785" t="s">
        <v>22</v>
      </c>
      <c r="G2785" t="s">
        <v>34</v>
      </c>
      <c r="H2785" s="1">
        <v>218.99</v>
      </c>
      <c r="I2785" t="s">
        <v>28</v>
      </c>
      <c r="J2785">
        <v>3</v>
      </c>
      <c r="K2785">
        <v>7</v>
      </c>
    </row>
    <row r="2786" spans="1:11" x14ac:dyDescent="0.35">
      <c r="A2786" t="s">
        <v>2823</v>
      </c>
      <c r="B2786">
        <v>68</v>
      </c>
      <c r="C2786" t="s">
        <v>18</v>
      </c>
      <c r="D2786" t="s">
        <v>13</v>
      </c>
      <c r="E2786">
        <v>14</v>
      </c>
      <c r="F2786" t="s">
        <v>22</v>
      </c>
      <c r="G2786" t="s">
        <v>23</v>
      </c>
      <c r="H2786" s="1">
        <v>478.47</v>
      </c>
      <c r="I2786" t="s">
        <v>43</v>
      </c>
      <c r="J2786">
        <v>2</v>
      </c>
      <c r="K2786">
        <v>8</v>
      </c>
    </row>
    <row r="2787" spans="1:11" x14ac:dyDescent="0.35">
      <c r="A2787" t="s">
        <v>2824</v>
      </c>
      <c r="B2787">
        <v>53</v>
      </c>
      <c r="C2787" t="s">
        <v>12</v>
      </c>
      <c r="D2787" t="s">
        <v>21</v>
      </c>
      <c r="E2787">
        <v>40</v>
      </c>
      <c r="F2787" t="s">
        <v>33</v>
      </c>
      <c r="G2787" t="s">
        <v>34</v>
      </c>
      <c r="H2787" s="1">
        <v>210.04</v>
      </c>
      <c r="I2787" t="s">
        <v>24</v>
      </c>
      <c r="J2787">
        <v>4</v>
      </c>
      <c r="K2787">
        <v>4</v>
      </c>
    </row>
    <row r="2788" spans="1:11" x14ac:dyDescent="0.35">
      <c r="A2788" t="s">
        <v>2825</v>
      </c>
      <c r="B2788">
        <v>61</v>
      </c>
      <c r="C2788" t="s">
        <v>18</v>
      </c>
      <c r="D2788" t="s">
        <v>120</v>
      </c>
      <c r="E2788">
        <v>35</v>
      </c>
      <c r="F2788" t="s">
        <v>26</v>
      </c>
      <c r="G2788" t="s">
        <v>15</v>
      </c>
      <c r="H2788" s="1">
        <v>339.73</v>
      </c>
      <c r="I2788" t="s">
        <v>24</v>
      </c>
      <c r="J2788">
        <v>2</v>
      </c>
      <c r="K2788">
        <v>5</v>
      </c>
    </row>
    <row r="2789" spans="1:11" x14ac:dyDescent="0.35">
      <c r="A2789" t="s">
        <v>2826</v>
      </c>
      <c r="B2789">
        <v>54</v>
      </c>
      <c r="C2789" t="s">
        <v>18</v>
      </c>
      <c r="D2789" t="s">
        <v>19</v>
      </c>
      <c r="E2789">
        <v>24</v>
      </c>
      <c r="F2789" t="s">
        <v>33</v>
      </c>
      <c r="G2789" t="s">
        <v>34</v>
      </c>
      <c r="H2789" s="1">
        <v>180.23</v>
      </c>
      <c r="I2789" t="s">
        <v>43</v>
      </c>
      <c r="J2789">
        <v>2</v>
      </c>
      <c r="K2789">
        <v>3</v>
      </c>
    </row>
    <row r="2790" spans="1:11" x14ac:dyDescent="0.35">
      <c r="A2790" t="s">
        <v>2827</v>
      </c>
      <c r="B2790">
        <v>83</v>
      </c>
      <c r="C2790" t="s">
        <v>12</v>
      </c>
      <c r="D2790" t="s">
        <v>21</v>
      </c>
      <c r="E2790">
        <v>44</v>
      </c>
      <c r="F2790" t="s">
        <v>31</v>
      </c>
      <c r="G2790" t="s">
        <v>34</v>
      </c>
      <c r="H2790" s="1">
        <v>136.82</v>
      </c>
      <c r="I2790" t="s">
        <v>24</v>
      </c>
      <c r="J2790">
        <v>1</v>
      </c>
      <c r="K2790">
        <v>3</v>
      </c>
    </row>
    <row r="2791" spans="1:11" x14ac:dyDescent="0.35">
      <c r="A2791" t="s">
        <v>2828</v>
      </c>
      <c r="B2791">
        <v>26</v>
      </c>
      <c r="C2791" t="s">
        <v>12</v>
      </c>
      <c r="D2791" t="s">
        <v>19</v>
      </c>
      <c r="E2791">
        <v>10</v>
      </c>
      <c r="F2791" t="s">
        <v>33</v>
      </c>
      <c r="G2791" t="s">
        <v>15</v>
      </c>
      <c r="H2791" s="1">
        <v>240.78</v>
      </c>
      <c r="I2791" t="s">
        <v>24</v>
      </c>
      <c r="J2791">
        <v>1</v>
      </c>
      <c r="K2791">
        <v>6</v>
      </c>
    </row>
    <row r="2792" spans="1:11" x14ac:dyDescent="0.35">
      <c r="A2792" t="s">
        <v>2829</v>
      </c>
      <c r="B2792">
        <v>43</v>
      </c>
      <c r="C2792" t="s">
        <v>18</v>
      </c>
      <c r="D2792" t="s">
        <v>30</v>
      </c>
      <c r="E2792">
        <v>5</v>
      </c>
      <c r="F2792" t="s">
        <v>26</v>
      </c>
      <c r="G2792" t="s">
        <v>23</v>
      </c>
      <c r="H2792" s="1">
        <v>113.59</v>
      </c>
      <c r="I2792" t="s">
        <v>28</v>
      </c>
      <c r="J2792">
        <v>2</v>
      </c>
      <c r="K2792">
        <v>10</v>
      </c>
    </row>
    <row r="2793" spans="1:11" x14ac:dyDescent="0.35">
      <c r="A2793" t="s">
        <v>2830</v>
      </c>
      <c r="B2793">
        <v>21</v>
      </c>
      <c r="C2793" t="s">
        <v>12</v>
      </c>
      <c r="D2793" t="s">
        <v>30</v>
      </c>
      <c r="E2793">
        <v>11</v>
      </c>
      <c r="F2793" t="s">
        <v>22</v>
      </c>
      <c r="G2793" t="s">
        <v>27</v>
      </c>
      <c r="H2793" s="1">
        <v>120.5</v>
      </c>
      <c r="I2793" t="s">
        <v>43</v>
      </c>
      <c r="J2793">
        <v>0</v>
      </c>
      <c r="K2793">
        <v>8</v>
      </c>
    </row>
    <row r="2794" spans="1:11" x14ac:dyDescent="0.35">
      <c r="A2794" t="s">
        <v>2831</v>
      </c>
      <c r="B2794">
        <v>76</v>
      </c>
      <c r="C2794" t="s">
        <v>18</v>
      </c>
      <c r="D2794" t="s">
        <v>19</v>
      </c>
      <c r="E2794">
        <v>9</v>
      </c>
      <c r="F2794" t="s">
        <v>26</v>
      </c>
      <c r="G2794" t="s">
        <v>27</v>
      </c>
      <c r="H2794" s="1">
        <v>125.56</v>
      </c>
      <c r="I2794" t="s">
        <v>24</v>
      </c>
      <c r="J2794">
        <v>0</v>
      </c>
      <c r="K2794">
        <v>4</v>
      </c>
    </row>
    <row r="2795" spans="1:11" x14ac:dyDescent="0.35">
      <c r="A2795" t="s">
        <v>2832</v>
      </c>
      <c r="B2795">
        <v>72</v>
      </c>
      <c r="C2795" t="s">
        <v>12</v>
      </c>
      <c r="D2795" t="s">
        <v>19</v>
      </c>
      <c r="E2795">
        <v>19</v>
      </c>
      <c r="F2795" t="s">
        <v>22</v>
      </c>
      <c r="G2795" t="s">
        <v>27</v>
      </c>
      <c r="H2795" s="1">
        <v>18.7</v>
      </c>
      <c r="I2795" t="s">
        <v>24</v>
      </c>
      <c r="J2795">
        <v>3</v>
      </c>
      <c r="K2795">
        <v>2</v>
      </c>
    </row>
    <row r="2796" spans="1:11" x14ac:dyDescent="0.35">
      <c r="A2796" t="s">
        <v>2833</v>
      </c>
      <c r="B2796">
        <v>22</v>
      </c>
      <c r="C2796" t="s">
        <v>12</v>
      </c>
      <c r="D2796" t="s">
        <v>47</v>
      </c>
      <c r="E2796">
        <v>7</v>
      </c>
      <c r="F2796" t="s">
        <v>31</v>
      </c>
      <c r="G2796" t="s">
        <v>27</v>
      </c>
      <c r="H2796" s="1">
        <v>128.19999999999999</v>
      </c>
      <c r="I2796" t="s">
        <v>24</v>
      </c>
      <c r="J2796">
        <v>1</v>
      </c>
      <c r="K2796">
        <v>8</v>
      </c>
    </row>
    <row r="2797" spans="1:11" x14ac:dyDescent="0.35">
      <c r="A2797" t="s">
        <v>2834</v>
      </c>
      <c r="B2797">
        <v>21</v>
      </c>
      <c r="C2797" t="s">
        <v>18</v>
      </c>
      <c r="D2797" t="s">
        <v>30</v>
      </c>
      <c r="E2797">
        <v>8</v>
      </c>
      <c r="F2797" t="s">
        <v>26</v>
      </c>
      <c r="G2797" t="s">
        <v>23</v>
      </c>
      <c r="H2797" s="1">
        <v>451.93</v>
      </c>
      <c r="I2797" t="s">
        <v>24</v>
      </c>
      <c r="J2797">
        <v>2</v>
      </c>
      <c r="K2797">
        <v>9</v>
      </c>
    </row>
    <row r="2798" spans="1:11" x14ac:dyDescent="0.35">
      <c r="A2798" t="s">
        <v>2835</v>
      </c>
      <c r="B2798">
        <v>46</v>
      </c>
      <c r="C2798" t="s">
        <v>12</v>
      </c>
      <c r="D2798" t="s">
        <v>47</v>
      </c>
      <c r="E2798">
        <v>3</v>
      </c>
      <c r="F2798" t="s">
        <v>22</v>
      </c>
      <c r="G2798" t="s">
        <v>23</v>
      </c>
      <c r="H2798" s="1">
        <v>596.54</v>
      </c>
      <c r="I2798" t="s">
        <v>24</v>
      </c>
      <c r="J2798">
        <v>2</v>
      </c>
      <c r="K2798">
        <v>7</v>
      </c>
    </row>
    <row r="2799" spans="1:11" x14ac:dyDescent="0.35">
      <c r="A2799" t="s">
        <v>2836</v>
      </c>
      <c r="B2799">
        <v>22</v>
      </c>
      <c r="C2799" t="s">
        <v>18</v>
      </c>
      <c r="D2799" t="s">
        <v>19</v>
      </c>
      <c r="E2799">
        <v>8</v>
      </c>
      <c r="F2799" t="s">
        <v>31</v>
      </c>
      <c r="G2799" t="s">
        <v>34</v>
      </c>
      <c r="H2799" s="1">
        <v>163.26</v>
      </c>
      <c r="I2799" t="s">
        <v>24</v>
      </c>
      <c r="J2799">
        <v>0</v>
      </c>
      <c r="K2799">
        <v>9</v>
      </c>
    </row>
    <row r="2800" spans="1:11" x14ac:dyDescent="0.35">
      <c r="A2800" t="s">
        <v>2837</v>
      </c>
      <c r="B2800">
        <v>36</v>
      </c>
      <c r="C2800" t="s">
        <v>18</v>
      </c>
      <c r="D2800" t="s">
        <v>13</v>
      </c>
      <c r="E2800">
        <v>18</v>
      </c>
      <c r="F2800" t="s">
        <v>22</v>
      </c>
      <c r="G2800" t="s">
        <v>15</v>
      </c>
      <c r="H2800" s="1">
        <v>294.95999999999998</v>
      </c>
      <c r="I2800" t="s">
        <v>24</v>
      </c>
      <c r="J2800">
        <v>1</v>
      </c>
      <c r="K2800">
        <v>7</v>
      </c>
    </row>
    <row r="2801" spans="1:11" x14ac:dyDescent="0.35">
      <c r="A2801" t="s">
        <v>2838</v>
      </c>
      <c r="B2801">
        <v>50</v>
      </c>
      <c r="C2801" t="s">
        <v>12</v>
      </c>
      <c r="D2801" t="s">
        <v>21</v>
      </c>
      <c r="E2801">
        <v>13</v>
      </c>
      <c r="F2801" t="s">
        <v>31</v>
      </c>
      <c r="G2801" t="s">
        <v>37</v>
      </c>
      <c r="H2801" s="1">
        <v>113.41</v>
      </c>
      <c r="I2801" t="s">
        <v>28</v>
      </c>
      <c r="J2801">
        <v>1</v>
      </c>
      <c r="K2801">
        <v>5</v>
      </c>
    </row>
    <row r="2802" spans="1:11" x14ac:dyDescent="0.35">
      <c r="A2802" t="s">
        <v>2839</v>
      </c>
      <c r="B2802">
        <v>28</v>
      </c>
      <c r="C2802" t="s">
        <v>12</v>
      </c>
      <c r="D2802" t="s">
        <v>21</v>
      </c>
      <c r="E2802">
        <v>39</v>
      </c>
      <c r="F2802" t="s">
        <v>33</v>
      </c>
      <c r="G2802" t="s">
        <v>23</v>
      </c>
      <c r="H2802" s="1">
        <v>422.34</v>
      </c>
      <c r="I2802" t="s">
        <v>24</v>
      </c>
      <c r="J2802">
        <v>4</v>
      </c>
      <c r="K2802">
        <v>3</v>
      </c>
    </row>
    <row r="2803" spans="1:11" x14ac:dyDescent="0.35">
      <c r="A2803" t="s">
        <v>2840</v>
      </c>
      <c r="B2803">
        <v>50</v>
      </c>
      <c r="C2803" t="s">
        <v>12</v>
      </c>
      <c r="D2803" t="s">
        <v>21</v>
      </c>
      <c r="E2803">
        <v>16</v>
      </c>
      <c r="F2803" t="s">
        <v>22</v>
      </c>
      <c r="G2803" t="s">
        <v>27</v>
      </c>
      <c r="H2803" s="1">
        <v>63.75</v>
      </c>
      <c r="I2803" t="s">
        <v>24</v>
      </c>
      <c r="J2803">
        <v>0</v>
      </c>
      <c r="K2803">
        <v>5</v>
      </c>
    </row>
    <row r="2804" spans="1:11" x14ac:dyDescent="0.35">
      <c r="A2804" t="s">
        <v>2841</v>
      </c>
      <c r="B2804">
        <v>71</v>
      </c>
      <c r="C2804" t="s">
        <v>18</v>
      </c>
      <c r="D2804" t="s">
        <v>13</v>
      </c>
      <c r="E2804">
        <v>17</v>
      </c>
      <c r="F2804" t="s">
        <v>22</v>
      </c>
      <c r="G2804" t="s">
        <v>23</v>
      </c>
      <c r="H2804" s="1">
        <v>131.59</v>
      </c>
      <c r="I2804" t="s">
        <v>28</v>
      </c>
      <c r="J2804">
        <v>0</v>
      </c>
      <c r="K2804">
        <v>4</v>
      </c>
    </row>
    <row r="2805" spans="1:11" x14ac:dyDescent="0.35">
      <c r="A2805" t="s">
        <v>2842</v>
      </c>
      <c r="B2805">
        <v>73</v>
      </c>
      <c r="C2805" t="s">
        <v>528</v>
      </c>
      <c r="D2805" t="s">
        <v>41</v>
      </c>
      <c r="E2805">
        <v>9</v>
      </c>
      <c r="F2805" t="s">
        <v>22</v>
      </c>
      <c r="G2805" t="s">
        <v>27</v>
      </c>
      <c r="H2805" s="1">
        <v>63.76</v>
      </c>
      <c r="I2805" t="s">
        <v>24</v>
      </c>
      <c r="J2805">
        <v>1</v>
      </c>
      <c r="K2805">
        <v>8</v>
      </c>
    </row>
    <row r="2806" spans="1:11" x14ac:dyDescent="0.35">
      <c r="A2806" t="s">
        <v>2843</v>
      </c>
      <c r="B2806">
        <v>30</v>
      </c>
      <c r="C2806" t="s">
        <v>12</v>
      </c>
      <c r="D2806" t="s">
        <v>19</v>
      </c>
      <c r="E2806">
        <v>17</v>
      </c>
      <c r="F2806" t="s">
        <v>33</v>
      </c>
      <c r="G2806" t="s">
        <v>15</v>
      </c>
      <c r="H2806" s="1">
        <v>361.09</v>
      </c>
      <c r="I2806" t="s">
        <v>24</v>
      </c>
      <c r="J2806">
        <v>2</v>
      </c>
      <c r="K2806">
        <v>4</v>
      </c>
    </row>
    <row r="2807" spans="1:11" x14ac:dyDescent="0.35">
      <c r="A2807" t="s">
        <v>2844</v>
      </c>
      <c r="B2807">
        <v>49</v>
      </c>
      <c r="C2807" t="s">
        <v>18</v>
      </c>
      <c r="D2807" t="s">
        <v>19</v>
      </c>
      <c r="E2807">
        <v>22</v>
      </c>
      <c r="F2807" t="s">
        <v>31</v>
      </c>
      <c r="G2807" t="s">
        <v>34</v>
      </c>
      <c r="H2807" s="1">
        <v>96.68</v>
      </c>
      <c r="I2807" t="s">
        <v>28</v>
      </c>
      <c r="J2807">
        <v>2</v>
      </c>
      <c r="K2807">
        <v>3</v>
      </c>
    </row>
    <row r="2808" spans="1:11" x14ac:dyDescent="0.35">
      <c r="A2808" t="s">
        <v>2845</v>
      </c>
      <c r="B2808">
        <v>45</v>
      </c>
      <c r="C2808" t="s">
        <v>12</v>
      </c>
      <c r="D2808" t="s">
        <v>19</v>
      </c>
      <c r="E2808">
        <v>21</v>
      </c>
      <c r="F2808" t="s">
        <v>33</v>
      </c>
      <c r="G2808" t="s">
        <v>23</v>
      </c>
      <c r="H2808" s="1">
        <v>456.49</v>
      </c>
      <c r="I2808" t="s">
        <v>24</v>
      </c>
      <c r="J2808">
        <v>1</v>
      </c>
      <c r="K2808">
        <v>4</v>
      </c>
    </row>
    <row r="2809" spans="1:11" x14ac:dyDescent="0.35">
      <c r="A2809" t="s">
        <v>2846</v>
      </c>
      <c r="B2809">
        <v>74</v>
      </c>
      <c r="C2809" t="s">
        <v>12</v>
      </c>
      <c r="D2809" t="s">
        <v>19</v>
      </c>
      <c r="E2809">
        <v>13</v>
      </c>
      <c r="F2809" t="s">
        <v>22</v>
      </c>
      <c r="G2809" t="s">
        <v>37</v>
      </c>
      <c r="H2809" s="1">
        <v>217.28</v>
      </c>
      <c r="I2809" t="s">
        <v>24</v>
      </c>
      <c r="J2809">
        <v>1</v>
      </c>
      <c r="K2809">
        <v>6</v>
      </c>
    </row>
    <row r="2810" spans="1:11" x14ac:dyDescent="0.35">
      <c r="A2810" t="s">
        <v>2847</v>
      </c>
      <c r="B2810">
        <v>77</v>
      </c>
      <c r="C2810" t="s">
        <v>12</v>
      </c>
      <c r="D2810" t="s">
        <v>13</v>
      </c>
      <c r="E2810">
        <v>17</v>
      </c>
      <c r="F2810" t="s">
        <v>22</v>
      </c>
      <c r="G2810" t="s">
        <v>23</v>
      </c>
      <c r="H2810" s="1">
        <v>319.37</v>
      </c>
      <c r="I2810" t="s">
        <v>24</v>
      </c>
      <c r="J2810">
        <v>0</v>
      </c>
      <c r="K2810">
        <v>4</v>
      </c>
    </row>
    <row r="2811" spans="1:11" x14ac:dyDescent="0.35">
      <c r="A2811" t="s">
        <v>2848</v>
      </c>
      <c r="B2811">
        <v>19</v>
      </c>
      <c r="C2811" t="s">
        <v>12</v>
      </c>
      <c r="D2811" t="s">
        <v>13</v>
      </c>
      <c r="E2811">
        <v>9</v>
      </c>
      <c r="F2811" t="s">
        <v>22</v>
      </c>
      <c r="G2811" t="s">
        <v>34</v>
      </c>
      <c r="H2811" s="1">
        <v>100.82</v>
      </c>
      <c r="I2811" t="s">
        <v>28</v>
      </c>
      <c r="J2811">
        <v>1</v>
      </c>
      <c r="K2811">
        <v>7</v>
      </c>
    </row>
    <row r="2812" spans="1:11" x14ac:dyDescent="0.35">
      <c r="A2812" t="s">
        <v>2849</v>
      </c>
      <c r="B2812">
        <v>29</v>
      </c>
      <c r="C2812" t="s">
        <v>18</v>
      </c>
      <c r="D2812" t="s">
        <v>21</v>
      </c>
      <c r="E2812">
        <v>35</v>
      </c>
      <c r="F2812" t="s">
        <v>31</v>
      </c>
      <c r="G2812" t="s">
        <v>15</v>
      </c>
      <c r="H2812" s="1">
        <v>114.06</v>
      </c>
      <c r="I2812" t="s">
        <v>43</v>
      </c>
      <c r="J2812">
        <v>4</v>
      </c>
      <c r="K2812">
        <v>3</v>
      </c>
    </row>
    <row r="2813" spans="1:11" x14ac:dyDescent="0.35">
      <c r="A2813" t="s">
        <v>2850</v>
      </c>
      <c r="B2813">
        <v>59</v>
      </c>
      <c r="C2813" t="s">
        <v>12</v>
      </c>
      <c r="D2813" t="s">
        <v>19</v>
      </c>
      <c r="E2813">
        <v>16</v>
      </c>
      <c r="F2813" t="s">
        <v>22</v>
      </c>
      <c r="G2813" t="s">
        <v>23</v>
      </c>
      <c r="H2813" s="1">
        <v>104.43</v>
      </c>
      <c r="I2813" t="s">
        <v>24</v>
      </c>
      <c r="J2813">
        <v>1</v>
      </c>
      <c r="K2813">
        <v>7</v>
      </c>
    </row>
    <row r="2814" spans="1:11" x14ac:dyDescent="0.35">
      <c r="A2814" t="s">
        <v>2851</v>
      </c>
      <c r="B2814">
        <v>35</v>
      </c>
      <c r="C2814" t="s">
        <v>189</v>
      </c>
      <c r="D2814" t="s">
        <v>13</v>
      </c>
      <c r="E2814">
        <v>17</v>
      </c>
      <c r="F2814" t="s">
        <v>31</v>
      </c>
      <c r="G2814" t="s">
        <v>23</v>
      </c>
      <c r="H2814" s="1">
        <v>86.44</v>
      </c>
      <c r="I2814" t="s">
        <v>24</v>
      </c>
      <c r="J2814">
        <v>1</v>
      </c>
      <c r="K2814">
        <v>4</v>
      </c>
    </row>
    <row r="2815" spans="1:11" x14ac:dyDescent="0.35">
      <c r="A2815" t="s">
        <v>2852</v>
      </c>
      <c r="B2815">
        <v>72</v>
      </c>
      <c r="C2815" t="s">
        <v>18</v>
      </c>
      <c r="D2815" t="s">
        <v>41</v>
      </c>
      <c r="E2815">
        <v>9</v>
      </c>
      <c r="F2815" t="s">
        <v>33</v>
      </c>
      <c r="G2815" t="s">
        <v>15</v>
      </c>
      <c r="H2815" s="1">
        <v>262.06</v>
      </c>
      <c r="I2815" t="s">
        <v>24</v>
      </c>
      <c r="J2815">
        <v>0</v>
      </c>
      <c r="K2815">
        <v>7</v>
      </c>
    </row>
    <row r="2816" spans="1:11" x14ac:dyDescent="0.35">
      <c r="A2816" t="s">
        <v>2853</v>
      </c>
      <c r="B2816">
        <v>79</v>
      </c>
      <c r="C2816" t="s">
        <v>18</v>
      </c>
      <c r="D2816" t="s">
        <v>244</v>
      </c>
      <c r="E2816">
        <v>24</v>
      </c>
      <c r="F2816" t="s">
        <v>26</v>
      </c>
      <c r="G2816" t="s">
        <v>23</v>
      </c>
      <c r="H2816" s="1">
        <v>82.28</v>
      </c>
      <c r="I2816" t="s">
        <v>24</v>
      </c>
      <c r="J2816">
        <v>0</v>
      </c>
      <c r="K2816">
        <v>1</v>
      </c>
    </row>
    <row r="2817" spans="1:11" x14ac:dyDescent="0.35">
      <c r="A2817" t="s">
        <v>2854</v>
      </c>
      <c r="B2817">
        <v>64</v>
      </c>
      <c r="C2817" t="s">
        <v>18</v>
      </c>
      <c r="D2817" t="s">
        <v>30</v>
      </c>
      <c r="E2817">
        <v>3</v>
      </c>
      <c r="F2817" t="s">
        <v>31</v>
      </c>
      <c r="G2817" t="s">
        <v>23</v>
      </c>
      <c r="H2817" s="1">
        <v>160.69999999999999</v>
      </c>
      <c r="I2817" t="s">
        <v>24</v>
      </c>
      <c r="J2817">
        <v>0</v>
      </c>
      <c r="K2817">
        <v>10</v>
      </c>
    </row>
    <row r="2818" spans="1:11" x14ac:dyDescent="0.35">
      <c r="A2818" t="s">
        <v>2855</v>
      </c>
      <c r="B2818">
        <v>76</v>
      </c>
      <c r="C2818" t="s">
        <v>18</v>
      </c>
      <c r="D2818" t="s">
        <v>13</v>
      </c>
      <c r="E2818">
        <v>22</v>
      </c>
      <c r="F2818" t="s">
        <v>31</v>
      </c>
      <c r="G2818" t="s">
        <v>23</v>
      </c>
      <c r="H2818" s="1">
        <v>331.01</v>
      </c>
      <c r="I2818" t="s">
        <v>24</v>
      </c>
      <c r="J2818">
        <v>1</v>
      </c>
      <c r="K2818">
        <v>4</v>
      </c>
    </row>
    <row r="2819" spans="1:11" x14ac:dyDescent="0.35">
      <c r="A2819" t="s">
        <v>2856</v>
      </c>
      <c r="B2819">
        <v>33</v>
      </c>
      <c r="C2819" t="s">
        <v>18</v>
      </c>
      <c r="D2819" t="s">
        <v>19</v>
      </c>
      <c r="E2819">
        <v>23</v>
      </c>
      <c r="F2819" t="s">
        <v>22</v>
      </c>
      <c r="G2819" t="s">
        <v>27</v>
      </c>
      <c r="H2819" s="1">
        <v>57.05</v>
      </c>
      <c r="I2819" t="s">
        <v>24</v>
      </c>
      <c r="J2819">
        <v>0</v>
      </c>
      <c r="K2819">
        <v>4</v>
      </c>
    </row>
    <row r="2820" spans="1:11" x14ac:dyDescent="0.35">
      <c r="A2820" t="s">
        <v>2857</v>
      </c>
      <c r="B2820">
        <v>71</v>
      </c>
      <c r="C2820" t="s">
        <v>12</v>
      </c>
      <c r="D2820" t="s">
        <v>21</v>
      </c>
      <c r="E2820">
        <v>33</v>
      </c>
      <c r="F2820" t="s">
        <v>26</v>
      </c>
      <c r="G2820" t="s">
        <v>23</v>
      </c>
      <c r="H2820" s="1">
        <v>168.68</v>
      </c>
      <c r="I2820" t="s">
        <v>24</v>
      </c>
      <c r="J2820">
        <v>0</v>
      </c>
      <c r="K2820">
        <v>3</v>
      </c>
    </row>
    <row r="2821" spans="1:11" x14ac:dyDescent="0.35">
      <c r="A2821" t="s">
        <v>2858</v>
      </c>
      <c r="B2821">
        <v>46</v>
      </c>
      <c r="C2821" t="s">
        <v>12</v>
      </c>
      <c r="D2821" t="s">
        <v>19</v>
      </c>
      <c r="E2821">
        <v>10</v>
      </c>
      <c r="F2821" t="s">
        <v>33</v>
      </c>
      <c r="G2821" t="s">
        <v>37</v>
      </c>
      <c r="H2821" s="1">
        <v>207.74</v>
      </c>
      <c r="I2821" t="s">
        <v>24</v>
      </c>
      <c r="J2821">
        <v>3</v>
      </c>
      <c r="K2821">
        <v>8</v>
      </c>
    </row>
    <row r="2822" spans="1:11" x14ac:dyDescent="0.35">
      <c r="A2822" t="s">
        <v>2859</v>
      </c>
      <c r="B2822">
        <v>80</v>
      </c>
      <c r="C2822" t="s">
        <v>18</v>
      </c>
      <c r="D2822" t="s">
        <v>57</v>
      </c>
      <c r="E2822">
        <v>31</v>
      </c>
      <c r="F2822" t="s">
        <v>22</v>
      </c>
      <c r="G2822" t="s">
        <v>37</v>
      </c>
      <c r="H2822" s="1">
        <v>182.97</v>
      </c>
      <c r="I2822" t="s">
        <v>24</v>
      </c>
      <c r="J2822">
        <v>2</v>
      </c>
      <c r="K2822">
        <v>5</v>
      </c>
    </row>
    <row r="2823" spans="1:11" x14ac:dyDescent="0.35">
      <c r="A2823" t="s">
        <v>2860</v>
      </c>
      <c r="B2823">
        <v>35</v>
      </c>
      <c r="C2823" t="s">
        <v>12</v>
      </c>
      <c r="D2823" t="s">
        <v>21</v>
      </c>
      <c r="E2823">
        <v>26</v>
      </c>
      <c r="F2823" t="s">
        <v>22</v>
      </c>
      <c r="G2823" t="s">
        <v>37</v>
      </c>
      <c r="H2823" s="1">
        <v>204.29</v>
      </c>
      <c r="I2823" t="s">
        <v>24</v>
      </c>
      <c r="J2823">
        <v>0</v>
      </c>
      <c r="K2823">
        <v>4</v>
      </c>
    </row>
    <row r="2824" spans="1:11" x14ac:dyDescent="0.35">
      <c r="A2824" t="s">
        <v>2861</v>
      </c>
      <c r="B2824">
        <v>30</v>
      </c>
      <c r="C2824" t="s">
        <v>18</v>
      </c>
      <c r="D2824" t="s">
        <v>13</v>
      </c>
      <c r="E2824">
        <v>14</v>
      </c>
      <c r="F2824" t="s">
        <v>33</v>
      </c>
      <c r="G2824" t="s">
        <v>15</v>
      </c>
      <c r="H2824" s="1">
        <v>247.22</v>
      </c>
      <c r="I2824" t="s">
        <v>24</v>
      </c>
      <c r="J2824">
        <v>1</v>
      </c>
      <c r="K2824">
        <v>6</v>
      </c>
    </row>
    <row r="2825" spans="1:11" x14ac:dyDescent="0.35">
      <c r="A2825" t="s">
        <v>2862</v>
      </c>
      <c r="B2825">
        <v>52</v>
      </c>
      <c r="C2825" t="s">
        <v>12</v>
      </c>
      <c r="D2825" t="s">
        <v>19</v>
      </c>
      <c r="E2825">
        <v>13</v>
      </c>
      <c r="F2825" t="s">
        <v>22</v>
      </c>
      <c r="G2825" t="s">
        <v>23</v>
      </c>
      <c r="H2825" s="1">
        <v>381.72</v>
      </c>
      <c r="I2825" t="s">
        <v>43</v>
      </c>
      <c r="J2825">
        <v>2</v>
      </c>
      <c r="K2825">
        <v>5</v>
      </c>
    </row>
    <row r="2826" spans="1:11" x14ac:dyDescent="0.35">
      <c r="A2826" t="s">
        <v>2863</v>
      </c>
      <c r="B2826">
        <v>83</v>
      </c>
      <c r="C2826" t="s">
        <v>18</v>
      </c>
      <c r="D2826" t="s">
        <v>21</v>
      </c>
      <c r="E2826">
        <v>19</v>
      </c>
      <c r="F2826" t="s">
        <v>22</v>
      </c>
      <c r="G2826" t="s">
        <v>15</v>
      </c>
      <c r="H2826" s="1">
        <v>276.42</v>
      </c>
      <c r="I2826" t="s">
        <v>28</v>
      </c>
      <c r="J2826">
        <v>4</v>
      </c>
      <c r="K2826">
        <v>5</v>
      </c>
    </row>
    <row r="2827" spans="1:11" x14ac:dyDescent="0.35">
      <c r="A2827" t="s">
        <v>2864</v>
      </c>
      <c r="B2827">
        <v>21</v>
      </c>
      <c r="C2827" t="s">
        <v>12</v>
      </c>
      <c r="D2827" t="s">
        <v>30</v>
      </c>
      <c r="E2827">
        <v>5</v>
      </c>
      <c r="F2827" t="s">
        <v>33</v>
      </c>
      <c r="G2827" t="s">
        <v>23</v>
      </c>
      <c r="H2827" s="1">
        <v>435.25</v>
      </c>
      <c r="I2827" t="s">
        <v>24</v>
      </c>
      <c r="J2827">
        <v>0</v>
      </c>
      <c r="K2827">
        <v>10</v>
      </c>
    </row>
    <row r="2828" spans="1:11" x14ac:dyDescent="0.35">
      <c r="A2828" t="s">
        <v>2865</v>
      </c>
      <c r="B2828">
        <v>60</v>
      </c>
      <c r="C2828" t="s">
        <v>12</v>
      </c>
      <c r="D2828" t="s">
        <v>13</v>
      </c>
      <c r="E2828">
        <v>22</v>
      </c>
      <c r="F2828" t="s">
        <v>33</v>
      </c>
      <c r="G2828" t="s">
        <v>37</v>
      </c>
      <c r="H2828" s="1">
        <v>119.23</v>
      </c>
      <c r="I2828" t="s">
        <v>24</v>
      </c>
      <c r="J2828">
        <v>0</v>
      </c>
      <c r="K2828">
        <v>5</v>
      </c>
    </row>
    <row r="2829" spans="1:11" x14ac:dyDescent="0.35">
      <c r="A2829" t="s">
        <v>2866</v>
      </c>
      <c r="B2829">
        <v>68</v>
      </c>
      <c r="C2829" t="s">
        <v>18</v>
      </c>
      <c r="D2829" t="s">
        <v>19</v>
      </c>
      <c r="E2829">
        <v>20</v>
      </c>
      <c r="F2829" t="s">
        <v>31</v>
      </c>
      <c r="G2829" t="s">
        <v>27</v>
      </c>
      <c r="H2829" s="1">
        <v>146.13999999999999</v>
      </c>
      <c r="I2829" t="s">
        <v>24</v>
      </c>
      <c r="J2829">
        <v>2</v>
      </c>
      <c r="K2829">
        <v>4</v>
      </c>
    </row>
    <row r="2830" spans="1:11" x14ac:dyDescent="0.35">
      <c r="A2830" t="s">
        <v>2867</v>
      </c>
      <c r="B2830">
        <v>23</v>
      </c>
      <c r="C2830" t="s">
        <v>18</v>
      </c>
      <c r="D2830" t="s">
        <v>19</v>
      </c>
      <c r="E2830">
        <v>13</v>
      </c>
      <c r="F2830" t="s">
        <v>26</v>
      </c>
      <c r="G2830" t="s">
        <v>27</v>
      </c>
      <c r="H2830" s="1">
        <v>59.83</v>
      </c>
      <c r="I2830" t="s">
        <v>24</v>
      </c>
      <c r="J2830">
        <v>3</v>
      </c>
      <c r="K2830">
        <v>7</v>
      </c>
    </row>
    <row r="2831" spans="1:11" x14ac:dyDescent="0.35">
      <c r="A2831" t="s">
        <v>2868</v>
      </c>
      <c r="B2831">
        <v>81</v>
      </c>
      <c r="C2831" t="s">
        <v>12</v>
      </c>
      <c r="D2831" t="s">
        <v>19</v>
      </c>
      <c r="E2831">
        <v>17</v>
      </c>
      <c r="F2831" t="s">
        <v>22</v>
      </c>
      <c r="G2831" t="s">
        <v>27</v>
      </c>
      <c r="H2831" s="1">
        <v>126.17</v>
      </c>
      <c r="I2831" t="s">
        <v>24</v>
      </c>
      <c r="J2831">
        <v>0</v>
      </c>
      <c r="K2831">
        <v>5</v>
      </c>
    </row>
    <row r="2832" spans="1:11" x14ac:dyDescent="0.35">
      <c r="A2832" t="s">
        <v>2869</v>
      </c>
      <c r="B2832">
        <v>36</v>
      </c>
      <c r="C2832" t="s">
        <v>18</v>
      </c>
      <c r="D2832" t="s">
        <v>19</v>
      </c>
      <c r="E2832">
        <v>11</v>
      </c>
      <c r="F2832" t="s">
        <v>22</v>
      </c>
      <c r="G2832" t="s">
        <v>34</v>
      </c>
      <c r="H2832" s="1">
        <v>159.41999999999999</v>
      </c>
      <c r="I2832" t="s">
        <v>24</v>
      </c>
      <c r="J2832">
        <v>3</v>
      </c>
      <c r="K2832">
        <v>6</v>
      </c>
    </row>
    <row r="2833" spans="1:11" x14ac:dyDescent="0.35">
      <c r="A2833" t="s">
        <v>2870</v>
      </c>
      <c r="B2833">
        <v>35</v>
      </c>
      <c r="C2833" t="s">
        <v>18</v>
      </c>
      <c r="D2833" t="s">
        <v>30</v>
      </c>
      <c r="E2833">
        <v>3</v>
      </c>
      <c r="F2833" t="s">
        <v>22</v>
      </c>
      <c r="G2833" t="s">
        <v>27</v>
      </c>
      <c r="H2833" s="1">
        <v>145.19999999999999</v>
      </c>
      <c r="I2833" t="s">
        <v>24</v>
      </c>
      <c r="J2833">
        <v>1</v>
      </c>
      <c r="K2833">
        <v>10</v>
      </c>
    </row>
    <row r="2834" spans="1:11" x14ac:dyDescent="0.35">
      <c r="A2834" t="s">
        <v>2871</v>
      </c>
      <c r="B2834">
        <v>59</v>
      </c>
      <c r="C2834" t="s">
        <v>18</v>
      </c>
      <c r="D2834" t="s">
        <v>19</v>
      </c>
      <c r="E2834">
        <v>13</v>
      </c>
      <c r="F2834" t="s">
        <v>22</v>
      </c>
      <c r="G2834" t="s">
        <v>34</v>
      </c>
      <c r="H2834" s="1">
        <v>140.41</v>
      </c>
      <c r="I2834" t="s">
        <v>24</v>
      </c>
      <c r="J2834">
        <v>3</v>
      </c>
      <c r="K2834">
        <v>7</v>
      </c>
    </row>
    <row r="2835" spans="1:11" x14ac:dyDescent="0.35">
      <c r="A2835" t="s">
        <v>2872</v>
      </c>
      <c r="B2835">
        <v>54</v>
      </c>
      <c r="C2835" t="s">
        <v>12</v>
      </c>
      <c r="D2835" t="s">
        <v>41</v>
      </c>
      <c r="E2835">
        <v>14</v>
      </c>
      <c r="F2835" t="s">
        <v>26</v>
      </c>
      <c r="G2835" t="s">
        <v>34</v>
      </c>
      <c r="H2835" s="1">
        <v>199.24</v>
      </c>
      <c r="I2835" t="s">
        <v>28</v>
      </c>
      <c r="J2835">
        <v>1</v>
      </c>
      <c r="K2835">
        <v>8</v>
      </c>
    </row>
    <row r="2836" spans="1:11" x14ac:dyDescent="0.35">
      <c r="A2836" t="s">
        <v>2873</v>
      </c>
      <c r="B2836">
        <v>26</v>
      </c>
      <c r="C2836" t="s">
        <v>18</v>
      </c>
      <c r="D2836" t="s">
        <v>19</v>
      </c>
      <c r="E2836">
        <v>8</v>
      </c>
      <c r="F2836" t="s">
        <v>33</v>
      </c>
      <c r="G2836" t="s">
        <v>34</v>
      </c>
      <c r="H2836" s="1">
        <v>124.45</v>
      </c>
      <c r="I2836" t="s">
        <v>24</v>
      </c>
      <c r="J2836">
        <v>0</v>
      </c>
      <c r="K2836">
        <v>10</v>
      </c>
    </row>
    <row r="2837" spans="1:11" x14ac:dyDescent="0.35">
      <c r="A2837" t="s">
        <v>2874</v>
      </c>
      <c r="B2837">
        <v>57</v>
      </c>
      <c r="C2837" t="s">
        <v>18</v>
      </c>
      <c r="D2837" t="s">
        <v>19</v>
      </c>
      <c r="E2837">
        <v>24</v>
      </c>
      <c r="F2837" t="s">
        <v>31</v>
      </c>
      <c r="G2837" t="s">
        <v>15</v>
      </c>
      <c r="H2837" s="1">
        <v>286.62</v>
      </c>
      <c r="I2837" t="s">
        <v>28</v>
      </c>
      <c r="J2837">
        <v>1</v>
      </c>
      <c r="K2837">
        <v>4</v>
      </c>
    </row>
    <row r="2838" spans="1:11" x14ac:dyDescent="0.35">
      <c r="A2838" t="s">
        <v>2875</v>
      </c>
      <c r="B2838">
        <v>57</v>
      </c>
      <c r="C2838" t="s">
        <v>12</v>
      </c>
      <c r="D2838" t="s">
        <v>21</v>
      </c>
      <c r="E2838">
        <v>15</v>
      </c>
      <c r="F2838" t="s">
        <v>22</v>
      </c>
      <c r="G2838" t="s">
        <v>37</v>
      </c>
      <c r="H2838" s="1">
        <v>162.77000000000001</v>
      </c>
      <c r="I2838" t="s">
        <v>24</v>
      </c>
      <c r="J2838">
        <v>1</v>
      </c>
      <c r="K2838">
        <v>7</v>
      </c>
    </row>
    <row r="2839" spans="1:11" x14ac:dyDescent="0.35">
      <c r="A2839" t="s">
        <v>2876</v>
      </c>
      <c r="B2839">
        <v>52</v>
      </c>
      <c r="C2839" t="s">
        <v>12</v>
      </c>
      <c r="D2839" t="s">
        <v>21</v>
      </c>
      <c r="E2839">
        <v>41</v>
      </c>
      <c r="F2839" t="s">
        <v>31</v>
      </c>
      <c r="G2839" t="s">
        <v>27</v>
      </c>
      <c r="H2839" s="1">
        <v>116.05</v>
      </c>
      <c r="I2839" t="s">
        <v>24</v>
      </c>
      <c r="J2839">
        <v>2</v>
      </c>
      <c r="K2839">
        <v>5</v>
      </c>
    </row>
    <row r="2840" spans="1:11" x14ac:dyDescent="0.35">
      <c r="A2840" t="s">
        <v>2877</v>
      </c>
      <c r="B2840">
        <v>80</v>
      </c>
      <c r="C2840" t="s">
        <v>18</v>
      </c>
      <c r="D2840" t="s">
        <v>19</v>
      </c>
      <c r="E2840">
        <v>18</v>
      </c>
      <c r="F2840" t="s">
        <v>26</v>
      </c>
      <c r="G2840" t="s">
        <v>34</v>
      </c>
      <c r="H2840" s="1">
        <v>129.62</v>
      </c>
      <c r="I2840" t="s">
        <v>43</v>
      </c>
      <c r="J2840">
        <v>0</v>
      </c>
      <c r="K2840">
        <v>5</v>
      </c>
    </row>
    <row r="2841" spans="1:11" x14ac:dyDescent="0.35">
      <c r="A2841" t="s">
        <v>2878</v>
      </c>
      <c r="B2841">
        <v>52</v>
      </c>
      <c r="C2841" t="s">
        <v>12</v>
      </c>
      <c r="D2841" t="s">
        <v>21</v>
      </c>
      <c r="E2841">
        <v>39</v>
      </c>
      <c r="F2841" t="s">
        <v>31</v>
      </c>
      <c r="G2841" t="s">
        <v>34</v>
      </c>
      <c r="H2841" s="1">
        <v>112.33</v>
      </c>
      <c r="I2841" t="s">
        <v>28</v>
      </c>
      <c r="J2841">
        <v>2</v>
      </c>
      <c r="K2841">
        <v>4</v>
      </c>
    </row>
    <row r="2842" spans="1:11" x14ac:dyDescent="0.35">
      <c r="A2842" t="s">
        <v>2879</v>
      </c>
      <c r="B2842">
        <v>47</v>
      </c>
      <c r="C2842" t="s">
        <v>18</v>
      </c>
      <c r="D2842" t="s">
        <v>200</v>
      </c>
      <c r="E2842">
        <v>21</v>
      </c>
      <c r="F2842" t="s">
        <v>33</v>
      </c>
      <c r="G2842" t="s">
        <v>23</v>
      </c>
      <c r="H2842" s="1">
        <v>82.55</v>
      </c>
      <c r="I2842" t="s">
        <v>24</v>
      </c>
      <c r="J2842">
        <v>0</v>
      </c>
      <c r="K2842">
        <v>2</v>
      </c>
    </row>
    <row r="2843" spans="1:11" x14ac:dyDescent="0.35">
      <c r="A2843" t="s">
        <v>2880</v>
      </c>
      <c r="B2843">
        <v>82</v>
      </c>
      <c r="C2843" t="s">
        <v>12</v>
      </c>
      <c r="D2843" t="s">
        <v>41</v>
      </c>
      <c r="E2843">
        <v>13</v>
      </c>
      <c r="F2843" t="s">
        <v>33</v>
      </c>
      <c r="G2843" t="s">
        <v>27</v>
      </c>
      <c r="H2843" s="1">
        <v>140.12</v>
      </c>
      <c r="I2843" t="s">
        <v>24</v>
      </c>
      <c r="J2843">
        <v>1</v>
      </c>
      <c r="K2843">
        <v>6</v>
      </c>
    </row>
    <row r="2844" spans="1:11" x14ac:dyDescent="0.35">
      <c r="A2844" t="s">
        <v>2881</v>
      </c>
      <c r="B2844">
        <v>50</v>
      </c>
      <c r="C2844" t="s">
        <v>12</v>
      </c>
      <c r="D2844" t="s">
        <v>30</v>
      </c>
      <c r="E2844">
        <v>3</v>
      </c>
      <c r="F2844" t="s">
        <v>26</v>
      </c>
      <c r="G2844" t="s">
        <v>27</v>
      </c>
      <c r="H2844" s="1">
        <v>40.03</v>
      </c>
      <c r="I2844" t="s">
        <v>24</v>
      </c>
      <c r="J2844">
        <v>0</v>
      </c>
      <c r="K2844">
        <v>7</v>
      </c>
    </row>
    <row r="2845" spans="1:11" x14ac:dyDescent="0.35">
      <c r="A2845" t="s">
        <v>2882</v>
      </c>
      <c r="B2845">
        <v>50</v>
      </c>
      <c r="C2845" t="s">
        <v>12</v>
      </c>
      <c r="D2845" t="s">
        <v>19</v>
      </c>
      <c r="E2845">
        <v>24</v>
      </c>
      <c r="F2845" t="s">
        <v>14</v>
      </c>
      <c r="G2845" t="s">
        <v>23</v>
      </c>
      <c r="H2845" s="1">
        <v>0</v>
      </c>
      <c r="I2845" t="s">
        <v>16</v>
      </c>
      <c r="J2845">
        <v>4</v>
      </c>
      <c r="K2845">
        <v>1</v>
      </c>
    </row>
    <row r="2846" spans="1:11" x14ac:dyDescent="0.35">
      <c r="A2846" t="s">
        <v>2883</v>
      </c>
      <c r="B2846">
        <v>60</v>
      </c>
      <c r="C2846" t="s">
        <v>18</v>
      </c>
      <c r="D2846" t="s">
        <v>19</v>
      </c>
      <c r="E2846">
        <v>15</v>
      </c>
      <c r="F2846" t="s">
        <v>14</v>
      </c>
      <c r="G2846" t="s">
        <v>15</v>
      </c>
      <c r="H2846" s="1">
        <v>0</v>
      </c>
      <c r="I2846" t="s">
        <v>16</v>
      </c>
      <c r="J2846">
        <v>0</v>
      </c>
      <c r="K2846">
        <v>8</v>
      </c>
    </row>
    <row r="2847" spans="1:11" x14ac:dyDescent="0.35">
      <c r="A2847" t="s">
        <v>2884</v>
      </c>
      <c r="B2847">
        <v>59</v>
      </c>
      <c r="C2847" t="s">
        <v>12</v>
      </c>
      <c r="D2847" t="s">
        <v>30</v>
      </c>
      <c r="E2847">
        <v>13</v>
      </c>
      <c r="F2847" t="s">
        <v>22</v>
      </c>
      <c r="G2847" t="s">
        <v>23</v>
      </c>
      <c r="H2847" s="1">
        <v>188.29</v>
      </c>
      <c r="I2847" t="s">
        <v>24</v>
      </c>
      <c r="J2847">
        <v>2</v>
      </c>
      <c r="K2847">
        <v>8</v>
      </c>
    </row>
    <row r="2848" spans="1:11" x14ac:dyDescent="0.35">
      <c r="A2848" t="s">
        <v>2885</v>
      </c>
      <c r="B2848">
        <v>46</v>
      </c>
      <c r="C2848" t="s">
        <v>12</v>
      </c>
      <c r="D2848" t="s">
        <v>21</v>
      </c>
      <c r="E2848">
        <v>48</v>
      </c>
      <c r="F2848" t="s">
        <v>31</v>
      </c>
      <c r="G2848" t="s">
        <v>34</v>
      </c>
      <c r="H2848" s="1">
        <v>188.78</v>
      </c>
      <c r="I2848" t="s">
        <v>28</v>
      </c>
      <c r="J2848">
        <v>1</v>
      </c>
      <c r="K2848">
        <v>3</v>
      </c>
    </row>
    <row r="2849" spans="1:11" x14ac:dyDescent="0.35">
      <c r="A2849" t="s">
        <v>2886</v>
      </c>
      <c r="B2849">
        <v>50</v>
      </c>
      <c r="C2849" t="s">
        <v>18</v>
      </c>
      <c r="D2849" t="s">
        <v>30</v>
      </c>
      <c r="E2849">
        <v>14</v>
      </c>
      <c r="F2849" t="s">
        <v>22</v>
      </c>
      <c r="G2849" t="s">
        <v>27</v>
      </c>
      <c r="H2849" s="1">
        <v>109.09</v>
      </c>
      <c r="I2849" t="s">
        <v>24</v>
      </c>
      <c r="J2849">
        <v>1</v>
      </c>
      <c r="K2849">
        <v>7</v>
      </c>
    </row>
    <row r="2850" spans="1:11" x14ac:dyDescent="0.35">
      <c r="A2850" t="s">
        <v>2887</v>
      </c>
      <c r="B2850">
        <v>56</v>
      </c>
      <c r="C2850" t="s">
        <v>12</v>
      </c>
      <c r="D2850" t="s">
        <v>21</v>
      </c>
      <c r="E2850">
        <v>34</v>
      </c>
      <c r="F2850" t="s">
        <v>22</v>
      </c>
      <c r="G2850" t="s">
        <v>15</v>
      </c>
      <c r="H2850" s="1">
        <v>259.83999999999997</v>
      </c>
      <c r="I2850" t="s">
        <v>43</v>
      </c>
      <c r="J2850">
        <v>2</v>
      </c>
      <c r="K2850">
        <v>1</v>
      </c>
    </row>
    <row r="2851" spans="1:11" x14ac:dyDescent="0.35">
      <c r="A2851" t="s">
        <v>2888</v>
      </c>
      <c r="B2851">
        <v>82</v>
      </c>
      <c r="C2851" t="s">
        <v>12</v>
      </c>
      <c r="D2851" t="s">
        <v>21</v>
      </c>
      <c r="E2851">
        <v>31</v>
      </c>
      <c r="F2851" t="s">
        <v>26</v>
      </c>
      <c r="G2851" t="s">
        <v>15</v>
      </c>
      <c r="H2851" s="1">
        <v>261.45</v>
      </c>
      <c r="I2851" t="s">
        <v>24</v>
      </c>
      <c r="J2851">
        <v>1</v>
      </c>
      <c r="K2851">
        <v>2</v>
      </c>
    </row>
    <row r="2852" spans="1:11" x14ac:dyDescent="0.35">
      <c r="A2852" t="s">
        <v>2889</v>
      </c>
      <c r="B2852">
        <v>58</v>
      </c>
      <c r="C2852" t="s">
        <v>12</v>
      </c>
      <c r="D2852" t="s">
        <v>13</v>
      </c>
      <c r="E2852">
        <v>9</v>
      </c>
      <c r="F2852" t="s">
        <v>26</v>
      </c>
      <c r="G2852" t="s">
        <v>15</v>
      </c>
      <c r="H2852" s="1">
        <v>368.74</v>
      </c>
      <c r="I2852" t="s">
        <v>28</v>
      </c>
      <c r="J2852">
        <v>3</v>
      </c>
      <c r="K2852">
        <v>5</v>
      </c>
    </row>
    <row r="2853" spans="1:11" x14ac:dyDescent="0.35">
      <c r="A2853" t="s">
        <v>2890</v>
      </c>
      <c r="B2853">
        <v>80</v>
      </c>
      <c r="C2853" t="s">
        <v>18</v>
      </c>
      <c r="D2853" t="s">
        <v>19</v>
      </c>
      <c r="E2853">
        <v>24</v>
      </c>
      <c r="F2853" t="s">
        <v>33</v>
      </c>
      <c r="G2853" t="s">
        <v>34</v>
      </c>
      <c r="H2853" s="1">
        <v>174.53</v>
      </c>
      <c r="I2853" t="s">
        <v>24</v>
      </c>
      <c r="J2853">
        <v>1</v>
      </c>
      <c r="K2853">
        <v>3</v>
      </c>
    </row>
    <row r="2854" spans="1:11" x14ac:dyDescent="0.35">
      <c r="A2854" t="s">
        <v>2891</v>
      </c>
      <c r="B2854">
        <v>80</v>
      </c>
      <c r="C2854" t="s">
        <v>18</v>
      </c>
      <c r="D2854" t="s">
        <v>21</v>
      </c>
      <c r="E2854">
        <v>37</v>
      </c>
      <c r="F2854" t="s">
        <v>31</v>
      </c>
      <c r="G2854" t="s">
        <v>23</v>
      </c>
      <c r="H2854" s="1">
        <v>271.24</v>
      </c>
      <c r="I2854" t="s">
        <v>24</v>
      </c>
      <c r="J2854">
        <v>1</v>
      </c>
      <c r="K2854">
        <v>4</v>
      </c>
    </row>
    <row r="2855" spans="1:11" x14ac:dyDescent="0.35">
      <c r="A2855" t="s">
        <v>2892</v>
      </c>
      <c r="B2855">
        <v>75</v>
      </c>
      <c r="C2855" t="s">
        <v>18</v>
      </c>
      <c r="D2855" t="s">
        <v>120</v>
      </c>
      <c r="E2855">
        <v>17</v>
      </c>
      <c r="F2855" t="s">
        <v>22</v>
      </c>
      <c r="G2855" t="s">
        <v>23</v>
      </c>
      <c r="H2855" s="1">
        <v>391.61</v>
      </c>
      <c r="I2855" t="s">
        <v>43</v>
      </c>
      <c r="J2855">
        <v>0</v>
      </c>
      <c r="K2855">
        <v>5</v>
      </c>
    </row>
    <row r="2856" spans="1:11" x14ac:dyDescent="0.35">
      <c r="A2856" t="s">
        <v>2893</v>
      </c>
      <c r="B2856">
        <v>19</v>
      </c>
      <c r="C2856" t="s">
        <v>18</v>
      </c>
      <c r="D2856" t="s">
        <v>21</v>
      </c>
      <c r="E2856">
        <v>28</v>
      </c>
      <c r="F2856" t="s">
        <v>14</v>
      </c>
      <c r="G2856" t="s">
        <v>34</v>
      </c>
      <c r="H2856" s="1">
        <v>0</v>
      </c>
      <c r="I2856" t="s">
        <v>16</v>
      </c>
      <c r="J2856">
        <v>3</v>
      </c>
      <c r="K2856">
        <v>3</v>
      </c>
    </row>
    <row r="2857" spans="1:11" x14ac:dyDescent="0.35">
      <c r="A2857" t="s">
        <v>2894</v>
      </c>
      <c r="B2857">
        <v>63</v>
      </c>
      <c r="C2857" t="s">
        <v>12</v>
      </c>
      <c r="D2857" t="s">
        <v>13</v>
      </c>
      <c r="E2857">
        <v>7</v>
      </c>
      <c r="F2857" t="s">
        <v>33</v>
      </c>
      <c r="G2857" t="s">
        <v>23</v>
      </c>
      <c r="H2857" s="1">
        <v>127.57</v>
      </c>
      <c r="I2857" t="s">
        <v>24</v>
      </c>
      <c r="J2857">
        <v>0</v>
      </c>
      <c r="K2857">
        <v>7</v>
      </c>
    </row>
    <row r="2858" spans="1:11" x14ac:dyDescent="0.35">
      <c r="A2858" t="s">
        <v>2895</v>
      </c>
      <c r="B2858">
        <v>75</v>
      </c>
      <c r="C2858" t="s">
        <v>18</v>
      </c>
      <c r="D2858" t="s">
        <v>21</v>
      </c>
      <c r="E2858">
        <v>46</v>
      </c>
      <c r="F2858" t="s">
        <v>14</v>
      </c>
      <c r="G2858" t="s">
        <v>23</v>
      </c>
      <c r="H2858" s="1">
        <v>0</v>
      </c>
      <c r="I2858" t="s">
        <v>16</v>
      </c>
      <c r="J2858">
        <v>1</v>
      </c>
      <c r="K2858">
        <v>3</v>
      </c>
    </row>
    <row r="2859" spans="1:11" x14ac:dyDescent="0.35">
      <c r="A2859" t="s">
        <v>2896</v>
      </c>
      <c r="B2859">
        <v>69</v>
      </c>
      <c r="C2859" t="s">
        <v>18</v>
      </c>
      <c r="D2859" t="s">
        <v>47</v>
      </c>
      <c r="E2859">
        <v>8</v>
      </c>
      <c r="F2859" t="s">
        <v>14</v>
      </c>
      <c r="G2859" t="s">
        <v>34</v>
      </c>
      <c r="H2859" s="1">
        <v>0</v>
      </c>
      <c r="I2859" t="s">
        <v>16</v>
      </c>
      <c r="J2859">
        <v>0</v>
      </c>
      <c r="K2859">
        <v>10</v>
      </c>
    </row>
    <row r="2860" spans="1:11" x14ac:dyDescent="0.35">
      <c r="A2860" t="s">
        <v>2897</v>
      </c>
      <c r="B2860">
        <v>18</v>
      </c>
      <c r="C2860" t="s">
        <v>12</v>
      </c>
      <c r="D2860" t="s">
        <v>19</v>
      </c>
      <c r="E2860">
        <v>9</v>
      </c>
      <c r="F2860" t="s">
        <v>31</v>
      </c>
      <c r="G2860" t="s">
        <v>27</v>
      </c>
      <c r="H2860" s="1">
        <v>89.74</v>
      </c>
      <c r="I2860" t="s">
        <v>43</v>
      </c>
      <c r="J2860">
        <v>1</v>
      </c>
      <c r="K2860">
        <v>4</v>
      </c>
    </row>
    <row r="2861" spans="1:11" x14ac:dyDescent="0.35">
      <c r="A2861" t="s">
        <v>2898</v>
      </c>
      <c r="B2861">
        <v>84</v>
      </c>
      <c r="C2861" t="s">
        <v>12</v>
      </c>
      <c r="D2861" t="s">
        <v>21</v>
      </c>
      <c r="E2861">
        <v>38</v>
      </c>
      <c r="F2861" t="s">
        <v>31</v>
      </c>
      <c r="G2861" t="s">
        <v>23</v>
      </c>
      <c r="H2861" s="1">
        <v>264.37</v>
      </c>
      <c r="I2861" t="s">
        <v>24</v>
      </c>
      <c r="J2861">
        <v>1</v>
      </c>
      <c r="K2861">
        <v>5</v>
      </c>
    </row>
    <row r="2862" spans="1:11" x14ac:dyDescent="0.35">
      <c r="A2862" t="s">
        <v>2899</v>
      </c>
      <c r="B2862">
        <v>78</v>
      </c>
      <c r="C2862" t="s">
        <v>12</v>
      </c>
      <c r="D2862" t="s">
        <v>21</v>
      </c>
      <c r="E2862">
        <v>40</v>
      </c>
      <c r="F2862" t="s">
        <v>33</v>
      </c>
      <c r="G2862" t="s">
        <v>15</v>
      </c>
      <c r="H2862" s="1">
        <v>133.88</v>
      </c>
      <c r="I2862" t="s">
        <v>24</v>
      </c>
      <c r="J2862">
        <v>0</v>
      </c>
      <c r="K2862">
        <v>5</v>
      </c>
    </row>
    <row r="2863" spans="1:11" x14ac:dyDescent="0.35">
      <c r="A2863" t="s">
        <v>2900</v>
      </c>
      <c r="B2863">
        <v>43</v>
      </c>
      <c r="C2863" t="s">
        <v>12</v>
      </c>
      <c r="D2863" t="s">
        <v>13</v>
      </c>
      <c r="E2863">
        <v>10</v>
      </c>
      <c r="F2863" t="s">
        <v>26</v>
      </c>
      <c r="G2863" t="s">
        <v>23</v>
      </c>
      <c r="H2863" s="1">
        <v>525.9</v>
      </c>
      <c r="I2863" t="s">
        <v>24</v>
      </c>
      <c r="J2863">
        <v>1</v>
      </c>
      <c r="K2863">
        <v>4</v>
      </c>
    </row>
    <row r="2864" spans="1:11" x14ac:dyDescent="0.35">
      <c r="A2864" t="s">
        <v>2901</v>
      </c>
      <c r="B2864">
        <v>85</v>
      </c>
      <c r="C2864" t="s">
        <v>18</v>
      </c>
      <c r="D2864" t="s">
        <v>13</v>
      </c>
      <c r="E2864">
        <v>11</v>
      </c>
      <c r="F2864" t="s">
        <v>31</v>
      </c>
      <c r="G2864" t="s">
        <v>23</v>
      </c>
      <c r="H2864" s="1">
        <v>579.47</v>
      </c>
      <c r="I2864" t="s">
        <v>24</v>
      </c>
      <c r="J2864">
        <v>0</v>
      </c>
      <c r="K2864">
        <v>4</v>
      </c>
    </row>
    <row r="2865" spans="1:11" x14ac:dyDescent="0.35">
      <c r="A2865" t="s">
        <v>2902</v>
      </c>
      <c r="B2865">
        <v>85</v>
      </c>
      <c r="C2865" t="s">
        <v>18</v>
      </c>
      <c r="D2865" t="s">
        <v>120</v>
      </c>
      <c r="E2865">
        <v>14</v>
      </c>
      <c r="F2865" t="s">
        <v>26</v>
      </c>
      <c r="G2865" t="s">
        <v>37</v>
      </c>
      <c r="H2865" s="1">
        <v>211.37</v>
      </c>
      <c r="I2865" t="s">
        <v>24</v>
      </c>
      <c r="J2865">
        <v>0</v>
      </c>
      <c r="K2865">
        <v>4</v>
      </c>
    </row>
    <row r="2866" spans="1:11" x14ac:dyDescent="0.35">
      <c r="A2866" t="s">
        <v>2903</v>
      </c>
      <c r="B2866">
        <v>76</v>
      </c>
      <c r="C2866" t="s">
        <v>12</v>
      </c>
      <c r="D2866" t="s">
        <v>30</v>
      </c>
      <c r="E2866">
        <v>2</v>
      </c>
      <c r="F2866" t="s">
        <v>22</v>
      </c>
      <c r="G2866" t="s">
        <v>34</v>
      </c>
      <c r="H2866" s="1">
        <v>91.34</v>
      </c>
      <c r="I2866" t="s">
        <v>24</v>
      </c>
      <c r="J2866">
        <v>0</v>
      </c>
      <c r="K2866">
        <v>9</v>
      </c>
    </row>
    <row r="2867" spans="1:11" x14ac:dyDescent="0.35">
      <c r="A2867" t="s">
        <v>2904</v>
      </c>
      <c r="B2867">
        <v>37</v>
      </c>
      <c r="C2867" t="s">
        <v>12</v>
      </c>
      <c r="D2867" t="s">
        <v>47</v>
      </c>
      <c r="E2867">
        <v>2</v>
      </c>
      <c r="F2867" t="s">
        <v>33</v>
      </c>
      <c r="G2867" t="s">
        <v>15</v>
      </c>
      <c r="H2867" s="1">
        <v>315.93</v>
      </c>
      <c r="I2867" t="s">
        <v>24</v>
      </c>
      <c r="J2867">
        <v>0</v>
      </c>
      <c r="K2867">
        <v>9</v>
      </c>
    </row>
    <row r="2868" spans="1:11" x14ac:dyDescent="0.35">
      <c r="A2868" t="s">
        <v>2905</v>
      </c>
      <c r="B2868">
        <v>77</v>
      </c>
      <c r="C2868" t="s">
        <v>12</v>
      </c>
      <c r="D2868" t="s">
        <v>41</v>
      </c>
      <c r="E2868">
        <v>6</v>
      </c>
      <c r="F2868" t="s">
        <v>31</v>
      </c>
      <c r="G2868" t="s">
        <v>23</v>
      </c>
      <c r="H2868" s="1">
        <v>104.81</v>
      </c>
      <c r="I2868" t="s">
        <v>24</v>
      </c>
      <c r="J2868">
        <v>1</v>
      </c>
      <c r="K2868">
        <v>8</v>
      </c>
    </row>
    <row r="2869" spans="1:11" x14ac:dyDescent="0.35">
      <c r="A2869" t="s">
        <v>2906</v>
      </c>
      <c r="B2869">
        <v>81</v>
      </c>
      <c r="C2869" t="s">
        <v>12</v>
      </c>
      <c r="D2869" t="s">
        <v>19</v>
      </c>
      <c r="E2869">
        <v>11</v>
      </c>
      <c r="F2869" t="s">
        <v>22</v>
      </c>
      <c r="G2869" t="s">
        <v>34</v>
      </c>
      <c r="H2869" s="1">
        <v>187.47</v>
      </c>
      <c r="I2869" t="s">
        <v>24</v>
      </c>
      <c r="J2869">
        <v>0</v>
      </c>
      <c r="K2869">
        <v>5</v>
      </c>
    </row>
    <row r="2870" spans="1:11" x14ac:dyDescent="0.35">
      <c r="A2870" t="s">
        <v>2907</v>
      </c>
      <c r="B2870">
        <v>40</v>
      </c>
      <c r="C2870" t="s">
        <v>18</v>
      </c>
      <c r="D2870" t="s">
        <v>21</v>
      </c>
      <c r="E2870">
        <v>24</v>
      </c>
      <c r="F2870" t="s">
        <v>26</v>
      </c>
      <c r="G2870" t="s">
        <v>37</v>
      </c>
      <c r="H2870" s="1">
        <v>209.03</v>
      </c>
      <c r="I2870" t="s">
        <v>24</v>
      </c>
      <c r="J2870">
        <v>0</v>
      </c>
      <c r="K2870">
        <v>5</v>
      </c>
    </row>
    <row r="2871" spans="1:11" x14ac:dyDescent="0.35">
      <c r="A2871" t="s">
        <v>2908</v>
      </c>
      <c r="B2871">
        <v>66</v>
      </c>
      <c r="C2871" t="s">
        <v>12</v>
      </c>
      <c r="D2871" t="s">
        <v>30</v>
      </c>
      <c r="E2871">
        <v>7</v>
      </c>
      <c r="F2871" t="s">
        <v>33</v>
      </c>
      <c r="G2871" t="s">
        <v>23</v>
      </c>
      <c r="H2871" s="1">
        <v>466.79</v>
      </c>
      <c r="I2871" t="s">
        <v>28</v>
      </c>
      <c r="J2871">
        <v>1</v>
      </c>
      <c r="K2871">
        <v>10</v>
      </c>
    </row>
    <row r="2872" spans="1:11" x14ac:dyDescent="0.35">
      <c r="A2872" t="s">
        <v>2909</v>
      </c>
      <c r="B2872">
        <v>62</v>
      </c>
      <c r="C2872" t="s">
        <v>12</v>
      </c>
      <c r="D2872" t="s">
        <v>19</v>
      </c>
      <c r="E2872">
        <v>17</v>
      </c>
      <c r="F2872" t="s">
        <v>33</v>
      </c>
      <c r="G2872" t="s">
        <v>15</v>
      </c>
      <c r="H2872" s="1">
        <v>159.44999999999999</v>
      </c>
      <c r="I2872" t="s">
        <v>24</v>
      </c>
      <c r="J2872">
        <v>3</v>
      </c>
      <c r="K2872">
        <v>7</v>
      </c>
    </row>
    <row r="2873" spans="1:11" x14ac:dyDescent="0.35">
      <c r="A2873" t="s">
        <v>2910</v>
      </c>
      <c r="B2873">
        <v>35</v>
      </c>
      <c r="C2873" t="s">
        <v>12</v>
      </c>
      <c r="D2873" t="s">
        <v>13</v>
      </c>
      <c r="E2873">
        <v>12</v>
      </c>
      <c r="F2873" t="s">
        <v>33</v>
      </c>
      <c r="G2873" t="s">
        <v>15</v>
      </c>
      <c r="H2873" s="1">
        <v>117.09</v>
      </c>
      <c r="I2873" t="s">
        <v>24</v>
      </c>
      <c r="J2873">
        <v>0</v>
      </c>
      <c r="K2873">
        <v>8</v>
      </c>
    </row>
    <row r="2874" spans="1:11" x14ac:dyDescent="0.35">
      <c r="A2874" t="s">
        <v>2911</v>
      </c>
      <c r="B2874">
        <v>73</v>
      </c>
      <c r="C2874" t="s">
        <v>18</v>
      </c>
      <c r="D2874" t="s">
        <v>19</v>
      </c>
      <c r="E2874">
        <v>8</v>
      </c>
      <c r="F2874" t="s">
        <v>26</v>
      </c>
      <c r="G2874" t="s">
        <v>37</v>
      </c>
      <c r="H2874" s="1">
        <v>180.1</v>
      </c>
      <c r="I2874" t="s">
        <v>24</v>
      </c>
      <c r="J2874">
        <v>1</v>
      </c>
      <c r="K2874">
        <v>8</v>
      </c>
    </row>
    <row r="2875" spans="1:11" x14ac:dyDescent="0.35">
      <c r="A2875" t="s">
        <v>2912</v>
      </c>
      <c r="B2875">
        <v>75</v>
      </c>
      <c r="C2875" t="s">
        <v>12</v>
      </c>
      <c r="D2875" t="s">
        <v>13</v>
      </c>
      <c r="E2875">
        <v>21</v>
      </c>
      <c r="F2875" t="s">
        <v>33</v>
      </c>
      <c r="G2875" t="s">
        <v>23</v>
      </c>
      <c r="H2875" s="1">
        <v>154.62</v>
      </c>
      <c r="I2875" t="s">
        <v>24</v>
      </c>
      <c r="J2875">
        <v>3</v>
      </c>
      <c r="K2875">
        <v>4</v>
      </c>
    </row>
    <row r="2876" spans="1:11" x14ac:dyDescent="0.35">
      <c r="A2876" t="s">
        <v>2913</v>
      </c>
      <c r="B2876">
        <v>36</v>
      </c>
      <c r="C2876" t="s">
        <v>12</v>
      </c>
      <c r="D2876" t="s">
        <v>19</v>
      </c>
      <c r="E2876">
        <v>24</v>
      </c>
      <c r="F2876" t="s">
        <v>26</v>
      </c>
      <c r="G2876" t="s">
        <v>15</v>
      </c>
      <c r="H2876" s="1">
        <v>220.62</v>
      </c>
      <c r="I2876" t="s">
        <v>24</v>
      </c>
      <c r="J2876">
        <v>2</v>
      </c>
      <c r="K2876">
        <v>2</v>
      </c>
    </row>
    <row r="2877" spans="1:11" x14ac:dyDescent="0.35">
      <c r="A2877" t="s">
        <v>2914</v>
      </c>
      <c r="B2877">
        <v>29</v>
      </c>
      <c r="C2877" t="s">
        <v>18</v>
      </c>
      <c r="D2877" t="s">
        <v>21</v>
      </c>
      <c r="E2877">
        <v>12</v>
      </c>
      <c r="F2877" t="s">
        <v>22</v>
      </c>
      <c r="G2877" t="s">
        <v>23</v>
      </c>
      <c r="H2877" s="1">
        <v>402.78</v>
      </c>
      <c r="I2877" t="s">
        <v>24</v>
      </c>
      <c r="J2877">
        <v>1</v>
      </c>
      <c r="K2877">
        <v>6</v>
      </c>
    </row>
    <row r="2878" spans="1:11" x14ac:dyDescent="0.35">
      <c r="A2878" t="s">
        <v>2915</v>
      </c>
      <c r="B2878">
        <v>18</v>
      </c>
      <c r="C2878" t="s">
        <v>12</v>
      </c>
      <c r="D2878" t="s">
        <v>13</v>
      </c>
      <c r="E2878">
        <v>24</v>
      </c>
      <c r="F2878" t="s">
        <v>33</v>
      </c>
      <c r="G2878" t="s">
        <v>15</v>
      </c>
      <c r="H2878" s="1">
        <v>347.15</v>
      </c>
      <c r="I2878" t="s">
        <v>24</v>
      </c>
      <c r="J2878">
        <v>1</v>
      </c>
      <c r="K2878">
        <v>5</v>
      </c>
    </row>
    <row r="2879" spans="1:11" x14ac:dyDescent="0.35">
      <c r="A2879" t="s">
        <v>2916</v>
      </c>
      <c r="B2879">
        <v>18</v>
      </c>
      <c r="C2879" t="s">
        <v>12</v>
      </c>
      <c r="D2879" t="s">
        <v>41</v>
      </c>
      <c r="E2879">
        <v>4</v>
      </c>
      <c r="F2879" t="s">
        <v>33</v>
      </c>
      <c r="G2879" t="s">
        <v>34</v>
      </c>
      <c r="H2879" s="1">
        <v>159.88999999999999</v>
      </c>
      <c r="I2879" t="s">
        <v>24</v>
      </c>
      <c r="J2879">
        <v>0</v>
      </c>
      <c r="K2879">
        <v>8</v>
      </c>
    </row>
    <row r="2880" spans="1:11" x14ac:dyDescent="0.35">
      <c r="A2880" t="s">
        <v>2917</v>
      </c>
      <c r="B2880">
        <v>53</v>
      </c>
      <c r="C2880" t="s">
        <v>18</v>
      </c>
      <c r="D2880" t="s">
        <v>30</v>
      </c>
      <c r="E2880">
        <v>14</v>
      </c>
      <c r="F2880" t="s">
        <v>22</v>
      </c>
      <c r="G2880" t="s">
        <v>37</v>
      </c>
      <c r="H2880" s="1">
        <v>191.82</v>
      </c>
      <c r="I2880" t="s">
        <v>24</v>
      </c>
      <c r="J2880">
        <v>1</v>
      </c>
      <c r="K2880">
        <v>8</v>
      </c>
    </row>
    <row r="2881" spans="1:11" x14ac:dyDescent="0.35">
      <c r="A2881" t="s">
        <v>2918</v>
      </c>
      <c r="B2881">
        <v>66</v>
      </c>
      <c r="C2881" t="s">
        <v>18</v>
      </c>
      <c r="D2881" t="s">
        <v>244</v>
      </c>
      <c r="E2881">
        <v>15</v>
      </c>
      <c r="F2881" t="s">
        <v>33</v>
      </c>
      <c r="G2881" t="s">
        <v>23</v>
      </c>
      <c r="H2881" s="1">
        <v>219.17</v>
      </c>
      <c r="I2881" t="s">
        <v>28</v>
      </c>
      <c r="J2881">
        <v>0</v>
      </c>
      <c r="K2881">
        <v>5</v>
      </c>
    </row>
    <row r="2882" spans="1:11" x14ac:dyDescent="0.35">
      <c r="A2882" t="s">
        <v>2919</v>
      </c>
      <c r="B2882">
        <v>68</v>
      </c>
      <c r="C2882" t="s">
        <v>12</v>
      </c>
      <c r="D2882" t="s">
        <v>57</v>
      </c>
      <c r="E2882">
        <v>19</v>
      </c>
      <c r="F2882" t="s">
        <v>33</v>
      </c>
      <c r="G2882" t="s">
        <v>34</v>
      </c>
      <c r="H2882" s="1">
        <v>130.62</v>
      </c>
      <c r="I2882" t="s">
        <v>28</v>
      </c>
      <c r="J2882">
        <v>4</v>
      </c>
      <c r="K2882">
        <v>5</v>
      </c>
    </row>
    <row r="2883" spans="1:11" x14ac:dyDescent="0.35">
      <c r="A2883" t="s">
        <v>2920</v>
      </c>
      <c r="B2883">
        <v>34</v>
      </c>
      <c r="C2883" t="s">
        <v>18</v>
      </c>
      <c r="D2883" t="s">
        <v>41</v>
      </c>
      <c r="E2883">
        <v>5</v>
      </c>
      <c r="F2883" t="s">
        <v>31</v>
      </c>
      <c r="G2883" t="s">
        <v>37</v>
      </c>
      <c r="H2883" s="1">
        <v>106.3</v>
      </c>
      <c r="I2883" t="s">
        <v>24</v>
      </c>
      <c r="J2883">
        <v>0</v>
      </c>
      <c r="K2883">
        <v>7</v>
      </c>
    </row>
    <row r="2884" spans="1:11" x14ac:dyDescent="0.35">
      <c r="A2884" t="s">
        <v>2921</v>
      </c>
      <c r="B2884">
        <v>29</v>
      </c>
      <c r="C2884" t="s">
        <v>12</v>
      </c>
      <c r="D2884" t="s">
        <v>21</v>
      </c>
      <c r="E2884">
        <v>28</v>
      </c>
      <c r="F2884" t="s">
        <v>26</v>
      </c>
      <c r="G2884" t="s">
        <v>37</v>
      </c>
      <c r="H2884" s="1">
        <v>169.84</v>
      </c>
      <c r="I2884" t="s">
        <v>24</v>
      </c>
      <c r="J2884">
        <v>2</v>
      </c>
      <c r="K2884">
        <v>5</v>
      </c>
    </row>
    <row r="2885" spans="1:11" x14ac:dyDescent="0.35">
      <c r="A2885" t="s">
        <v>2922</v>
      </c>
      <c r="B2885">
        <v>39</v>
      </c>
      <c r="C2885" t="s">
        <v>12</v>
      </c>
      <c r="D2885" t="s">
        <v>21</v>
      </c>
      <c r="E2885">
        <v>42</v>
      </c>
      <c r="F2885" t="s">
        <v>22</v>
      </c>
      <c r="G2885" t="s">
        <v>23</v>
      </c>
      <c r="H2885" s="1">
        <v>419.71</v>
      </c>
      <c r="I2885" t="s">
        <v>24</v>
      </c>
      <c r="J2885">
        <v>2</v>
      </c>
      <c r="K2885">
        <v>5</v>
      </c>
    </row>
    <row r="2886" spans="1:11" x14ac:dyDescent="0.35">
      <c r="A2886" t="s">
        <v>2923</v>
      </c>
      <c r="B2886">
        <v>63</v>
      </c>
      <c r="C2886" t="s">
        <v>12</v>
      </c>
      <c r="D2886" t="s">
        <v>41</v>
      </c>
      <c r="E2886">
        <v>14</v>
      </c>
      <c r="F2886" t="s">
        <v>22</v>
      </c>
      <c r="G2886" t="s">
        <v>34</v>
      </c>
      <c r="H2886" s="1">
        <v>177.83</v>
      </c>
      <c r="I2886" t="s">
        <v>28</v>
      </c>
      <c r="J2886">
        <v>1</v>
      </c>
      <c r="K2886">
        <v>8</v>
      </c>
    </row>
    <row r="2887" spans="1:11" x14ac:dyDescent="0.35">
      <c r="A2887" t="s">
        <v>2924</v>
      </c>
      <c r="B2887">
        <v>55</v>
      </c>
      <c r="C2887" t="s">
        <v>18</v>
      </c>
      <c r="D2887" t="s">
        <v>19</v>
      </c>
      <c r="E2887">
        <v>11</v>
      </c>
      <c r="F2887" t="s">
        <v>22</v>
      </c>
      <c r="G2887" t="s">
        <v>15</v>
      </c>
      <c r="H2887" s="1">
        <v>375.62</v>
      </c>
      <c r="I2887" t="s">
        <v>24</v>
      </c>
      <c r="J2887">
        <v>3</v>
      </c>
      <c r="K2887">
        <v>7</v>
      </c>
    </row>
    <row r="2888" spans="1:11" x14ac:dyDescent="0.35">
      <c r="A2888" t="s">
        <v>2925</v>
      </c>
      <c r="B2888">
        <v>72</v>
      </c>
      <c r="C2888" t="s">
        <v>12</v>
      </c>
      <c r="D2888" t="s">
        <v>19</v>
      </c>
      <c r="E2888">
        <v>23</v>
      </c>
      <c r="F2888" t="s">
        <v>33</v>
      </c>
      <c r="G2888" t="s">
        <v>34</v>
      </c>
      <c r="H2888" s="1">
        <v>138.55000000000001</v>
      </c>
      <c r="I2888" t="s">
        <v>24</v>
      </c>
      <c r="J2888">
        <v>3</v>
      </c>
      <c r="K2888">
        <v>3</v>
      </c>
    </row>
    <row r="2889" spans="1:11" x14ac:dyDescent="0.35">
      <c r="A2889" t="s">
        <v>2926</v>
      </c>
      <c r="B2889">
        <v>60</v>
      </c>
      <c r="C2889" t="s">
        <v>12</v>
      </c>
      <c r="D2889" t="s">
        <v>30</v>
      </c>
      <c r="E2889">
        <v>8</v>
      </c>
      <c r="F2889" t="s">
        <v>33</v>
      </c>
      <c r="G2889" t="s">
        <v>34</v>
      </c>
      <c r="H2889" s="1">
        <v>203.02</v>
      </c>
      <c r="I2889" t="s">
        <v>24</v>
      </c>
      <c r="J2889">
        <v>0</v>
      </c>
      <c r="K2889">
        <v>7</v>
      </c>
    </row>
    <row r="2890" spans="1:11" x14ac:dyDescent="0.35">
      <c r="A2890" t="s">
        <v>2927</v>
      </c>
      <c r="B2890">
        <v>57</v>
      </c>
      <c r="C2890" t="s">
        <v>18</v>
      </c>
      <c r="D2890" t="s">
        <v>21</v>
      </c>
      <c r="E2890">
        <v>47</v>
      </c>
      <c r="F2890" t="s">
        <v>14</v>
      </c>
      <c r="G2890" t="s">
        <v>15</v>
      </c>
      <c r="H2890" s="1">
        <v>0</v>
      </c>
      <c r="I2890" t="s">
        <v>16</v>
      </c>
      <c r="J2890">
        <v>1</v>
      </c>
      <c r="K2890">
        <v>5</v>
      </c>
    </row>
    <row r="2891" spans="1:11" x14ac:dyDescent="0.35">
      <c r="A2891" t="s">
        <v>2928</v>
      </c>
      <c r="B2891">
        <v>21</v>
      </c>
      <c r="C2891" t="s">
        <v>12</v>
      </c>
      <c r="D2891" t="s">
        <v>30</v>
      </c>
      <c r="E2891">
        <v>2</v>
      </c>
      <c r="F2891" t="s">
        <v>31</v>
      </c>
      <c r="G2891" t="s">
        <v>23</v>
      </c>
      <c r="H2891" s="1">
        <v>429.27</v>
      </c>
      <c r="I2891" t="s">
        <v>24</v>
      </c>
      <c r="J2891">
        <v>0</v>
      </c>
      <c r="K2891">
        <v>7</v>
      </c>
    </row>
    <row r="2892" spans="1:11" x14ac:dyDescent="0.35">
      <c r="A2892" t="s">
        <v>2929</v>
      </c>
      <c r="B2892">
        <v>59</v>
      </c>
      <c r="C2892" t="s">
        <v>12</v>
      </c>
      <c r="D2892" t="s">
        <v>30</v>
      </c>
      <c r="E2892">
        <v>9</v>
      </c>
      <c r="F2892" t="s">
        <v>22</v>
      </c>
      <c r="G2892" t="s">
        <v>34</v>
      </c>
      <c r="H2892" s="1">
        <v>105.2</v>
      </c>
      <c r="I2892" t="s">
        <v>24</v>
      </c>
      <c r="J2892">
        <v>2</v>
      </c>
      <c r="K2892">
        <v>6</v>
      </c>
    </row>
    <row r="2893" spans="1:11" x14ac:dyDescent="0.35">
      <c r="A2893" t="s">
        <v>2930</v>
      </c>
      <c r="B2893">
        <v>51</v>
      </c>
      <c r="C2893" t="s">
        <v>12</v>
      </c>
      <c r="D2893" t="s">
        <v>30</v>
      </c>
      <c r="E2893">
        <v>12</v>
      </c>
      <c r="F2893" t="s">
        <v>22</v>
      </c>
      <c r="G2893" t="s">
        <v>37</v>
      </c>
      <c r="H2893" s="1">
        <v>148.32</v>
      </c>
      <c r="I2893" t="s">
        <v>28</v>
      </c>
      <c r="J2893">
        <v>0</v>
      </c>
      <c r="K2893">
        <v>4</v>
      </c>
    </row>
    <row r="2894" spans="1:11" x14ac:dyDescent="0.35">
      <c r="A2894" t="s">
        <v>2931</v>
      </c>
      <c r="B2894">
        <v>79</v>
      </c>
      <c r="C2894" t="s">
        <v>18</v>
      </c>
      <c r="D2894" t="s">
        <v>120</v>
      </c>
      <c r="E2894">
        <v>24</v>
      </c>
      <c r="F2894" t="s">
        <v>22</v>
      </c>
      <c r="G2894" t="s">
        <v>34</v>
      </c>
      <c r="H2894" s="1">
        <v>109.13</v>
      </c>
      <c r="I2894" t="s">
        <v>24</v>
      </c>
      <c r="J2894">
        <v>3</v>
      </c>
      <c r="K2894">
        <v>3</v>
      </c>
    </row>
    <row r="2895" spans="1:11" x14ac:dyDescent="0.35">
      <c r="A2895" t="s">
        <v>2932</v>
      </c>
      <c r="B2895">
        <v>25</v>
      </c>
      <c r="C2895" t="s">
        <v>12</v>
      </c>
      <c r="D2895" t="s">
        <v>19</v>
      </c>
      <c r="E2895">
        <v>13</v>
      </c>
      <c r="F2895" t="s">
        <v>31</v>
      </c>
      <c r="G2895" t="s">
        <v>23</v>
      </c>
      <c r="H2895" s="1">
        <v>167.4</v>
      </c>
      <c r="I2895" t="s">
        <v>24</v>
      </c>
      <c r="J2895">
        <v>1</v>
      </c>
      <c r="K2895">
        <v>8</v>
      </c>
    </row>
    <row r="2896" spans="1:11" x14ac:dyDescent="0.35">
      <c r="A2896" t="s">
        <v>2933</v>
      </c>
      <c r="B2896">
        <v>74</v>
      </c>
      <c r="C2896" t="s">
        <v>12</v>
      </c>
      <c r="D2896" t="s">
        <v>19</v>
      </c>
      <c r="E2896">
        <v>6</v>
      </c>
      <c r="F2896" t="s">
        <v>14</v>
      </c>
      <c r="G2896" t="s">
        <v>15</v>
      </c>
      <c r="H2896" s="1">
        <v>0</v>
      </c>
      <c r="I2896" t="s">
        <v>16</v>
      </c>
      <c r="J2896">
        <v>2</v>
      </c>
      <c r="K2896">
        <v>7</v>
      </c>
    </row>
    <row r="2897" spans="1:11" x14ac:dyDescent="0.35">
      <c r="A2897" t="s">
        <v>2934</v>
      </c>
      <c r="B2897">
        <v>48</v>
      </c>
      <c r="C2897" t="s">
        <v>12</v>
      </c>
      <c r="D2897" t="s">
        <v>30</v>
      </c>
      <c r="E2897">
        <v>2</v>
      </c>
      <c r="F2897" t="s">
        <v>33</v>
      </c>
      <c r="G2897" t="s">
        <v>27</v>
      </c>
      <c r="H2897" s="1">
        <v>131.81</v>
      </c>
      <c r="I2897" t="s">
        <v>24</v>
      </c>
      <c r="J2897">
        <v>2</v>
      </c>
      <c r="K2897">
        <v>7</v>
      </c>
    </row>
    <row r="2898" spans="1:11" x14ac:dyDescent="0.35">
      <c r="A2898" t="s">
        <v>2935</v>
      </c>
      <c r="B2898">
        <v>53</v>
      </c>
      <c r="C2898" t="s">
        <v>18</v>
      </c>
      <c r="D2898" t="s">
        <v>13</v>
      </c>
      <c r="E2898">
        <v>22</v>
      </c>
      <c r="F2898" t="s">
        <v>31</v>
      </c>
      <c r="G2898" t="s">
        <v>27</v>
      </c>
      <c r="H2898" s="1">
        <v>137.78</v>
      </c>
      <c r="I2898" t="s">
        <v>24</v>
      </c>
      <c r="J2898">
        <v>1</v>
      </c>
      <c r="K2898">
        <v>2</v>
      </c>
    </row>
    <row r="2899" spans="1:11" x14ac:dyDescent="0.35">
      <c r="A2899" t="s">
        <v>2936</v>
      </c>
      <c r="B2899">
        <v>34</v>
      </c>
      <c r="C2899" t="s">
        <v>12</v>
      </c>
      <c r="D2899" t="s">
        <v>19</v>
      </c>
      <c r="E2899">
        <v>11</v>
      </c>
      <c r="F2899" t="s">
        <v>31</v>
      </c>
      <c r="G2899" t="s">
        <v>15</v>
      </c>
      <c r="H2899" s="1">
        <v>298.70999999999998</v>
      </c>
      <c r="I2899" t="s">
        <v>24</v>
      </c>
      <c r="J2899">
        <v>3</v>
      </c>
      <c r="K2899">
        <v>6</v>
      </c>
    </row>
    <row r="2900" spans="1:11" x14ac:dyDescent="0.35">
      <c r="A2900" t="s">
        <v>2937</v>
      </c>
      <c r="B2900">
        <v>48</v>
      </c>
      <c r="C2900" t="s">
        <v>18</v>
      </c>
      <c r="D2900" t="s">
        <v>13</v>
      </c>
      <c r="E2900">
        <v>13</v>
      </c>
      <c r="F2900" t="s">
        <v>33</v>
      </c>
      <c r="G2900" t="s">
        <v>27</v>
      </c>
      <c r="H2900" s="1">
        <v>23.32</v>
      </c>
      <c r="I2900" t="s">
        <v>24</v>
      </c>
      <c r="J2900">
        <v>2</v>
      </c>
      <c r="K2900">
        <v>8</v>
      </c>
    </row>
    <row r="2901" spans="1:11" x14ac:dyDescent="0.35">
      <c r="A2901" t="s">
        <v>2938</v>
      </c>
      <c r="B2901">
        <v>60</v>
      </c>
      <c r="C2901" t="s">
        <v>12</v>
      </c>
      <c r="D2901" t="s">
        <v>30</v>
      </c>
      <c r="E2901">
        <v>9</v>
      </c>
      <c r="F2901" t="s">
        <v>33</v>
      </c>
      <c r="G2901" t="s">
        <v>27</v>
      </c>
      <c r="H2901" s="1">
        <v>67.78</v>
      </c>
      <c r="I2901" t="s">
        <v>28</v>
      </c>
      <c r="J2901">
        <v>3</v>
      </c>
      <c r="K2901">
        <v>5</v>
      </c>
    </row>
    <row r="2902" spans="1:11" x14ac:dyDescent="0.35">
      <c r="A2902" t="s">
        <v>2939</v>
      </c>
      <c r="B2902">
        <v>71</v>
      </c>
      <c r="C2902" t="s">
        <v>18</v>
      </c>
      <c r="D2902" t="s">
        <v>19</v>
      </c>
      <c r="E2902">
        <v>19</v>
      </c>
      <c r="F2902" t="s">
        <v>33</v>
      </c>
      <c r="G2902" t="s">
        <v>37</v>
      </c>
      <c r="H2902" s="1">
        <v>156.86000000000001</v>
      </c>
      <c r="I2902" t="s">
        <v>24</v>
      </c>
      <c r="J2902">
        <v>2</v>
      </c>
      <c r="K2902">
        <v>3</v>
      </c>
    </row>
    <row r="2903" spans="1:11" x14ac:dyDescent="0.35">
      <c r="A2903" t="s">
        <v>2940</v>
      </c>
      <c r="B2903">
        <v>20</v>
      </c>
      <c r="C2903" t="s">
        <v>12</v>
      </c>
      <c r="D2903" t="s">
        <v>19</v>
      </c>
      <c r="E2903">
        <v>6</v>
      </c>
      <c r="F2903" t="s">
        <v>33</v>
      </c>
      <c r="G2903" t="s">
        <v>34</v>
      </c>
      <c r="H2903" s="1">
        <v>188.74</v>
      </c>
      <c r="I2903" t="s">
        <v>24</v>
      </c>
      <c r="J2903">
        <v>1</v>
      </c>
      <c r="K2903">
        <v>9</v>
      </c>
    </row>
    <row r="2904" spans="1:11" x14ac:dyDescent="0.35">
      <c r="A2904" t="s">
        <v>2941</v>
      </c>
      <c r="B2904">
        <v>48</v>
      </c>
      <c r="C2904" t="s">
        <v>12</v>
      </c>
      <c r="D2904" t="s">
        <v>19</v>
      </c>
      <c r="E2904">
        <v>12</v>
      </c>
      <c r="F2904" t="s">
        <v>22</v>
      </c>
      <c r="G2904" t="s">
        <v>34</v>
      </c>
      <c r="H2904" s="1">
        <v>176.66</v>
      </c>
      <c r="I2904" t="s">
        <v>43</v>
      </c>
      <c r="J2904">
        <v>1</v>
      </c>
      <c r="K2904">
        <v>6</v>
      </c>
    </row>
    <row r="2905" spans="1:11" x14ac:dyDescent="0.35">
      <c r="A2905" t="s">
        <v>2942</v>
      </c>
      <c r="B2905">
        <v>75</v>
      </c>
      <c r="C2905" t="s">
        <v>18</v>
      </c>
      <c r="D2905" t="s">
        <v>120</v>
      </c>
      <c r="E2905">
        <v>40</v>
      </c>
      <c r="F2905" t="s">
        <v>14</v>
      </c>
      <c r="G2905" t="s">
        <v>27</v>
      </c>
      <c r="H2905" s="1">
        <v>0</v>
      </c>
      <c r="I2905" t="s">
        <v>16</v>
      </c>
      <c r="J2905">
        <v>2</v>
      </c>
      <c r="K2905">
        <v>4</v>
      </c>
    </row>
    <row r="2906" spans="1:11" x14ac:dyDescent="0.35">
      <c r="A2906" t="s">
        <v>2943</v>
      </c>
      <c r="B2906">
        <v>31</v>
      </c>
      <c r="C2906" t="s">
        <v>12</v>
      </c>
      <c r="D2906" t="s">
        <v>21</v>
      </c>
      <c r="E2906">
        <v>26</v>
      </c>
      <c r="F2906" t="s">
        <v>31</v>
      </c>
      <c r="G2906" t="s">
        <v>23</v>
      </c>
      <c r="H2906" s="1">
        <v>232.85</v>
      </c>
      <c r="I2906" t="s">
        <v>24</v>
      </c>
      <c r="J2906">
        <v>0</v>
      </c>
      <c r="K2906">
        <v>5</v>
      </c>
    </row>
    <row r="2907" spans="1:11" x14ac:dyDescent="0.35">
      <c r="A2907" t="s">
        <v>2944</v>
      </c>
      <c r="B2907">
        <v>56</v>
      </c>
      <c r="C2907" t="s">
        <v>12</v>
      </c>
      <c r="D2907" t="s">
        <v>200</v>
      </c>
      <c r="E2907">
        <v>14</v>
      </c>
      <c r="F2907" t="s">
        <v>26</v>
      </c>
      <c r="G2907" t="s">
        <v>23</v>
      </c>
      <c r="H2907" s="1">
        <v>246.68</v>
      </c>
      <c r="I2907" t="s">
        <v>24</v>
      </c>
      <c r="J2907">
        <v>2</v>
      </c>
      <c r="K2907">
        <v>5</v>
      </c>
    </row>
    <row r="2908" spans="1:11" x14ac:dyDescent="0.35">
      <c r="A2908" t="s">
        <v>2945</v>
      </c>
      <c r="B2908">
        <v>65</v>
      </c>
      <c r="C2908" t="s">
        <v>18</v>
      </c>
      <c r="D2908" t="s">
        <v>21</v>
      </c>
      <c r="E2908">
        <v>46</v>
      </c>
      <c r="F2908" t="s">
        <v>22</v>
      </c>
      <c r="G2908" t="s">
        <v>27</v>
      </c>
      <c r="H2908" s="1">
        <v>25.08</v>
      </c>
      <c r="I2908" t="s">
        <v>24</v>
      </c>
      <c r="J2908">
        <v>3</v>
      </c>
      <c r="K2908">
        <v>2</v>
      </c>
    </row>
    <row r="2909" spans="1:11" x14ac:dyDescent="0.35">
      <c r="A2909" t="s">
        <v>2946</v>
      </c>
      <c r="B2909">
        <v>74</v>
      </c>
      <c r="C2909" t="s">
        <v>12</v>
      </c>
      <c r="D2909" t="s">
        <v>19</v>
      </c>
      <c r="E2909">
        <v>20</v>
      </c>
      <c r="F2909" t="s">
        <v>22</v>
      </c>
      <c r="G2909" t="s">
        <v>15</v>
      </c>
      <c r="H2909" s="1">
        <v>434.4</v>
      </c>
      <c r="I2909" t="s">
        <v>24</v>
      </c>
      <c r="J2909">
        <v>2</v>
      </c>
      <c r="K2909">
        <v>1</v>
      </c>
    </row>
    <row r="2910" spans="1:11" x14ac:dyDescent="0.35">
      <c r="A2910" t="s">
        <v>2947</v>
      </c>
      <c r="B2910">
        <v>38</v>
      </c>
      <c r="C2910" t="s">
        <v>12</v>
      </c>
      <c r="D2910" t="s">
        <v>21</v>
      </c>
      <c r="E2910">
        <v>12</v>
      </c>
      <c r="F2910" t="s">
        <v>31</v>
      </c>
      <c r="G2910" t="s">
        <v>15</v>
      </c>
      <c r="H2910" s="1">
        <v>356.45</v>
      </c>
      <c r="I2910" t="s">
        <v>24</v>
      </c>
      <c r="J2910">
        <v>3</v>
      </c>
      <c r="K2910">
        <v>6</v>
      </c>
    </row>
    <row r="2911" spans="1:11" x14ac:dyDescent="0.35">
      <c r="A2911" t="s">
        <v>2948</v>
      </c>
      <c r="B2911">
        <v>28</v>
      </c>
      <c r="C2911" t="s">
        <v>18</v>
      </c>
      <c r="D2911" t="s">
        <v>21</v>
      </c>
      <c r="E2911">
        <v>22</v>
      </c>
      <c r="F2911" t="s">
        <v>31</v>
      </c>
      <c r="G2911" t="s">
        <v>37</v>
      </c>
      <c r="H2911" s="1">
        <v>148.63</v>
      </c>
      <c r="I2911" t="s">
        <v>28</v>
      </c>
      <c r="J2911">
        <v>2</v>
      </c>
      <c r="K2911">
        <v>4</v>
      </c>
    </row>
    <row r="2912" spans="1:11" x14ac:dyDescent="0.35">
      <c r="A2912" t="s">
        <v>2949</v>
      </c>
      <c r="B2912">
        <v>72</v>
      </c>
      <c r="C2912" t="s">
        <v>12</v>
      </c>
      <c r="D2912" t="s">
        <v>19</v>
      </c>
      <c r="E2912">
        <v>8</v>
      </c>
      <c r="F2912" t="s">
        <v>22</v>
      </c>
      <c r="G2912" t="s">
        <v>23</v>
      </c>
      <c r="H2912" s="1">
        <v>479.14</v>
      </c>
      <c r="I2912" t="s">
        <v>43</v>
      </c>
      <c r="J2912">
        <v>2</v>
      </c>
      <c r="K2912">
        <v>8</v>
      </c>
    </row>
    <row r="2913" spans="1:11" x14ac:dyDescent="0.35">
      <c r="A2913" t="s">
        <v>2950</v>
      </c>
      <c r="B2913">
        <v>70</v>
      </c>
      <c r="C2913" t="s">
        <v>12</v>
      </c>
      <c r="D2913" t="s">
        <v>30</v>
      </c>
      <c r="E2913">
        <v>4</v>
      </c>
      <c r="F2913" t="s">
        <v>22</v>
      </c>
      <c r="G2913" t="s">
        <v>15</v>
      </c>
      <c r="H2913" s="1">
        <v>171.88</v>
      </c>
      <c r="I2913" t="s">
        <v>43</v>
      </c>
      <c r="J2913">
        <v>2</v>
      </c>
      <c r="K2913">
        <v>9</v>
      </c>
    </row>
    <row r="2914" spans="1:11" x14ac:dyDescent="0.35">
      <c r="A2914" t="s">
        <v>2951</v>
      </c>
      <c r="B2914">
        <v>63</v>
      </c>
      <c r="C2914" t="s">
        <v>12</v>
      </c>
      <c r="D2914" t="s">
        <v>41</v>
      </c>
      <c r="E2914">
        <v>2</v>
      </c>
      <c r="F2914" t="s">
        <v>22</v>
      </c>
      <c r="G2914" t="s">
        <v>34</v>
      </c>
      <c r="H2914" s="1">
        <v>187.75</v>
      </c>
      <c r="I2914" t="s">
        <v>24</v>
      </c>
      <c r="J2914">
        <v>1</v>
      </c>
      <c r="K2914">
        <v>8</v>
      </c>
    </row>
    <row r="2915" spans="1:11" x14ac:dyDescent="0.35">
      <c r="A2915" t="s">
        <v>2952</v>
      </c>
      <c r="B2915">
        <v>40</v>
      </c>
      <c r="C2915" t="s">
        <v>12</v>
      </c>
      <c r="D2915" t="s">
        <v>19</v>
      </c>
      <c r="E2915">
        <v>19</v>
      </c>
      <c r="F2915" t="s">
        <v>22</v>
      </c>
      <c r="G2915" t="s">
        <v>27</v>
      </c>
      <c r="H2915" s="1">
        <v>152.61000000000001</v>
      </c>
      <c r="I2915" t="s">
        <v>24</v>
      </c>
      <c r="J2915">
        <v>2</v>
      </c>
      <c r="K2915">
        <v>5</v>
      </c>
    </row>
    <row r="2916" spans="1:11" x14ac:dyDescent="0.35">
      <c r="A2916" t="s">
        <v>2953</v>
      </c>
      <c r="B2916">
        <v>28</v>
      </c>
      <c r="C2916" t="s">
        <v>12</v>
      </c>
      <c r="D2916" t="s">
        <v>21</v>
      </c>
      <c r="E2916">
        <v>30</v>
      </c>
      <c r="F2916" t="s">
        <v>14</v>
      </c>
      <c r="G2916" t="s">
        <v>27</v>
      </c>
      <c r="H2916" s="1">
        <v>0</v>
      </c>
      <c r="I2916" t="s">
        <v>16</v>
      </c>
      <c r="J2916">
        <v>4</v>
      </c>
      <c r="K2916">
        <v>1</v>
      </c>
    </row>
    <row r="2917" spans="1:11" x14ac:dyDescent="0.35">
      <c r="A2917" t="s">
        <v>2954</v>
      </c>
      <c r="B2917">
        <v>24</v>
      </c>
      <c r="C2917" t="s">
        <v>18</v>
      </c>
      <c r="D2917" t="s">
        <v>21</v>
      </c>
      <c r="E2917">
        <v>22</v>
      </c>
      <c r="F2917" t="s">
        <v>33</v>
      </c>
      <c r="G2917" t="s">
        <v>15</v>
      </c>
      <c r="H2917" s="1">
        <v>166.19</v>
      </c>
      <c r="I2917" t="s">
        <v>24</v>
      </c>
      <c r="J2917">
        <v>0</v>
      </c>
      <c r="K2917">
        <v>4</v>
      </c>
    </row>
    <row r="2918" spans="1:11" x14ac:dyDescent="0.35">
      <c r="A2918" t="s">
        <v>2955</v>
      </c>
      <c r="B2918">
        <v>24</v>
      </c>
      <c r="C2918" t="s">
        <v>12</v>
      </c>
      <c r="D2918" t="s">
        <v>19</v>
      </c>
      <c r="E2918">
        <v>18</v>
      </c>
      <c r="F2918" t="s">
        <v>22</v>
      </c>
      <c r="G2918" t="s">
        <v>37</v>
      </c>
      <c r="H2918" s="1">
        <v>104.13</v>
      </c>
      <c r="I2918" t="s">
        <v>24</v>
      </c>
      <c r="J2918">
        <v>1</v>
      </c>
      <c r="K2918">
        <v>4</v>
      </c>
    </row>
    <row r="2919" spans="1:11" x14ac:dyDescent="0.35">
      <c r="A2919" t="s">
        <v>2956</v>
      </c>
      <c r="B2919">
        <v>18</v>
      </c>
      <c r="C2919" t="s">
        <v>18</v>
      </c>
      <c r="D2919" t="s">
        <v>19</v>
      </c>
      <c r="E2919">
        <v>12</v>
      </c>
      <c r="F2919" t="s">
        <v>33</v>
      </c>
      <c r="G2919" t="s">
        <v>34</v>
      </c>
      <c r="H2919" s="1">
        <v>174.5</v>
      </c>
      <c r="I2919" t="s">
        <v>24</v>
      </c>
      <c r="J2919">
        <v>0</v>
      </c>
      <c r="K2919">
        <v>8</v>
      </c>
    </row>
    <row r="2920" spans="1:11" x14ac:dyDescent="0.35">
      <c r="A2920" t="s">
        <v>2957</v>
      </c>
      <c r="B2920">
        <v>82</v>
      </c>
      <c r="C2920" t="s">
        <v>12</v>
      </c>
      <c r="D2920" t="s">
        <v>19</v>
      </c>
      <c r="E2920">
        <v>8</v>
      </c>
      <c r="F2920" t="s">
        <v>31</v>
      </c>
      <c r="G2920" t="s">
        <v>15</v>
      </c>
      <c r="H2920" s="1">
        <v>399.94</v>
      </c>
      <c r="I2920" t="s">
        <v>24</v>
      </c>
      <c r="J2920">
        <v>0</v>
      </c>
      <c r="K2920">
        <v>10</v>
      </c>
    </row>
    <row r="2921" spans="1:11" x14ac:dyDescent="0.35">
      <c r="A2921" t="s">
        <v>2958</v>
      </c>
      <c r="B2921">
        <v>72</v>
      </c>
      <c r="C2921" t="s">
        <v>18</v>
      </c>
      <c r="D2921" t="s">
        <v>19</v>
      </c>
      <c r="E2921">
        <v>23</v>
      </c>
      <c r="F2921" t="s">
        <v>33</v>
      </c>
      <c r="G2921" t="s">
        <v>15</v>
      </c>
      <c r="H2921" s="1">
        <v>92.98</v>
      </c>
      <c r="I2921" t="s">
        <v>24</v>
      </c>
      <c r="J2921">
        <v>3</v>
      </c>
      <c r="K2921">
        <v>2</v>
      </c>
    </row>
    <row r="2922" spans="1:11" x14ac:dyDescent="0.35">
      <c r="A2922" t="s">
        <v>2959</v>
      </c>
      <c r="B2922">
        <v>47</v>
      </c>
      <c r="C2922" t="s">
        <v>12</v>
      </c>
      <c r="D2922" t="s">
        <v>120</v>
      </c>
      <c r="E2922">
        <v>19</v>
      </c>
      <c r="F2922" t="s">
        <v>22</v>
      </c>
      <c r="G2922" t="s">
        <v>27</v>
      </c>
      <c r="H2922" s="1">
        <v>39.39</v>
      </c>
      <c r="I2922" t="s">
        <v>24</v>
      </c>
      <c r="J2922">
        <v>2</v>
      </c>
      <c r="K2922">
        <v>4</v>
      </c>
    </row>
    <row r="2923" spans="1:11" x14ac:dyDescent="0.35">
      <c r="A2923" t="s">
        <v>2960</v>
      </c>
      <c r="B2923">
        <v>47</v>
      </c>
      <c r="C2923" t="s">
        <v>12</v>
      </c>
      <c r="D2923" t="s">
        <v>30</v>
      </c>
      <c r="E2923">
        <v>5</v>
      </c>
      <c r="F2923" t="s">
        <v>14</v>
      </c>
      <c r="G2923" t="s">
        <v>37</v>
      </c>
      <c r="H2923" s="1">
        <v>0</v>
      </c>
      <c r="I2923" t="s">
        <v>16</v>
      </c>
      <c r="J2923">
        <v>0</v>
      </c>
      <c r="K2923">
        <v>9</v>
      </c>
    </row>
    <row r="2924" spans="1:11" x14ac:dyDescent="0.35">
      <c r="A2924" t="s">
        <v>2961</v>
      </c>
      <c r="B2924">
        <v>18</v>
      </c>
      <c r="C2924" t="s">
        <v>12</v>
      </c>
      <c r="D2924" t="s">
        <v>21</v>
      </c>
      <c r="E2924">
        <v>28</v>
      </c>
      <c r="F2924" t="s">
        <v>33</v>
      </c>
      <c r="G2924" t="s">
        <v>34</v>
      </c>
      <c r="H2924" s="1">
        <v>212.58</v>
      </c>
      <c r="I2924" t="s">
        <v>24</v>
      </c>
      <c r="J2924">
        <v>2</v>
      </c>
      <c r="K2924">
        <v>2</v>
      </c>
    </row>
    <row r="2925" spans="1:11" x14ac:dyDescent="0.35">
      <c r="A2925" t="s">
        <v>2962</v>
      </c>
      <c r="B2925">
        <v>60</v>
      </c>
      <c r="C2925" t="s">
        <v>12</v>
      </c>
      <c r="D2925" t="s">
        <v>21</v>
      </c>
      <c r="E2925">
        <v>17</v>
      </c>
      <c r="F2925" t="s">
        <v>31</v>
      </c>
      <c r="G2925" t="s">
        <v>15</v>
      </c>
      <c r="H2925" s="1">
        <v>335.19</v>
      </c>
      <c r="I2925" t="s">
        <v>24</v>
      </c>
      <c r="J2925">
        <v>0</v>
      </c>
      <c r="K2925">
        <v>6</v>
      </c>
    </row>
    <row r="2926" spans="1:11" x14ac:dyDescent="0.35">
      <c r="A2926" t="s">
        <v>2963</v>
      </c>
      <c r="B2926">
        <v>41</v>
      </c>
      <c r="C2926" t="s">
        <v>18</v>
      </c>
      <c r="D2926" t="s">
        <v>19</v>
      </c>
      <c r="E2926">
        <v>10</v>
      </c>
      <c r="F2926" t="s">
        <v>33</v>
      </c>
      <c r="G2926" t="s">
        <v>27</v>
      </c>
      <c r="H2926" s="1">
        <v>37.69</v>
      </c>
      <c r="I2926" t="s">
        <v>24</v>
      </c>
      <c r="J2926">
        <v>1</v>
      </c>
      <c r="K2926">
        <v>8</v>
      </c>
    </row>
    <row r="2927" spans="1:11" x14ac:dyDescent="0.35">
      <c r="A2927" t="s">
        <v>2964</v>
      </c>
      <c r="B2927">
        <v>66</v>
      </c>
      <c r="C2927" t="s">
        <v>12</v>
      </c>
      <c r="D2927" t="s">
        <v>13</v>
      </c>
      <c r="E2927">
        <v>21</v>
      </c>
      <c r="F2927" t="s">
        <v>31</v>
      </c>
      <c r="G2927" t="s">
        <v>37</v>
      </c>
      <c r="H2927" s="1">
        <v>156.38</v>
      </c>
      <c r="I2927" t="s">
        <v>43</v>
      </c>
      <c r="J2927">
        <v>3</v>
      </c>
      <c r="K2927">
        <v>2</v>
      </c>
    </row>
    <row r="2928" spans="1:11" x14ac:dyDescent="0.35">
      <c r="A2928" t="s">
        <v>2965</v>
      </c>
      <c r="B2928">
        <v>81</v>
      </c>
      <c r="C2928" t="s">
        <v>18</v>
      </c>
      <c r="D2928" t="s">
        <v>19</v>
      </c>
      <c r="E2928">
        <v>18</v>
      </c>
      <c r="F2928" t="s">
        <v>14</v>
      </c>
      <c r="G2928" t="s">
        <v>23</v>
      </c>
      <c r="H2928" s="1">
        <v>0</v>
      </c>
      <c r="I2928" t="s">
        <v>16</v>
      </c>
      <c r="J2928">
        <v>0</v>
      </c>
      <c r="K2928">
        <v>4</v>
      </c>
    </row>
    <row r="2929" spans="1:11" x14ac:dyDescent="0.35">
      <c r="A2929" t="s">
        <v>2966</v>
      </c>
      <c r="B2929">
        <v>55</v>
      </c>
      <c r="C2929" t="s">
        <v>18</v>
      </c>
      <c r="D2929" t="s">
        <v>47</v>
      </c>
      <c r="E2929">
        <v>12</v>
      </c>
      <c r="F2929" t="s">
        <v>33</v>
      </c>
      <c r="G2929" t="s">
        <v>15</v>
      </c>
      <c r="H2929" s="1">
        <v>432.84</v>
      </c>
      <c r="I2929" t="s">
        <v>24</v>
      </c>
      <c r="J2929">
        <v>3</v>
      </c>
      <c r="K2929">
        <v>4</v>
      </c>
    </row>
    <row r="2930" spans="1:11" x14ac:dyDescent="0.35">
      <c r="A2930" t="s">
        <v>2967</v>
      </c>
      <c r="B2930">
        <v>19</v>
      </c>
      <c r="C2930" t="s">
        <v>12</v>
      </c>
      <c r="D2930" t="s">
        <v>47</v>
      </c>
      <c r="E2930">
        <v>3</v>
      </c>
      <c r="F2930" t="s">
        <v>31</v>
      </c>
      <c r="G2930" t="s">
        <v>23</v>
      </c>
      <c r="H2930" s="1">
        <v>87.5</v>
      </c>
      <c r="I2930" t="s">
        <v>24</v>
      </c>
      <c r="J2930">
        <v>0</v>
      </c>
      <c r="K2930">
        <v>9</v>
      </c>
    </row>
    <row r="2931" spans="1:11" x14ac:dyDescent="0.35">
      <c r="A2931" t="s">
        <v>2968</v>
      </c>
      <c r="B2931">
        <v>36</v>
      </c>
      <c r="C2931" t="s">
        <v>18</v>
      </c>
      <c r="D2931" t="s">
        <v>19</v>
      </c>
      <c r="E2931">
        <v>6</v>
      </c>
      <c r="F2931" t="s">
        <v>22</v>
      </c>
      <c r="G2931" t="s">
        <v>15</v>
      </c>
      <c r="H2931" s="1">
        <v>140.83000000000001</v>
      </c>
      <c r="I2931" t="s">
        <v>24</v>
      </c>
      <c r="J2931">
        <v>1</v>
      </c>
      <c r="K2931">
        <v>9</v>
      </c>
    </row>
    <row r="2932" spans="1:11" x14ac:dyDescent="0.35">
      <c r="A2932" t="s">
        <v>2969</v>
      </c>
      <c r="B2932">
        <v>23</v>
      </c>
      <c r="C2932" t="s">
        <v>12</v>
      </c>
      <c r="D2932" t="s">
        <v>19</v>
      </c>
      <c r="E2932">
        <v>8</v>
      </c>
      <c r="F2932" t="s">
        <v>22</v>
      </c>
      <c r="G2932" t="s">
        <v>27</v>
      </c>
      <c r="H2932" s="1">
        <v>54.47</v>
      </c>
      <c r="I2932" t="s">
        <v>24</v>
      </c>
      <c r="J2932">
        <v>1</v>
      </c>
      <c r="K2932">
        <v>9</v>
      </c>
    </row>
    <row r="2933" spans="1:11" x14ac:dyDescent="0.35">
      <c r="A2933" t="s">
        <v>2970</v>
      </c>
      <c r="B2933">
        <v>47</v>
      </c>
      <c r="C2933" t="s">
        <v>18</v>
      </c>
      <c r="D2933" t="s">
        <v>19</v>
      </c>
      <c r="E2933">
        <v>23</v>
      </c>
      <c r="F2933" t="s">
        <v>33</v>
      </c>
      <c r="G2933" t="s">
        <v>23</v>
      </c>
      <c r="H2933" s="1">
        <v>493.57</v>
      </c>
      <c r="I2933" t="s">
        <v>24</v>
      </c>
      <c r="J2933">
        <v>1</v>
      </c>
      <c r="K2933">
        <v>3</v>
      </c>
    </row>
    <row r="2934" spans="1:11" x14ac:dyDescent="0.35">
      <c r="A2934" t="s">
        <v>2971</v>
      </c>
      <c r="B2934">
        <v>58</v>
      </c>
      <c r="C2934" t="s">
        <v>12</v>
      </c>
      <c r="D2934" t="s">
        <v>57</v>
      </c>
      <c r="E2934">
        <v>13</v>
      </c>
      <c r="F2934" t="s">
        <v>14</v>
      </c>
      <c r="G2934" t="s">
        <v>34</v>
      </c>
      <c r="H2934" s="1">
        <v>0</v>
      </c>
      <c r="I2934" t="s">
        <v>16</v>
      </c>
      <c r="J2934">
        <v>0</v>
      </c>
      <c r="K2934">
        <v>7</v>
      </c>
    </row>
    <row r="2935" spans="1:11" x14ac:dyDescent="0.35">
      <c r="A2935" t="s">
        <v>2972</v>
      </c>
      <c r="B2935">
        <v>62</v>
      </c>
      <c r="C2935" t="s">
        <v>12</v>
      </c>
      <c r="D2935" t="s">
        <v>30</v>
      </c>
      <c r="E2935">
        <v>13</v>
      </c>
      <c r="F2935" t="s">
        <v>33</v>
      </c>
      <c r="G2935" t="s">
        <v>23</v>
      </c>
      <c r="H2935" s="1">
        <v>391.85</v>
      </c>
      <c r="I2935" t="s">
        <v>24</v>
      </c>
      <c r="J2935">
        <v>2</v>
      </c>
      <c r="K2935">
        <v>6</v>
      </c>
    </row>
    <row r="2936" spans="1:11" x14ac:dyDescent="0.35">
      <c r="A2936" t="s">
        <v>2973</v>
      </c>
      <c r="B2936">
        <v>22</v>
      </c>
      <c r="C2936" t="s">
        <v>18</v>
      </c>
      <c r="D2936" t="s">
        <v>30</v>
      </c>
      <c r="E2936">
        <v>4</v>
      </c>
      <c r="F2936" t="s">
        <v>31</v>
      </c>
      <c r="G2936" t="s">
        <v>23</v>
      </c>
      <c r="H2936" s="1">
        <v>264.22000000000003</v>
      </c>
      <c r="I2936" t="s">
        <v>24</v>
      </c>
      <c r="J2936">
        <v>0</v>
      </c>
      <c r="K2936">
        <v>8</v>
      </c>
    </row>
    <row r="2937" spans="1:11" x14ac:dyDescent="0.35">
      <c r="A2937" t="s">
        <v>2974</v>
      </c>
      <c r="B2937">
        <v>78</v>
      </c>
      <c r="C2937" t="s">
        <v>18</v>
      </c>
      <c r="D2937" t="s">
        <v>19</v>
      </c>
      <c r="E2937">
        <v>8</v>
      </c>
      <c r="F2937" t="s">
        <v>31</v>
      </c>
      <c r="G2937" t="s">
        <v>37</v>
      </c>
      <c r="H2937" s="1">
        <v>205.24</v>
      </c>
      <c r="I2937" t="s">
        <v>24</v>
      </c>
      <c r="J2937">
        <v>0</v>
      </c>
      <c r="K2937">
        <v>8</v>
      </c>
    </row>
    <row r="2938" spans="1:11" x14ac:dyDescent="0.35">
      <c r="A2938" t="s">
        <v>2975</v>
      </c>
      <c r="B2938">
        <v>65</v>
      </c>
      <c r="C2938" t="s">
        <v>12</v>
      </c>
      <c r="D2938" t="s">
        <v>21</v>
      </c>
      <c r="E2938">
        <v>17</v>
      </c>
      <c r="F2938" t="s">
        <v>26</v>
      </c>
      <c r="G2938" t="s">
        <v>15</v>
      </c>
      <c r="H2938" s="1">
        <v>437.73</v>
      </c>
      <c r="I2938" t="s">
        <v>24</v>
      </c>
      <c r="J2938">
        <v>1</v>
      </c>
      <c r="K2938">
        <v>8</v>
      </c>
    </row>
    <row r="2939" spans="1:11" x14ac:dyDescent="0.35">
      <c r="A2939" t="s">
        <v>2976</v>
      </c>
      <c r="B2939">
        <v>67</v>
      </c>
      <c r="C2939" t="s">
        <v>12</v>
      </c>
      <c r="D2939" t="s">
        <v>19</v>
      </c>
      <c r="E2939">
        <v>11</v>
      </c>
      <c r="F2939" t="s">
        <v>33</v>
      </c>
      <c r="G2939" t="s">
        <v>23</v>
      </c>
      <c r="H2939" s="1">
        <v>364.82</v>
      </c>
      <c r="I2939" t="s">
        <v>43</v>
      </c>
      <c r="J2939">
        <v>0</v>
      </c>
      <c r="K2939">
        <v>5</v>
      </c>
    </row>
    <row r="2940" spans="1:11" x14ac:dyDescent="0.35">
      <c r="A2940" t="s">
        <v>2977</v>
      </c>
      <c r="B2940">
        <v>24</v>
      </c>
      <c r="C2940" t="s">
        <v>12</v>
      </c>
      <c r="D2940" t="s">
        <v>13</v>
      </c>
      <c r="E2940">
        <v>9</v>
      </c>
      <c r="F2940" t="s">
        <v>22</v>
      </c>
      <c r="G2940" t="s">
        <v>34</v>
      </c>
      <c r="H2940" s="1">
        <v>141.47</v>
      </c>
      <c r="I2940" t="s">
        <v>24</v>
      </c>
      <c r="J2940">
        <v>3</v>
      </c>
      <c r="K2940">
        <v>5</v>
      </c>
    </row>
    <row r="2941" spans="1:11" x14ac:dyDescent="0.35">
      <c r="A2941" t="s">
        <v>2978</v>
      </c>
      <c r="B2941">
        <v>28</v>
      </c>
      <c r="C2941" t="s">
        <v>18</v>
      </c>
      <c r="D2941" t="s">
        <v>19</v>
      </c>
      <c r="E2941">
        <v>19</v>
      </c>
      <c r="F2941" t="s">
        <v>22</v>
      </c>
      <c r="G2941" t="s">
        <v>15</v>
      </c>
      <c r="H2941" s="1">
        <v>340.04</v>
      </c>
      <c r="I2941" t="s">
        <v>24</v>
      </c>
      <c r="J2941">
        <v>3</v>
      </c>
      <c r="K2941">
        <v>1</v>
      </c>
    </row>
    <row r="2942" spans="1:11" x14ac:dyDescent="0.35">
      <c r="A2942" t="s">
        <v>2979</v>
      </c>
      <c r="B2942">
        <v>63</v>
      </c>
      <c r="C2942" t="s">
        <v>18</v>
      </c>
      <c r="D2942" t="s">
        <v>13</v>
      </c>
      <c r="E2942">
        <v>7</v>
      </c>
      <c r="F2942" t="s">
        <v>33</v>
      </c>
      <c r="G2942" t="s">
        <v>37</v>
      </c>
      <c r="H2942" s="1">
        <v>159.25</v>
      </c>
      <c r="I2942" t="s">
        <v>24</v>
      </c>
      <c r="J2942">
        <v>2</v>
      </c>
      <c r="K2942">
        <v>8</v>
      </c>
    </row>
    <row r="2943" spans="1:11" x14ac:dyDescent="0.35">
      <c r="A2943" t="s">
        <v>2980</v>
      </c>
      <c r="B2943">
        <v>23</v>
      </c>
      <c r="C2943" t="s">
        <v>18</v>
      </c>
      <c r="D2943" t="s">
        <v>19</v>
      </c>
      <c r="E2943">
        <v>23</v>
      </c>
      <c r="F2943" t="s">
        <v>33</v>
      </c>
      <c r="G2943" t="s">
        <v>23</v>
      </c>
      <c r="H2943" s="1">
        <v>88.11</v>
      </c>
      <c r="I2943" t="s">
        <v>24</v>
      </c>
      <c r="J2943">
        <v>1</v>
      </c>
      <c r="K2943">
        <v>4</v>
      </c>
    </row>
    <row r="2944" spans="1:11" x14ac:dyDescent="0.35">
      <c r="A2944" t="s">
        <v>2981</v>
      </c>
      <c r="B2944">
        <v>38</v>
      </c>
      <c r="C2944" t="s">
        <v>18</v>
      </c>
      <c r="D2944" t="s">
        <v>13</v>
      </c>
      <c r="E2944">
        <v>19</v>
      </c>
      <c r="F2944" t="s">
        <v>26</v>
      </c>
      <c r="G2944" t="s">
        <v>34</v>
      </c>
      <c r="H2944" s="1">
        <v>133.97999999999999</v>
      </c>
      <c r="I2944" t="s">
        <v>24</v>
      </c>
      <c r="J2944">
        <v>2</v>
      </c>
      <c r="K2944">
        <v>1</v>
      </c>
    </row>
    <row r="2945" spans="1:11" x14ac:dyDescent="0.35">
      <c r="A2945" t="s">
        <v>2982</v>
      </c>
      <c r="B2945">
        <v>59</v>
      </c>
      <c r="C2945" t="s">
        <v>18</v>
      </c>
      <c r="D2945" t="s">
        <v>13</v>
      </c>
      <c r="E2945">
        <v>6</v>
      </c>
      <c r="F2945" t="s">
        <v>26</v>
      </c>
      <c r="G2945" t="s">
        <v>23</v>
      </c>
      <c r="H2945" s="1">
        <v>496.77</v>
      </c>
      <c r="I2945" t="s">
        <v>28</v>
      </c>
      <c r="J2945">
        <v>0</v>
      </c>
      <c r="K2945">
        <v>8</v>
      </c>
    </row>
    <row r="2946" spans="1:11" x14ac:dyDescent="0.35">
      <c r="A2946" t="s">
        <v>2983</v>
      </c>
      <c r="B2946">
        <v>81</v>
      </c>
      <c r="C2946" t="s">
        <v>18</v>
      </c>
      <c r="D2946" t="s">
        <v>21</v>
      </c>
      <c r="E2946">
        <v>20</v>
      </c>
      <c r="F2946" t="s">
        <v>22</v>
      </c>
      <c r="G2946" t="s">
        <v>23</v>
      </c>
      <c r="H2946" s="1">
        <v>525.4</v>
      </c>
      <c r="I2946" t="s">
        <v>24</v>
      </c>
      <c r="J2946">
        <v>2</v>
      </c>
      <c r="K2946">
        <v>4</v>
      </c>
    </row>
    <row r="2947" spans="1:11" x14ac:dyDescent="0.35">
      <c r="A2947" t="s">
        <v>2984</v>
      </c>
      <c r="B2947">
        <v>22</v>
      </c>
      <c r="C2947" t="s">
        <v>18</v>
      </c>
      <c r="D2947" t="s">
        <v>19</v>
      </c>
      <c r="E2947">
        <v>15</v>
      </c>
      <c r="F2947" t="s">
        <v>22</v>
      </c>
      <c r="G2947" t="s">
        <v>15</v>
      </c>
      <c r="H2947" s="1">
        <v>320.98</v>
      </c>
      <c r="I2947" t="s">
        <v>43</v>
      </c>
      <c r="J2947">
        <v>0</v>
      </c>
      <c r="K2947">
        <v>7</v>
      </c>
    </row>
    <row r="2948" spans="1:11" x14ac:dyDescent="0.35">
      <c r="A2948" t="s">
        <v>2985</v>
      </c>
      <c r="B2948">
        <v>78</v>
      </c>
      <c r="C2948" t="s">
        <v>18</v>
      </c>
      <c r="D2948" t="s">
        <v>19</v>
      </c>
      <c r="E2948">
        <v>11</v>
      </c>
      <c r="F2948" t="s">
        <v>14</v>
      </c>
      <c r="G2948" t="s">
        <v>34</v>
      </c>
      <c r="H2948" s="1">
        <v>0</v>
      </c>
      <c r="I2948" t="s">
        <v>16</v>
      </c>
      <c r="J2948">
        <v>2</v>
      </c>
      <c r="K2948">
        <v>4</v>
      </c>
    </row>
    <row r="2949" spans="1:11" x14ac:dyDescent="0.35">
      <c r="A2949" t="s">
        <v>2986</v>
      </c>
      <c r="B2949">
        <v>55</v>
      </c>
      <c r="C2949" t="s">
        <v>18</v>
      </c>
      <c r="D2949" t="s">
        <v>19</v>
      </c>
      <c r="E2949">
        <v>10</v>
      </c>
      <c r="F2949" t="s">
        <v>22</v>
      </c>
      <c r="G2949" t="s">
        <v>37</v>
      </c>
      <c r="H2949" s="1">
        <v>200.46</v>
      </c>
      <c r="I2949" t="s">
        <v>24</v>
      </c>
      <c r="J2949">
        <v>0</v>
      </c>
      <c r="K2949">
        <v>6</v>
      </c>
    </row>
    <row r="2950" spans="1:11" x14ac:dyDescent="0.35">
      <c r="A2950" t="s">
        <v>2987</v>
      </c>
      <c r="B2950">
        <v>82</v>
      </c>
      <c r="C2950" t="s">
        <v>18</v>
      </c>
      <c r="D2950" t="s">
        <v>13</v>
      </c>
      <c r="E2950">
        <v>11</v>
      </c>
      <c r="F2950" t="s">
        <v>22</v>
      </c>
      <c r="G2950" t="s">
        <v>23</v>
      </c>
      <c r="H2950" s="1">
        <v>537.67999999999995</v>
      </c>
      <c r="I2950" t="s">
        <v>24</v>
      </c>
      <c r="J2950">
        <v>1</v>
      </c>
      <c r="K2950">
        <v>6</v>
      </c>
    </row>
    <row r="2951" spans="1:11" x14ac:dyDescent="0.35">
      <c r="A2951" t="s">
        <v>2988</v>
      </c>
      <c r="B2951">
        <v>58</v>
      </c>
      <c r="C2951" t="s">
        <v>18</v>
      </c>
      <c r="D2951" t="s">
        <v>19</v>
      </c>
      <c r="E2951">
        <v>9</v>
      </c>
      <c r="F2951" t="s">
        <v>26</v>
      </c>
      <c r="G2951" t="s">
        <v>23</v>
      </c>
      <c r="H2951" s="1">
        <v>366.01</v>
      </c>
      <c r="I2951" t="s">
        <v>24</v>
      </c>
      <c r="J2951">
        <v>2</v>
      </c>
      <c r="K2951">
        <v>5</v>
      </c>
    </row>
    <row r="2952" spans="1:11" x14ac:dyDescent="0.35">
      <c r="A2952" t="s">
        <v>2989</v>
      </c>
      <c r="B2952">
        <v>36</v>
      </c>
      <c r="C2952" t="s">
        <v>18</v>
      </c>
      <c r="D2952" t="s">
        <v>19</v>
      </c>
      <c r="E2952">
        <v>21</v>
      </c>
      <c r="F2952" t="s">
        <v>33</v>
      </c>
      <c r="G2952" t="s">
        <v>27</v>
      </c>
      <c r="H2952" s="1">
        <v>157.19999999999999</v>
      </c>
      <c r="I2952" t="s">
        <v>24</v>
      </c>
      <c r="J2952">
        <v>2</v>
      </c>
      <c r="K2952">
        <v>5</v>
      </c>
    </row>
    <row r="2953" spans="1:11" x14ac:dyDescent="0.35">
      <c r="A2953" t="s">
        <v>2990</v>
      </c>
      <c r="B2953">
        <v>40</v>
      </c>
      <c r="C2953" t="s">
        <v>12</v>
      </c>
      <c r="D2953" t="s">
        <v>19</v>
      </c>
      <c r="E2953">
        <v>23</v>
      </c>
      <c r="F2953" t="s">
        <v>33</v>
      </c>
      <c r="G2953" t="s">
        <v>23</v>
      </c>
      <c r="H2953" s="1">
        <v>309.27</v>
      </c>
      <c r="I2953" t="s">
        <v>24</v>
      </c>
      <c r="J2953">
        <v>1</v>
      </c>
      <c r="K2953">
        <v>5</v>
      </c>
    </row>
    <row r="2954" spans="1:11" x14ac:dyDescent="0.35">
      <c r="A2954" t="s">
        <v>2991</v>
      </c>
      <c r="B2954">
        <v>48</v>
      </c>
      <c r="C2954" t="s">
        <v>12</v>
      </c>
      <c r="D2954" t="s">
        <v>19</v>
      </c>
      <c r="E2954">
        <v>6</v>
      </c>
      <c r="F2954" t="s">
        <v>31</v>
      </c>
      <c r="G2954" t="s">
        <v>27</v>
      </c>
      <c r="H2954" s="1">
        <v>149.69</v>
      </c>
      <c r="I2954" t="s">
        <v>24</v>
      </c>
      <c r="J2954">
        <v>0</v>
      </c>
      <c r="K2954">
        <v>9</v>
      </c>
    </row>
    <row r="2955" spans="1:11" x14ac:dyDescent="0.35">
      <c r="A2955" t="s">
        <v>2992</v>
      </c>
      <c r="B2955">
        <v>55</v>
      </c>
      <c r="C2955" t="s">
        <v>12</v>
      </c>
      <c r="D2955" t="s">
        <v>13</v>
      </c>
      <c r="E2955">
        <v>15</v>
      </c>
      <c r="F2955" t="s">
        <v>22</v>
      </c>
      <c r="G2955" t="s">
        <v>15</v>
      </c>
      <c r="H2955" s="1">
        <v>221.96</v>
      </c>
      <c r="I2955" t="s">
        <v>24</v>
      </c>
      <c r="J2955">
        <v>0</v>
      </c>
      <c r="K2955">
        <v>8</v>
      </c>
    </row>
    <row r="2956" spans="1:11" x14ac:dyDescent="0.35">
      <c r="A2956" t="s">
        <v>2993</v>
      </c>
      <c r="B2956">
        <v>74</v>
      </c>
      <c r="C2956" t="s">
        <v>18</v>
      </c>
      <c r="D2956" t="s">
        <v>13</v>
      </c>
      <c r="E2956">
        <v>6</v>
      </c>
      <c r="F2956" t="s">
        <v>14</v>
      </c>
      <c r="G2956" t="s">
        <v>23</v>
      </c>
      <c r="H2956" s="1">
        <v>0</v>
      </c>
      <c r="I2956" t="s">
        <v>16</v>
      </c>
      <c r="J2956">
        <v>0</v>
      </c>
      <c r="K2956">
        <v>10</v>
      </c>
    </row>
    <row r="2957" spans="1:11" x14ac:dyDescent="0.35">
      <c r="A2957" t="s">
        <v>2994</v>
      </c>
      <c r="B2957">
        <v>52</v>
      </c>
      <c r="C2957" t="s">
        <v>12</v>
      </c>
      <c r="D2957" t="s">
        <v>19</v>
      </c>
      <c r="E2957">
        <v>22</v>
      </c>
      <c r="F2957" t="s">
        <v>22</v>
      </c>
      <c r="G2957" t="s">
        <v>37</v>
      </c>
      <c r="H2957" s="1">
        <v>159.5</v>
      </c>
      <c r="I2957" t="s">
        <v>24</v>
      </c>
      <c r="J2957">
        <v>3</v>
      </c>
      <c r="K2957">
        <v>1</v>
      </c>
    </row>
    <row r="2958" spans="1:11" x14ac:dyDescent="0.35">
      <c r="A2958" t="s">
        <v>2995</v>
      </c>
      <c r="B2958">
        <v>51</v>
      </c>
      <c r="C2958" t="s">
        <v>18</v>
      </c>
      <c r="D2958" t="s">
        <v>57</v>
      </c>
      <c r="E2958">
        <v>27</v>
      </c>
      <c r="F2958" t="s">
        <v>22</v>
      </c>
      <c r="G2958" t="s">
        <v>37</v>
      </c>
      <c r="H2958" s="1">
        <v>95.66</v>
      </c>
      <c r="I2958" t="s">
        <v>43</v>
      </c>
      <c r="J2958">
        <v>0</v>
      </c>
      <c r="K2958">
        <v>1</v>
      </c>
    </row>
    <row r="2959" spans="1:11" x14ac:dyDescent="0.35">
      <c r="A2959" t="s">
        <v>2996</v>
      </c>
      <c r="B2959">
        <v>28</v>
      </c>
      <c r="C2959" t="s">
        <v>18</v>
      </c>
      <c r="D2959" t="s">
        <v>19</v>
      </c>
      <c r="E2959">
        <v>24</v>
      </c>
      <c r="F2959" t="s">
        <v>33</v>
      </c>
      <c r="G2959" t="s">
        <v>23</v>
      </c>
      <c r="H2959" s="1">
        <v>472.75</v>
      </c>
      <c r="I2959" t="s">
        <v>43</v>
      </c>
      <c r="J2959">
        <v>2</v>
      </c>
      <c r="K2959">
        <v>5</v>
      </c>
    </row>
    <row r="2960" spans="1:11" x14ac:dyDescent="0.35">
      <c r="A2960" t="s">
        <v>2997</v>
      </c>
      <c r="B2960">
        <v>75</v>
      </c>
      <c r="C2960" t="s">
        <v>12</v>
      </c>
      <c r="D2960" t="s">
        <v>120</v>
      </c>
      <c r="E2960">
        <v>43</v>
      </c>
      <c r="F2960" t="s">
        <v>33</v>
      </c>
      <c r="G2960" t="s">
        <v>27</v>
      </c>
      <c r="H2960" s="1">
        <v>101.15</v>
      </c>
      <c r="I2960" t="s">
        <v>24</v>
      </c>
      <c r="J2960">
        <v>3</v>
      </c>
      <c r="K2960">
        <v>4</v>
      </c>
    </row>
    <row r="2961" spans="1:11" x14ac:dyDescent="0.35">
      <c r="A2961" t="s">
        <v>2998</v>
      </c>
      <c r="B2961">
        <v>28</v>
      </c>
      <c r="C2961" t="s">
        <v>18</v>
      </c>
      <c r="D2961" t="s">
        <v>13</v>
      </c>
      <c r="E2961">
        <v>7</v>
      </c>
      <c r="F2961" t="s">
        <v>33</v>
      </c>
      <c r="G2961" t="s">
        <v>15</v>
      </c>
      <c r="H2961" s="1">
        <v>236.71</v>
      </c>
      <c r="I2961" t="s">
        <v>24</v>
      </c>
      <c r="J2961">
        <v>0</v>
      </c>
      <c r="K2961">
        <v>9</v>
      </c>
    </row>
    <row r="2962" spans="1:11" x14ac:dyDescent="0.35">
      <c r="A2962" t="s">
        <v>2999</v>
      </c>
      <c r="B2962">
        <v>21</v>
      </c>
      <c r="C2962" t="s">
        <v>12</v>
      </c>
      <c r="D2962" t="s">
        <v>13</v>
      </c>
      <c r="E2962">
        <v>10</v>
      </c>
      <c r="F2962" t="s">
        <v>14</v>
      </c>
      <c r="G2962" t="s">
        <v>34</v>
      </c>
      <c r="H2962" s="1">
        <v>0</v>
      </c>
      <c r="I2962" t="s">
        <v>16</v>
      </c>
      <c r="J2962">
        <v>3</v>
      </c>
      <c r="K2962">
        <v>7</v>
      </c>
    </row>
    <row r="2963" spans="1:11" x14ac:dyDescent="0.35">
      <c r="A2963" t="s">
        <v>3000</v>
      </c>
      <c r="B2963">
        <v>24</v>
      </c>
      <c r="C2963" t="s">
        <v>18</v>
      </c>
      <c r="D2963" t="s">
        <v>21</v>
      </c>
      <c r="E2963">
        <v>18</v>
      </c>
      <c r="F2963" t="s">
        <v>22</v>
      </c>
      <c r="G2963" t="s">
        <v>34</v>
      </c>
      <c r="H2963" s="1">
        <v>157.47</v>
      </c>
      <c r="I2963" t="s">
        <v>28</v>
      </c>
      <c r="J2963">
        <v>1</v>
      </c>
      <c r="K2963">
        <v>4</v>
      </c>
    </row>
    <row r="2964" spans="1:11" x14ac:dyDescent="0.35">
      <c r="A2964" t="s">
        <v>3001</v>
      </c>
      <c r="B2964">
        <v>64</v>
      </c>
      <c r="C2964" t="s">
        <v>18</v>
      </c>
      <c r="D2964" t="s">
        <v>30</v>
      </c>
      <c r="E2964">
        <v>6</v>
      </c>
      <c r="F2964" t="s">
        <v>33</v>
      </c>
      <c r="G2964" t="s">
        <v>34</v>
      </c>
      <c r="H2964" s="1">
        <v>134.32</v>
      </c>
      <c r="I2964" t="s">
        <v>24</v>
      </c>
      <c r="J2964">
        <v>2</v>
      </c>
      <c r="K2964">
        <v>9</v>
      </c>
    </row>
    <row r="2965" spans="1:11" x14ac:dyDescent="0.35">
      <c r="A2965" t="s">
        <v>3002</v>
      </c>
      <c r="B2965">
        <v>62</v>
      </c>
      <c r="C2965" t="s">
        <v>18</v>
      </c>
      <c r="D2965" t="s">
        <v>19</v>
      </c>
      <c r="E2965">
        <v>20</v>
      </c>
      <c r="F2965" t="s">
        <v>22</v>
      </c>
      <c r="G2965" t="s">
        <v>23</v>
      </c>
      <c r="H2965" s="1">
        <v>201.57</v>
      </c>
      <c r="I2965" t="s">
        <v>24</v>
      </c>
      <c r="J2965">
        <v>2</v>
      </c>
      <c r="K2965">
        <v>3</v>
      </c>
    </row>
    <row r="2966" spans="1:11" x14ac:dyDescent="0.35">
      <c r="A2966" t="s">
        <v>3003</v>
      </c>
      <c r="B2966">
        <v>32</v>
      </c>
      <c r="C2966" t="s">
        <v>189</v>
      </c>
      <c r="D2966" t="s">
        <v>13</v>
      </c>
      <c r="E2966">
        <v>12</v>
      </c>
      <c r="F2966" t="s">
        <v>22</v>
      </c>
      <c r="G2966" t="s">
        <v>27</v>
      </c>
      <c r="H2966" s="1">
        <v>115.63</v>
      </c>
      <c r="I2966" t="s">
        <v>24</v>
      </c>
      <c r="J2966">
        <v>3</v>
      </c>
      <c r="K2966">
        <v>4</v>
      </c>
    </row>
    <row r="2967" spans="1:11" x14ac:dyDescent="0.35">
      <c r="A2967" t="s">
        <v>3004</v>
      </c>
      <c r="B2967">
        <v>48</v>
      </c>
      <c r="C2967" t="s">
        <v>12</v>
      </c>
      <c r="D2967" t="s">
        <v>21</v>
      </c>
      <c r="E2967">
        <v>20</v>
      </c>
      <c r="F2967" t="s">
        <v>22</v>
      </c>
      <c r="G2967" t="s">
        <v>27</v>
      </c>
      <c r="H2967" s="1">
        <v>126.85</v>
      </c>
      <c r="I2967" t="s">
        <v>24</v>
      </c>
      <c r="J2967">
        <v>2</v>
      </c>
      <c r="K2967">
        <v>4</v>
      </c>
    </row>
    <row r="2968" spans="1:11" x14ac:dyDescent="0.35">
      <c r="A2968" t="s">
        <v>3005</v>
      </c>
      <c r="B2968">
        <v>61</v>
      </c>
      <c r="C2968" t="s">
        <v>18</v>
      </c>
      <c r="D2968" t="s">
        <v>30</v>
      </c>
      <c r="E2968">
        <v>12</v>
      </c>
      <c r="F2968" t="s">
        <v>22</v>
      </c>
      <c r="G2968" t="s">
        <v>23</v>
      </c>
      <c r="H2968" s="1">
        <v>247.08</v>
      </c>
      <c r="I2968" t="s">
        <v>24</v>
      </c>
      <c r="J2968">
        <v>1</v>
      </c>
      <c r="K2968">
        <v>8</v>
      </c>
    </row>
    <row r="2969" spans="1:11" x14ac:dyDescent="0.35">
      <c r="A2969" t="s">
        <v>3006</v>
      </c>
      <c r="B2969">
        <v>51</v>
      </c>
      <c r="C2969" t="s">
        <v>12</v>
      </c>
      <c r="D2969" t="s">
        <v>41</v>
      </c>
      <c r="E2969">
        <v>2</v>
      </c>
      <c r="F2969" t="s">
        <v>31</v>
      </c>
      <c r="G2969" t="s">
        <v>27</v>
      </c>
      <c r="H2969" s="1">
        <v>27.79</v>
      </c>
      <c r="I2969" t="s">
        <v>24</v>
      </c>
      <c r="J2969">
        <v>1</v>
      </c>
      <c r="K2969">
        <v>8</v>
      </c>
    </row>
    <row r="2970" spans="1:11" x14ac:dyDescent="0.35">
      <c r="A2970" t="s">
        <v>3007</v>
      </c>
      <c r="B2970">
        <v>39</v>
      </c>
      <c r="C2970" t="s">
        <v>18</v>
      </c>
      <c r="D2970" t="s">
        <v>30</v>
      </c>
      <c r="E2970">
        <v>5</v>
      </c>
      <c r="F2970" t="s">
        <v>31</v>
      </c>
      <c r="G2970" t="s">
        <v>23</v>
      </c>
      <c r="H2970" s="1">
        <v>261.63</v>
      </c>
      <c r="I2970" t="s">
        <v>24</v>
      </c>
      <c r="J2970">
        <v>0</v>
      </c>
      <c r="K2970">
        <v>9</v>
      </c>
    </row>
    <row r="2971" spans="1:11" x14ac:dyDescent="0.35">
      <c r="A2971" t="s">
        <v>3008</v>
      </c>
      <c r="B2971">
        <v>39</v>
      </c>
      <c r="C2971" t="s">
        <v>18</v>
      </c>
      <c r="D2971" t="s">
        <v>21</v>
      </c>
      <c r="E2971">
        <v>13</v>
      </c>
      <c r="F2971" t="s">
        <v>26</v>
      </c>
      <c r="G2971" t="s">
        <v>37</v>
      </c>
      <c r="H2971" s="1">
        <v>110.21</v>
      </c>
      <c r="I2971" t="s">
        <v>28</v>
      </c>
      <c r="J2971">
        <v>0</v>
      </c>
      <c r="K2971">
        <v>6</v>
      </c>
    </row>
    <row r="2972" spans="1:11" x14ac:dyDescent="0.35">
      <c r="A2972" t="s">
        <v>3009</v>
      </c>
      <c r="B2972">
        <v>68</v>
      </c>
      <c r="C2972" t="s">
        <v>12</v>
      </c>
      <c r="D2972" t="s">
        <v>21</v>
      </c>
      <c r="E2972">
        <v>29</v>
      </c>
      <c r="F2972" t="s">
        <v>22</v>
      </c>
      <c r="G2972" t="s">
        <v>37</v>
      </c>
      <c r="H2972" s="1">
        <v>161.82</v>
      </c>
      <c r="I2972" t="s">
        <v>24</v>
      </c>
      <c r="J2972">
        <v>2</v>
      </c>
      <c r="K2972">
        <v>1</v>
      </c>
    </row>
    <row r="2973" spans="1:11" x14ac:dyDescent="0.35">
      <c r="A2973" t="s">
        <v>3010</v>
      </c>
      <c r="B2973">
        <v>62</v>
      </c>
      <c r="C2973" t="s">
        <v>18</v>
      </c>
      <c r="D2973" t="s">
        <v>19</v>
      </c>
      <c r="E2973">
        <v>9</v>
      </c>
      <c r="F2973" t="s">
        <v>14</v>
      </c>
      <c r="G2973" t="s">
        <v>27</v>
      </c>
      <c r="H2973" s="1">
        <v>0</v>
      </c>
      <c r="I2973" t="s">
        <v>16</v>
      </c>
      <c r="J2973">
        <v>0</v>
      </c>
      <c r="K2973">
        <v>4</v>
      </c>
    </row>
    <row r="2974" spans="1:11" x14ac:dyDescent="0.35">
      <c r="A2974" t="s">
        <v>3011</v>
      </c>
      <c r="B2974">
        <v>25</v>
      </c>
      <c r="C2974" t="s">
        <v>18</v>
      </c>
      <c r="D2974" t="s">
        <v>30</v>
      </c>
      <c r="E2974">
        <v>14</v>
      </c>
      <c r="F2974" t="s">
        <v>14</v>
      </c>
      <c r="G2974" t="s">
        <v>15</v>
      </c>
      <c r="H2974" s="1">
        <v>0</v>
      </c>
      <c r="I2974" t="s">
        <v>16</v>
      </c>
      <c r="J2974">
        <v>2</v>
      </c>
      <c r="K2974">
        <v>5</v>
      </c>
    </row>
    <row r="2975" spans="1:11" x14ac:dyDescent="0.35">
      <c r="A2975" t="s">
        <v>3012</v>
      </c>
      <c r="B2975">
        <v>52</v>
      </c>
      <c r="C2975" t="s">
        <v>18</v>
      </c>
      <c r="D2975" t="s">
        <v>47</v>
      </c>
      <c r="E2975">
        <v>5</v>
      </c>
      <c r="F2975" t="s">
        <v>22</v>
      </c>
      <c r="G2975" t="s">
        <v>15</v>
      </c>
      <c r="H2975" s="1">
        <v>224.99</v>
      </c>
      <c r="I2975" t="s">
        <v>24</v>
      </c>
      <c r="J2975">
        <v>2</v>
      </c>
      <c r="K2975">
        <v>10</v>
      </c>
    </row>
    <row r="2976" spans="1:11" x14ac:dyDescent="0.35">
      <c r="A2976" t="s">
        <v>3013</v>
      </c>
      <c r="B2976">
        <v>19</v>
      </c>
      <c r="C2976" t="s">
        <v>12</v>
      </c>
      <c r="D2976" t="s">
        <v>19</v>
      </c>
      <c r="E2976">
        <v>20</v>
      </c>
      <c r="F2976" t="s">
        <v>31</v>
      </c>
      <c r="G2976" t="s">
        <v>27</v>
      </c>
      <c r="H2976" s="1">
        <v>123.81</v>
      </c>
      <c r="I2976" t="s">
        <v>24</v>
      </c>
      <c r="J2976">
        <v>4</v>
      </c>
      <c r="K2976">
        <v>4</v>
      </c>
    </row>
    <row r="2977" spans="1:11" x14ac:dyDescent="0.35">
      <c r="A2977" t="s">
        <v>3014</v>
      </c>
      <c r="B2977">
        <v>74</v>
      </c>
      <c r="C2977" t="s">
        <v>18</v>
      </c>
      <c r="D2977" t="s">
        <v>47</v>
      </c>
      <c r="E2977">
        <v>3</v>
      </c>
      <c r="F2977" t="s">
        <v>22</v>
      </c>
      <c r="G2977" t="s">
        <v>37</v>
      </c>
      <c r="H2977" s="1">
        <v>199.71</v>
      </c>
      <c r="I2977" t="s">
        <v>28</v>
      </c>
      <c r="J2977">
        <v>2</v>
      </c>
      <c r="K2977">
        <v>8</v>
      </c>
    </row>
    <row r="2978" spans="1:11" x14ac:dyDescent="0.35">
      <c r="A2978" t="s">
        <v>3015</v>
      </c>
      <c r="B2978">
        <v>25</v>
      </c>
      <c r="C2978" t="s">
        <v>18</v>
      </c>
      <c r="D2978" t="s">
        <v>19</v>
      </c>
      <c r="E2978">
        <v>10</v>
      </c>
      <c r="F2978" t="s">
        <v>22</v>
      </c>
      <c r="G2978" t="s">
        <v>15</v>
      </c>
      <c r="H2978" s="1">
        <v>131.30000000000001</v>
      </c>
      <c r="I2978" t="s">
        <v>24</v>
      </c>
      <c r="J2978">
        <v>3</v>
      </c>
      <c r="K2978">
        <v>7</v>
      </c>
    </row>
    <row r="2979" spans="1:11" x14ac:dyDescent="0.35">
      <c r="A2979" t="s">
        <v>3016</v>
      </c>
      <c r="B2979">
        <v>85</v>
      </c>
      <c r="C2979" t="s">
        <v>12</v>
      </c>
      <c r="D2979" t="s">
        <v>19</v>
      </c>
      <c r="E2979">
        <v>14</v>
      </c>
      <c r="F2979" t="s">
        <v>33</v>
      </c>
      <c r="G2979" t="s">
        <v>27</v>
      </c>
      <c r="H2979" s="1">
        <v>159.19</v>
      </c>
      <c r="I2979" t="s">
        <v>24</v>
      </c>
      <c r="J2979">
        <v>2</v>
      </c>
      <c r="K2979">
        <v>6</v>
      </c>
    </row>
    <row r="2980" spans="1:11" x14ac:dyDescent="0.35">
      <c r="A2980" t="s">
        <v>3017</v>
      </c>
      <c r="B2980">
        <v>29</v>
      </c>
      <c r="C2980" t="s">
        <v>18</v>
      </c>
      <c r="D2980" t="s">
        <v>57</v>
      </c>
      <c r="E2980">
        <v>16</v>
      </c>
      <c r="F2980" t="s">
        <v>22</v>
      </c>
      <c r="G2980" t="s">
        <v>34</v>
      </c>
      <c r="H2980" s="1">
        <v>164.46</v>
      </c>
      <c r="I2980" t="s">
        <v>24</v>
      </c>
      <c r="J2980">
        <v>1</v>
      </c>
      <c r="K2980">
        <v>8</v>
      </c>
    </row>
    <row r="2981" spans="1:11" x14ac:dyDescent="0.35">
      <c r="A2981" t="s">
        <v>3018</v>
      </c>
      <c r="B2981">
        <v>46</v>
      </c>
      <c r="C2981" t="s">
        <v>18</v>
      </c>
      <c r="D2981" t="s">
        <v>19</v>
      </c>
      <c r="E2981">
        <v>16</v>
      </c>
      <c r="F2981" t="s">
        <v>22</v>
      </c>
      <c r="G2981" t="s">
        <v>27</v>
      </c>
      <c r="H2981" s="1">
        <v>141.38999999999999</v>
      </c>
      <c r="I2981" t="s">
        <v>24</v>
      </c>
      <c r="J2981">
        <v>0</v>
      </c>
      <c r="K2981">
        <v>8</v>
      </c>
    </row>
    <row r="2982" spans="1:11" x14ac:dyDescent="0.35">
      <c r="A2982" t="s">
        <v>3019</v>
      </c>
      <c r="B2982">
        <v>45</v>
      </c>
      <c r="C2982" t="s">
        <v>12</v>
      </c>
      <c r="D2982" t="s">
        <v>120</v>
      </c>
      <c r="E2982">
        <v>39</v>
      </c>
      <c r="F2982" t="s">
        <v>22</v>
      </c>
      <c r="G2982" t="s">
        <v>23</v>
      </c>
      <c r="H2982" s="1">
        <v>316.18</v>
      </c>
      <c r="I2982" t="s">
        <v>24</v>
      </c>
      <c r="J2982">
        <v>0</v>
      </c>
      <c r="K2982">
        <v>3</v>
      </c>
    </row>
    <row r="2983" spans="1:11" x14ac:dyDescent="0.35">
      <c r="A2983" t="s">
        <v>3020</v>
      </c>
      <c r="B2983">
        <v>60</v>
      </c>
      <c r="C2983" t="s">
        <v>12</v>
      </c>
      <c r="D2983" t="s">
        <v>21</v>
      </c>
      <c r="E2983">
        <v>44</v>
      </c>
      <c r="F2983" t="s">
        <v>22</v>
      </c>
      <c r="G2983" t="s">
        <v>27</v>
      </c>
      <c r="H2983" s="1">
        <v>95.25</v>
      </c>
      <c r="I2983" t="s">
        <v>24</v>
      </c>
      <c r="J2983">
        <v>2</v>
      </c>
      <c r="K2983">
        <v>1</v>
      </c>
    </row>
    <row r="2984" spans="1:11" x14ac:dyDescent="0.35">
      <c r="A2984" t="s">
        <v>3021</v>
      </c>
      <c r="B2984">
        <v>76</v>
      </c>
      <c r="C2984" t="s">
        <v>18</v>
      </c>
      <c r="D2984" t="s">
        <v>21</v>
      </c>
      <c r="E2984">
        <v>22</v>
      </c>
      <c r="F2984" t="s">
        <v>22</v>
      </c>
      <c r="G2984" t="s">
        <v>23</v>
      </c>
      <c r="H2984" s="1">
        <v>412.33</v>
      </c>
      <c r="I2984" t="s">
        <v>24</v>
      </c>
      <c r="J2984">
        <v>3</v>
      </c>
      <c r="K2984">
        <v>4</v>
      </c>
    </row>
    <row r="2985" spans="1:11" x14ac:dyDescent="0.35">
      <c r="A2985" t="s">
        <v>3022</v>
      </c>
      <c r="B2985">
        <v>81</v>
      </c>
      <c r="C2985" t="s">
        <v>18</v>
      </c>
      <c r="D2985" t="s">
        <v>30</v>
      </c>
      <c r="E2985">
        <v>13</v>
      </c>
      <c r="F2985" t="s">
        <v>33</v>
      </c>
      <c r="G2985" t="s">
        <v>23</v>
      </c>
      <c r="H2985" s="1">
        <v>590.63</v>
      </c>
      <c r="I2985" t="s">
        <v>28</v>
      </c>
      <c r="J2985">
        <v>0</v>
      </c>
      <c r="K2985">
        <v>8</v>
      </c>
    </row>
    <row r="2986" spans="1:11" x14ac:dyDescent="0.35">
      <c r="A2986" t="s">
        <v>3023</v>
      </c>
      <c r="B2986">
        <v>41</v>
      </c>
      <c r="C2986" t="s">
        <v>12</v>
      </c>
      <c r="D2986" t="s">
        <v>47</v>
      </c>
      <c r="E2986">
        <v>13</v>
      </c>
      <c r="F2986" t="s">
        <v>31</v>
      </c>
      <c r="G2986" t="s">
        <v>23</v>
      </c>
      <c r="H2986" s="1">
        <v>278.06</v>
      </c>
      <c r="I2986" t="s">
        <v>24</v>
      </c>
      <c r="J2986">
        <v>1</v>
      </c>
      <c r="K2986">
        <v>4</v>
      </c>
    </row>
    <row r="2987" spans="1:11" x14ac:dyDescent="0.35">
      <c r="A2987" t="s">
        <v>3024</v>
      </c>
      <c r="B2987">
        <v>49</v>
      </c>
      <c r="C2987" t="s">
        <v>12</v>
      </c>
      <c r="D2987" t="s">
        <v>19</v>
      </c>
      <c r="E2987">
        <v>19</v>
      </c>
      <c r="F2987" t="s">
        <v>26</v>
      </c>
      <c r="G2987" t="s">
        <v>37</v>
      </c>
      <c r="H2987" s="1">
        <v>169.18</v>
      </c>
      <c r="I2987" t="s">
        <v>24</v>
      </c>
      <c r="J2987">
        <v>4</v>
      </c>
      <c r="K2987">
        <v>2</v>
      </c>
    </row>
    <row r="2988" spans="1:11" x14ac:dyDescent="0.35">
      <c r="A2988" t="s">
        <v>3025</v>
      </c>
      <c r="B2988">
        <v>30</v>
      </c>
      <c r="C2988" t="s">
        <v>18</v>
      </c>
      <c r="D2988" t="s">
        <v>19</v>
      </c>
      <c r="E2988">
        <v>21</v>
      </c>
      <c r="F2988" t="s">
        <v>33</v>
      </c>
      <c r="G2988" t="s">
        <v>23</v>
      </c>
      <c r="H2988" s="1">
        <v>530.44000000000005</v>
      </c>
      <c r="I2988" t="s">
        <v>24</v>
      </c>
      <c r="J2988">
        <v>4</v>
      </c>
      <c r="K2988">
        <v>1</v>
      </c>
    </row>
    <row r="2989" spans="1:11" x14ac:dyDescent="0.35">
      <c r="A2989" t="s">
        <v>3026</v>
      </c>
      <c r="B2989">
        <v>30</v>
      </c>
      <c r="C2989" t="s">
        <v>12</v>
      </c>
      <c r="D2989" t="s">
        <v>21</v>
      </c>
      <c r="E2989">
        <v>22</v>
      </c>
      <c r="F2989" t="s">
        <v>14</v>
      </c>
      <c r="G2989" t="s">
        <v>15</v>
      </c>
      <c r="H2989" s="1">
        <v>0</v>
      </c>
      <c r="I2989" t="s">
        <v>16</v>
      </c>
      <c r="J2989">
        <v>0</v>
      </c>
      <c r="K2989">
        <v>3</v>
      </c>
    </row>
    <row r="2990" spans="1:11" x14ac:dyDescent="0.35">
      <c r="A2990" t="s">
        <v>3027</v>
      </c>
      <c r="B2990">
        <v>23</v>
      </c>
      <c r="C2990" t="s">
        <v>18</v>
      </c>
      <c r="D2990" t="s">
        <v>19</v>
      </c>
      <c r="E2990">
        <v>15</v>
      </c>
      <c r="F2990" t="s">
        <v>22</v>
      </c>
      <c r="G2990" t="s">
        <v>27</v>
      </c>
      <c r="H2990" s="1">
        <v>139.22</v>
      </c>
      <c r="I2990" t="s">
        <v>24</v>
      </c>
      <c r="J2990">
        <v>1</v>
      </c>
      <c r="K2990">
        <v>6</v>
      </c>
    </row>
    <row r="2991" spans="1:11" x14ac:dyDescent="0.35">
      <c r="A2991" t="s">
        <v>3028</v>
      </c>
      <c r="B2991">
        <v>65</v>
      </c>
      <c r="C2991" t="s">
        <v>18</v>
      </c>
      <c r="D2991" t="s">
        <v>21</v>
      </c>
      <c r="E2991">
        <v>44</v>
      </c>
      <c r="F2991" t="s">
        <v>33</v>
      </c>
      <c r="G2991" t="s">
        <v>27</v>
      </c>
      <c r="H2991" s="1">
        <v>36.4</v>
      </c>
      <c r="I2991" t="s">
        <v>24</v>
      </c>
      <c r="J2991">
        <v>2</v>
      </c>
      <c r="K2991">
        <v>5</v>
      </c>
    </row>
    <row r="2992" spans="1:11" x14ac:dyDescent="0.35">
      <c r="A2992" t="s">
        <v>3029</v>
      </c>
      <c r="B2992">
        <v>56</v>
      </c>
      <c r="C2992" t="s">
        <v>18</v>
      </c>
      <c r="D2992" t="s">
        <v>19</v>
      </c>
      <c r="E2992">
        <v>18</v>
      </c>
      <c r="F2992" t="s">
        <v>22</v>
      </c>
      <c r="G2992" t="s">
        <v>15</v>
      </c>
      <c r="H2992" s="1">
        <v>446.39</v>
      </c>
      <c r="I2992" t="s">
        <v>24</v>
      </c>
      <c r="J2992">
        <v>0</v>
      </c>
      <c r="K2992">
        <v>4</v>
      </c>
    </row>
    <row r="2993" spans="1:11" x14ac:dyDescent="0.35">
      <c r="A2993" t="s">
        <v>3030</v>
      </c>
      <c r="B2993">
        <v>66</v>
      </c>
      <c r="C2993" t="s">
        <v>18</v>
      </c>
      <c r="D2993" t="s">
        <v>21</v>
      </c>
      <c r="E2993">
        <v>47</v>
      </c>
      <c r="F2993" t="s">
        <v>22</v>
      </c>
      <c r="G2993" t="s">
        <v>27</v>
      </c>
      <c r="H2993" s="1">
        <v>122.97</v>
      </c>
      <c r="I2993" t="s">
        <v>24</v>
      </c>
      <c r="J2993">
        <v>2</v>
      </c>
      <c r="K2993">
        <v>5</v>
      </c>
    </row>
    <row r="2994" spans="1:11" x14ac:dyDescent="0.35">
      <c r="A2994" t="s">
        <v>3031</v>
      </c>
      <c r="B2994">
        <v>32</v>
      </c>
      <c r="C2994" t="s">
        <v>18</v>
      </c>
      <c r="D2994" t="s">
        <v>19</v>
      </c>
      <c r="E2994">
        <v>17</v>
      </c>
      <c r="F2994" t="s">
        <v>26</v>
      </c>
      <c r="G2994" t="s">
        <v>23</v>
      </c>
      <c r="H2994" s="1">
        <v>436.42</v>
      </c>
      <c r="I2994" t="s">
        <v>24</v>
      </c>
      <c r="J2994">
        <v>1</v>
      </c>
      <c r="K2994">
        <v>6</v>
      </c>
    </row>
    <row r="2995" spans="1:11" x14ac:dyDescent="0.35">
      <c r="A2995" t="s">
        <v>3032</v>
      </c>
      <c r="B2995">
        <v>55</v>
      </c>
      <c r="C2995" t="s">
        <v>12</v>
      </c>
      <c r="D2995" t="s">
        <v>19</v>
      </c>
      <c r="E2995">
        <v>7</v>
      </c>
      <c r="F2995" t="s">
        <v>31</v>
      </c>
      <c r="G2995" t="s">
        <v>37</v>
      </c>
      <c r="H2995" s="1">
        <v>163.91</v>
      </c>
      <c r="I2995" t="s">
        <v>24</v>
      </c>
      <c r="J2995">
        <v>0</v>
      </c>
      <c r="K2995">
        <v>10</v>
      </c>
    </row>
    <row r="2996" spans="1:11" x14ac:dyDescent="0.35">
      <c r="A2996" t="s">
        <v>3033</v>
      </c>
      <c r="B2996">
        <v>84</v>
      </c>
      <c r="C2996" t="s">
        <v>12</v>
      </c>
      <c r="D2996" t="s">
        <v>19</v>
      </c>
      <c r="E2996">
        <v>7</v>
      </c>
      <c r="F2996" t="s">
        <v>31</v>
      </c>
      <c r="G2996" t="s">
        <v>15</v>
      </c>
      <c r="H2996" s="1">
        <v>410.44</v>
      </c>
      <c r="I2996" t="s">
        <v>24</v>
      </c>
      <c r="J2996">
        <v>2</v>
      </c>
      <c r="K2996">
        <v>8</v>
      </c>
    </row>
    <row r="2997" spans="1:11" x14ac:dyDescent="0.35">
      <c r="A2997" t="s">
        <v>3034</v>
      </c>
      <c r="B2997">
        <v>33</v>
      </c>
      <c r="C2997" t="s">
        <v>12</v>
      </c>
      <c r="D2997" t="s">
        <v>19</v>
      </c>
      <c r="E2997">
        <v>24</v>
      </c>
      <c r="F2997" t="s">
        <v>22</v>
      </c>
      <c r="G2997" t="s">
        <v>34</v>
      </c>
      <c r="H2997" s="1">
        <v>208.36</v>
      </c>
      <c r="I2997" t="s">
        <v>24</v>
      </c>
      <c r="J2997">
        <v>1</v>
      </c>
      <c r="K2997">
        <v>5</v>
      </c>
    </row>
    <row r="2998" spans="1:11" x14ac:dyDescent="0.35">
      <c r="A2998" t="s">
        <v>3035</v>
      </c>
      <c r="B2998">
        <v>79</v>
      </c>
      <c r="C2998" t="s">
        <v>12</v>
      </c>
      <c r="D2998" t="s">
        <v>19</v>
      </c>
      <c r="E2998">
        <v>23</v>
      </c>
      <c r="F2998" t="s">
        <v>33</v>
      </c>
      <c r="G2998" t="s">
        <v>27</v>
      </c>
      <c r="H2998" s="1">
        <v>166.28</v>
      </c>
      <c r="I2998" t="s">
        <v>28</v>
      </c>
      <c r="J2998">
        <v>1</v>
      </c>
      <c r="K2998">
        <v>4</v>
      </c>
    </row>
    <row r="2999" spans="1:11" x14ac:dyDescent="0.35">
      <c r="A2999" t="s">
        <v>3036</v>
      </c>
      <c r="B2999">
        <v>51</v>
      </c>
      <c r="C2999" t="s">
        <v>18</v>
      </c>
      <c r="D2999" t="s">
        <v>19</v>
      </c>
      <c r="E2999">
        <v>9</v>
      </c>
      <c r="F2999" t="s">
        <v>22</v>
      </c>
      <c r="G2999" t="s">
        <v>27</v>
      </c>
      <c r="H2999" s="1">
        <v>116.2</v>
      </c>
      <c r="I2999" t="s">
        <v>24</v>
      </c>
      <c r="J2999">
        <v>0</v>
      </c>
      <c r="K2999">
        <v>8</v>
      </c>
    </row>
    <row r="3000" spans="1:11" x14ac:dyDescent="0.35">
      <c r="A3000" t="s">
        <v>3037</v>
      </c>
      <c r="B3000">
        <v>32</v>
      </c>
      <c r="C3000" t="s">
        <v>12</v>
      </c>
      <c r="D3000" t="s">
        <v>19</v>
      </c>
      <c r="E3000">
        <v>21</v>
      </c>
      <c r="F3000" t="s">
        <v>33</v>
      </c>
      <c r="G3000" t="s">
        <v>27</v>
      </c>
      <c r="H3000" s="1">
        <v>28.75</v>
      </c>
      <c r="I3000" t="s">
        <v>24</v>
      </c>
      <c r="J3000">
        <v>0</v>
      </c>
      <c r="K3000">
        <v>4</v>
      </c>
    </row>
    <row r="3001" spans="1:11" x14ac:dyDescent="0.35">
      <c r="A3001" t="s">
        <v>3038</v>
      </c>
      <c r="B3001">
        <v>70</v>
      </c>
      <c r="C3001" t="s">
        <v>18</v>
      </c>
      <c r="D3001" t="s">
        <v>19</v>
      </c>
      <c r="E3001">
        <v>10</v>
      </c>
      <c r="F3001" t="s">
        <v>26</v>
      </c>
      <c r="G3001" t="s">
        <v>15</v>
      </c>
      <c r="H3001" s="1">
        <v>436.85</v>
      </c>
      <c r="I3001" t="s">
        <v>24</v>
      </c>
      <c r="J3001">
        <v>0</v>
      </c>
      <c r="K3001">
        <v>6</v>
      </c>
    </row>
    <row r="3002" spans="1:11" x14ac:dyDescent="0.35">
      <c r="A3002" t="s">
        <v>3039</v>
      </c>
      <c r="B3002">
        <v>46</v>
      </c>
      <c r="C3002" t="s">
        <v>18</v>
      </c>
      <c r="D3002" t="s">
        <v>21</v>
      </c>
      <c r="E3002">
        <v>21</v>
      </c>
      <c r="F3002" t="s">
        <v>26</v>
      </c>
      <c r="G3002" t="s">
        <v>34</v>
      </c>
      <c r="H3002" s="1">
        <v>97.35</v>
      </c>
      <c r="I3002" t="s">
        <v>24</v>
      </c>
      <c r="J3002">
        <v>1</v>
      </c>
      <c r="K3002">
        <v>1</v>
      </c>
    </row>
    <row r="3003" spans="1:11" x14ac:dyDescent="0.35">
      <c r="A3003" t="s">
        <v>3040</v>
      </c>
      <c r="B3003">
        <v>61</v>
      </c>
      <c r="C3003" t="s">
        <v>528</v>
      </c>
      <c r="D3003" t="s">
        <v>30</v>
      </c>
      <c r="E3003">
        <v>12</v>
      </c>
      <c r="F3003" t="s">
        <v>22</v>
      </c>
      <c r="G3003" t="s">
        <v>23</v>
      </c>
      <c r="H3003" s="1">
        <v>208.45</v>
      </c>
      <c r="I3003" t="s">
        <v>24</v>
      </c>
      <c r="J3003">
        <v>3</v>
      </c>
      <c r="K3003">
        <v>7</v>
      </c>
    </row>
    <row r="3004" spans="1:11" x14ac:dyDescent="0.35">
      <c r="A3004" t="s">
        <v>3041</v>
      </c>
      <c r="B3004">
        <v>55</v>
      </c>
      <c r="C3004" t="s">
        <v>18</v>
      </c>
      <c r="D3004" t="s">
        <v>21</v>
      </c>
      <c r="E3004">
        <v>43</v>
      </c>
      <c r="F3004" t="s">
        <v>33</v>
      </c>
      <c r="G3004" t="s">
        <v>34</v>
      </c>
      <c r="H3004" s="1">
        <v>161.11000000000001</v>
      </c>
      <c r="I3004" t="s">
        <v>24</v>
      </c>
      <c r="J3004">
        <v>3</v>
      </c>
      <c r="K3004">
        <v>1</v>
      </c>
    </row>
    <row r="3005" spans="1:11" x14ac:dyDescent="0.35">
      <c r="A3005" t="s">
        <v>3042</v>
      </c>
      <c r="B3005">
        <v>23</v>
      </c>
      <c r="C3005" t="s">
        <v>12</v>
      </c>
      <c r="D3005" t="s">
        <v>21</v>
      </c>
      <c r="E3005">
        <v>48</v>
      </c>
      <c r="F3005" t="s">
        <v>22</v>
      </c>
      <c r="G3005" t="s">
        <v>15</v>
      </c>
      <c r="H3005" s="1">
        <v>353.89</v>
      </c>
      <c r="I3005" t="s">
        <v>28</v>
      </c>
      <c r="J3005">
        <v>3</v>
      </c>
      <c r="K3005">
        <v>1</v>
      </c>
    </row>
    <row r="3006" spans="1:11" x14ac:dyDescent="0.35">
      <c r="A3006" t="s">
        <v>3043</v>
      </c>
      <c r="B3006">
        <v>34</v>
      </c>
      <c r="C3006" t="s">
        <v>18</v>
      </c>
      <c r="D3006" t="s">
        <v>19</v>
      </c>
      <c r="E3006">
        <v>18</v>
      </c>
      <c r="F3006" t="s">
        <v>22</v>
      </c>
      <c r="G3006" t="s">
        <v>37</v>
      </c>
      <c r="H3006" s="1">
        <v>112.64</v>
      </c>
      <c r="I3006" t="s">
        <v>28</v>
      </c>
      <c r="J3006">
        <v>3</v>
      </c>
      <c r="K3006">
        <v>5</v>
      </c>
    </row>
    <row r="3007" spans="1:11" x14ac:dyDescent="0.35">
      <c r="A3007" t="s">
        <v>3044</v>
      </c>
      <c r="B3007">
        <v>29</v>
      </c>
      <c r="C3007" t="s">
        <v>18</v>
      </c>
      <c r="D3007" t="s">
        <v>30</v>
      </c>
      <c r="E3007">
        <v>2</v>
      </c>
      <c r="F3007" t="s">
        <v>31</v>
      </c>
      <c r="G3007" t="s">
        <v>37</v>
      </c>
      <c r="H3007" s="1">
        <v>161.97999999999999</v>
      </c>
      <c r="I3007" t="s">
        <v>24</v>
      </c>
      <c r="J3007">
        <v>2</v>
      </c>
      <c r="K3007">
        <v>10</v>
      </c>
    </row>
    <row r="3008" spans="1:11" x14ac:dyDescent="0.35">
      <c r="A3008" t="s">
        <v>3045</v>
      </c>
      <c r="B3008">
        <v>47</v>
      </c>
      <c r="C3008" t="s">
        <v>18</v>
      </c>
      <c r="D3008" t="s">
        <v>19</v>
      </c>
      <c r="E3008">
        <v>10</v>
      </c>
      <c r="F3008" t="s">
        <v>33</v>
      </c>
      <c r="G3008" t="s">
        <v>27</v>
      </c>
      <c r="H3008" s="1">
        <v>66.040000000000006</v>
      </c>
      <c r="I3008" t="s">
        <v>43</v>
      </c>
      <c r="J3008">
        <v>3</v>
      </c>
      <c r="K3008">
        <v>7</v>
      </c>
    </row>
    <row r="3009" spans="1:11" x14ac:dyDescent="0.35">
      <c r="A3009" t="s">
        <v>3046</v>
      </c>
      <c r="B3009">
        <v>68</v>
      </c>
      <c r="C3009" t="s">
        <v>12</v>
      </c>
      <c r="D3009" t="s">
        <v>19</v>
      </c>
      <c r="E3009">
        <v>10</v>
      </c>
      <c r="F3009" t="s">
        <v>22</v>
      </c>
      <c r="G3009" t="s">
        <v>23</v>
      </c>
      <c r="H3009" s="1">
        <v>237.95</v>
      </c>
      <c r="I3009" t="s">
        <v>24</v>
      </c>
      <c r="J3009">
        <v>1</v>
      </c>
      <c r="K3009">
        <v>5</v>
      </c>
    </row>
    <row r="3010" spans="1:11" x14ac:dyDescent="0.35">
      <c r="A3010" t="s">
        <v>3047</v>
      </c>
      <c r="B3010">
        <v>27</v>
      </c>
      <c r="C3010" t="s">
        <v>18</v>
      </c>
      <c r="D3010" t="s">
        <v>19</v>
      </c>
      <c r="E3010">
        <v>9</v>
      </c>
      <c r="F3010" t="s">
        <v>22</v>
      </c>
      <c r="G3010" t="s">
        <v>27</v>
      </c>
      <c r="H3010" s="1">
        <v>130.52000000000001</v>
      </c>
      <c r="I3010" t="s">
        <v>24</v>
      </c>
      <c r="J3010">
        <v>1</v>
      </c>
      <c r="K3010">
        <v>8</v>
      </c>
    </row>
    <row r="3011" spans="1:11" x14ac:dyDescent="0.35">
      <c r="A3011" t="s">
        <v>3048</v>
      </c>
      <c r="B3011">
        <v>83</v>
      </c>
      <c r="C3011" t="s">
        <v>18</v>
      </c>
      <c r="D3011" t="s">
        <v>19</v>
      </c>
      <c r="E3011">
        <v>13</v>
      </c>
      <c r="F3011" t="s">
        <v>26</v>
      </c>
      <c r="G3011" t="s">
        <v>23</v>
      </c>
      <c r="H3011" s="1">
        <v>540.53</v>
      </c>
      <c r="I3011" t="s">
        <v>28</v>
      </c>
      <c r="J3011">
        <v>3</v>
      </c>
      <c r="K3011">
        <v>8</v>
      </c>
    </row>
    <row r="3012" spans="1:11" x14ac:dyDescent="0.35">
      <c r="A3012" t="s">
        <v>3049</v>
      </c>
      <c r="B3012">
        <v>26</v>
      </c>
      <c r="C3012" t="s">
        <v>18</v>
      </c>
      <c r="D3012" t="s">
        <v>30</v>
      </c>
      <c r="E3012">
        <v>13</v>
      </c>
      <c r="F3012" t="s">
        <v>22</v>
      </c>
      <c r="G3012" t="s">
        <v>34</v>
      </c>
      <c r="H3012" s="1">
        <v>180.39</v>
      </c>
      <c r="I3012" t="s">
        <v>24</v>
      </c>
      <c r="J3012">
        <v>2</v>
      </c>
      <c r="K3012">
        <v>7</v>
      </c>
    </row>
    <row r="3013" spans="1:11" x14ac:dyDescent="0.35">
      <c r="A3013" t="s">
        <v>3050</v>
      </c>
      <c r="B3013">
        <v>19</v>
      </c>
      <c r="C3013" t="s">
        <v>12</v>
      </c>
      <c r="D3013" t="s">
        <v>30</v>
      </c>
      <c r="E3013">
        <v>9</v>
      </c>
      <c r="F3013" t="s">
        <v>26</v>
      </c>
      <c r="G3013" t="s">
        <v>34</v>
      </c>
      <c r="H3013" s="1">
        <v>213.77</v>
      </c>
      <c r="I3013" t="s">
        <v>28</v>
      </c>
      <c r="J3013">
        <v>1</v>
      </c>
      <c r="K3013">
        <v>5</v>
      </c>
    </row>
    <row r="3014" spans="1:11" x14ac:dyDescent="0.35">
      <c r="A3014" t="s">
        <v>3051</v>
      </c>
      <c r="B3014">
        <v>68</v>
      </c>
      <c r="C3014" t="s">
        <v>18</v>
      </c>
      <c r="D3014" t="s">
        <v>21</v>
      </c>
      <c r="E3014">
        <v>31</v>
      </c>
      <c r="F3014" t="s">
        <v>22</v>
      </c>
      <c r="G3014" t="s">
        <v>15</v>
      </c>
      <c r="H3014" s="1">
        <v>236.27</v>
      </c>
      <c r="I3014" t="s">
        <v>24</v>
      </c>
      <c r="J3014">
        <v>0</v>
      </c>
      <c r="K3014">
        <v>1</v>
      </c>
    </row>
    <row r="3015" spans="1:11" x14ac:dyDescent="0.35">
      <c r="A3015" t="s">
        <v>3052</v>
      </c>
      <c r="B3015">
        <v>37</v>
      </c>
      <c r="C3015" t="s">
        <v>18</v>
      </c>
      <c r="D3015" t="s">
        <v>19</v>
      </c>
      <c r="E3015">
        <v>6</v>
      </c>
      <c r="F3015" t="s">
        <v>22</v>
      </c>
      <c r="G3015" t="s">
        <v>23</v>
      </c>
      <c r="H3015" s="1">
        <v>406.02</v>
      </c>
      <c r="I3015" t="s">
        <v>24</v>
      </c>
      <c r="J3015">
        <v>0</v>
      </c>
      <c r="K3015">
        <v>10</v>
      </c>
    </row>
    <row r="3016" spans="1:11" x14ac:dyDescent="0.35">
      <c r="A3016" t="s">
        <v>3053</v>
      </c>
      <c r="B3016">
        <v>56</v>
      </c>
      <c r="C3016" t="s">
        <v>18</v>
      </c>
      <c r="D3016" t="s">
        <v>19</v>
      </c>
      <c r="E3016">
        <v>20</v>
      </c>
      <c r="F3016" t="s">
        <v>31</v>
      </c>
      <c r="G3016" t="s">
        <v>23</v>
      </c>
      <c r="H3016" s="1">
        <v>263.19</v>
      </c>
      <c r="I3016" t="s">
        <v>24</v>
      </c>
      <c r="J3016">
        <v>0</v>
      </c>
      <c r="K3016">
        <v>4</v>
      </c>
    </row>
    <row r="3017" spans="1:11" x14ac:dyDescent="0.35">
      <c r="A3017" t="s">
        <v>3054</v>
      </c>
      <c r="B3017">
        <v>53</v>
      </c>
      <c r="C3017" t="s">
        <v>12</v>
      </c>
      <c r="D3017" t="s">
        <v>21</v>
      </c>
      <c r="E3017">
        <v>14</v>
      </c>
      <c r="F3017" t="s">
        <v>31</v>
      </c>
      <c r="G3017" t="s">
        <v>23</v>
      </c>
      <c r="H3017" s="1">
        <v>334.24</v>
      </c>
      <c r="I3017" t="s">
        <v>24</v>
      </c>
      <c r="J3017">
        <v>0</v>
      </c>
      <c r="K3017">
        <v>5</v>
      </c>
    </row>
    <row r="3018" spans="1:11" x14ac:dyDescent="0.35">
      <c r="A3018" t="s">
        <v>3055</v>
      </c>
      <c r="B3018">
        <v>76</v>
      </c>
      <c r="C3018" t="s">
        <v>12</v>
      </c>
      <c r="D3018" t="s">
        <v>19</v>
      </c>
      <c r="E3018">
        <v>12</v>
      </c>
      <c r="F3018" t="s">
        <v>33</v>
      </c>
      <c r="G3018" t="s">
        <v>23</v>
      </c>
      <c r="H3018" s="1">
        <v>547.41</v>
      </c>
      <c r="I3018" t="s">
        <v>24</v>
      </c>
      <c r="J3018">
        <v>0</v>
      </c>
      <c r="K3018">
        <v>6</v>
      </c>
    </row>
    <row r="3019" spans="1:11" x14ac:dyDescent="0.35">
      <c r="A3019" t="s">
        <v>3056</v>
      </c>
      <c r="B3019">
        <v>70</v>
      </c>
      <c r="C3019" t="s">
        <v>12</v>
      </c>
      <c r="D3019" t="s">
        <v>21</v>
      </c>
      <c r="E3019">
        <v>27</v>
      </c>
      <c r="F3019" t="s">
        <v>14</v>
      </c>
      <c r="G3019" t="s">
        <v>27</v>
      </c>
      <c r="H3019" s="1">
        <v>0</v>
      </c>
      <c r="I3019" t="s">
        <v>16</v>
      </c>
      <c r="J3019">
        <v>2</v>
      </c>
      <c r="K3019">
        <v>1</v>
      </c>
    </row>
    <row r="3020" spans="1:11" x14ac:dyDescent="0.35">
      <c r="A3020" t="s">
        <v>3057</v>
      </c>
      <c r="B3020">
        <v>28</v>
      </c>
      <c r="C3020" t="s">
        <v>18</v>
      </c>
      <c r="D3020" t="s">
        <v>19</v>
      </c>
      <c r="E3020">
        <v>20</v>
      </c>
      <c r="F3020" t="s">
        <v>22</v>
      </c>
      <c r="G3020" t="s">
        <v>27</v>
      </c>
      <c r="H3020" s="1">
        <v>46.86</v>
      </c>
      <c r="I3020" t="s">
        <v>28</v>
      </c>
      <c r="J3020">
        <v>3</v>
      </c>
      <c r="K3020">
        <v>1</v>
      </c>
    </row>
    <row r="3021" spans="1:11" x14ac:dyDescent="0.35">
      <c r="A3021" t="s">
        <v>3058</v>
      </c>
      <c r="B3021">
        <v>68</v>
      </c>
      <c r="C3021" t="s">
        <v>18</v>
      </c>
      <c r="D3021" t="s">
        <v>19</v>
      </c>
      <c r="E3021">
        <v>18</v>
      </c>
      <c r="F3021" t="s">
        <v>22</v>
      </c>
      <c r="G3021" t="s">
        <v>34</v>
      </c>
      <c r="H3021" s="1">
        <v>219.86</v>
      </c>
      <c r="I3021" t="s">
        <v>24</v>
      </c>
      <c r="J3021">
        <v>3</v>
      </c>
      <c r="K3021">
        <v>4</v>
      </c>
    </row>
    <row r="3022" spans="1:11" x14ac:dyDescent="0.35">
      <c r="A3022" t="s">
        <v>3059</v>
      </c>
      <c r="B3022">
        <v>44</v>
      </c>
      <c r="C3022" t="s">
        <v>12</v>
      </c>
      <c r="D3022" t="s">
        <v>21</v>
      </c>
      <c r="E3022">
        <v>18</v>
      </c>
      <c r="F3022" t="s">
        <v>22</v>
      </c>
      <c r="G3022" t="s">
        <v>23</v>
      </c>
      <c r="H3022" s="1">
        <v>237.83</v>
      </c>
      <c r="I3022" t="s">
        <v>24</v>
      </c>
      <c r="J3022">
        <v>1</v>
      </c>
      <c r="K3022">
        <v>6</v>
      </c>
    </row>
    <row r="3023" spans="1:11" x14ac:dyDescent="0.35">
      <c r="A3023" t="s">
        <v>3060</v>
      </c>
      <c r="B3023">
        <v>19</v>
      </c>
      <c r="C3023" t="s">
        <v>12</v>
      </c>
      <c r="D3023" t="s">
        <v>19</v>
      </c>
      <c r="E3023">
        <v>15</v>
      </c>
      <c r="F3023" t="s">
        <v>31</v>
      </c>
      <c r="G3023" t="s">
        <v>27</v>
      </c>
      <c r="H3023" s="1">
        <v>127.91</v>
      </c>
      <c r="I3023" t="s">
        <v>24</v>
      </c>
      <c r="J3023">
        <v>3</v>
      </c>
      <c r="K3023">
        <v>6</v>
      </c>
    </row>
    <row r="3024" spans="1:11" x14ac:dyDescent="0.35">
      <c r="A3024" t="s">
        <v>3061</v>
      </c>
      <c r="B3024">
        <v>36</v>
      </c>
      <c r="C3024" t="s">
        <v>18</v>
      </c>
      <c r="D3024" t="s">
        <v>21</v>
      </c>
      <c r="E3024">
        <v>30</v>
      </c>
      <c r="F3024" t="s">
        <v>26</v>
      </c>
      <c r="G3024" t="s">
        <v>27</v>
      </c>
      <c r="H3024" s="1">
        <v>167.09</v>
      </c>
      <c r="I3024" t="s">
        <v>24</v>
      </c>
      <c r="J3024">
        <v>2</v>
      </c>
      <c r="K3024">
        <v>1</v>
      </c>
    </row>
    <row r="3025" spans="1:11" x14ac:dyDescent="0.35">
      <c r="A3025" t="s">
        <v>3062</v>
      </c>
      <c r="B3025">
        <v>30</v>
      </c>
      <c r="C3025" t="s">
        <v>18</v>
      </c>
      <c r="D3025" t="s">
        <v>30</v>
      </c>
      <c r="E3025">
        <v>6</v>
      </c>
      <c r="F3025" t="s">
        <v>31</v>
      </c>
      <c r="G3025" t="s">
        <v>23</v>
      </c>
      <c r="H3025" s="1">
        <v>82.81</v>
      </c>
      <c r="I3025" t="s">
        <v>24</v>
      </c>
      <c r="J3025">
        <v>1</v>
      </c>
      <c r="K3025">
        <v>9</v>
      </c>
    </row>
    <row r="3026" spans="1:11" x14ac:dyDescent="0.35">
      <c r="A3026" t="s">
        <v>3063</v>
      </c>
      <c r="B3026">
        <v>21</v>
      </c>
      <c r="C3026" t="s">
        <v>18</v>
      </c>
      <c r="D3026" t="s">
        <v>13</v>
      </c>
      <c r="E3026">
        <v>9</v>
      </c>
      <c r="F3026" t="s">
        <v>22</v>
      </c>
      <c r="G3026" t="s">
        <v>27</v>
      </c>
      <c r="H3026" s="1">
        <v>47.78</v>
      </c>
      <c r="I3026" t="s">
        <v>28</v>
      </c>
      <c r="J3026">
        <v>1</v>
      </c>
      <c r="K3026">
        <v>6</v>
      </c>
    </row>
    <row r="3027" spans="1:11" x14ac:dyDescent="0.35">
      <c r="A3027" t="s">
        <v>3064</v>
      </c>
      <c r="B3027">
        <v>80</v>
      </c>
      <c r="C3027" t="s">
        <v>12</v>
      </c>
      <c r="D3027" t="s">
        <v>19</v>
      </c>
      <c r="E3027">
        <v>23</v>
      </c>
      <c r="F3027" t="s">
        <v>33</v>
      </c>
      <c r="G3027" t="s">
        <v>23</v>
      </c>
      <c r="H3027" s="1">
        <v>198.55</v>
      </c>
      <c r="I3027" t="s">
        <v>24</v>
      </c>
      <c r="J3027">
        <v>3</v>
      </c>
      <c r="K3027">
        <v>4</v>
      </c>
    </row>
    <row r="3028" spans="1:11" x14ac:dyDescent="0.35">
      <c r="A3028" t="s">
        <v>3065</v>
      </c>
      <c r="B3028">
        <v>52</v>
      </c>
      <c r="C3028" t="s">
        <v>12</v>
      </c>
      <c r="D3028" t="s">
        <v>21</v>
      </c>
      <c r="E3028">
        <v>38</v>
      </c>
      <c r="F3028" t="s">
        <v>22</v>
      </c>
      <c r="G3028" t="s">
        <v>34</v>
      </c>
      <c r="H3028" s="1">
        <v>216.78</v>
      </c>
      <c r="I3028" t="s">
        <v>24</v>
      </c>
      <c r="J3028">
        <v>2</v>
      </c>
      <c r="K3028">
        <v>1</v>
      </c>
    </row>
    <row r="3029" spans="1:11" x14ac:dyDescent="0.35">
      <c r="A3029" t="s">
        <v>3066</v>
      </c>
      <c r="B3029">
        <v>60</v>
      </c>
      <c r="C3029" t="s">
        <v>12</v>
      </c>
      <c r="D3029" t="s">
        <v>120</v>
      </c>
      <c r="E3029">
        <v>35</v>
      </c>
      <c r="F3029" t="s">
        <v>33</v>
      </c>
      <c r="G3029" t="s">
        <v>27</v>
      </c>
      <c r="H3029" s="1">
        <v>174.24</v>
      </c>
      <c r="I3029" t="s">
        <v>24</v>
      </c>
      <c r="J3029">
        <v>2</v>
      </c>
      <c r="K3029">
        <v>3</v>
      </c>
    </row>
    <row r="3030" spans="1:11" x14ac:dyDescent="0.35">
      <c r="A3030" t="s">
        <v>3067</v>
      </c>
      <c r="B3030">
        <v>51</v>
      </c>
      <c r="C3030" t="s">
        <v>12</v>
      </c>
      <c r="D3030" t="s">
        <v>13</v>
      </c>
      <c r="E3030">
        <v>23</v>
      </c>
      <c r="F3030" t="s">
        <v>31</v>
      </c>
      <c r="G3030" t="s">
        <v>34</v>
      </c>
      <c r="H3030" s="1">
        <v>151.30000000000001</v>
      </c>
      <c r="I3030" t="s">
        <v>24</v>
      </c>
      <c r="J3030">
        <v>1</v>
      </c>
      <c r="K3030">
        <v>1</v>
      </c>
    </row>
    <row r="3031" spans="1:11" x14ac:dyDescent="0.35">
      <c r="A3031" t="s">
        <v>3068</v>
      </c>
      <c r="B3031">
        <v>56</v>
      </c>
      <c r="C3031" t="s">
        <v>18</v>
      </c>
      <c r="D3031" t="s">
        <v>47</v>
      </c>
      <c r="E3031">
        <v>13</v>
      </c>
      <c r="F3031" t="s">
        <v>26</v>
      </c>
      <c r="G3031" t="s">
        <v>27</v>
      </c>
      <c r="H3031" s="1">
        <v>64.489999999999995</v>
      </c>
      <c r="I3031" t="s">
        <v>24</v>
      </c>
      <c r="J3031">
        <v>3</v>
      </c>
      <c r="K3031">
        <v>7</v>
      </c>
    </row>
    <row r="3032" spans="1:11" x14ac:dyDescent="0.35">
      <c r="A3032" t="s">
        <v>3069</v>
      </c>
      <c r="B3032">
        <v>29</v>
      </c>
      <c r="C3032" t="s">
        <v>12</v>
      </c>
      <c r="D3032" t="s">
        <v>21</v>
      </c>
      <c r="E3032">
        <v>44</v>
      </c>
      <c r="F3032" t="s">
        <v>26</v>
      </c>
      <c r="G3032" t="s">
        <v>15</v>
      </c>
      <c r="H3032" s="1">
        <v>86.53</v>
      </c>
      <c r="I3032" t="s">
        <v>24</v>
      </c>
      <c r="J3032">
        <v>2</v>
      </c>
      <c r="K3032">
        <v>5</v>
      </c>
    </row>
    <row r="3033" spans="1:11" x14ac:dyDescent="0.35">
      <c r="A3033" t="s">
        <v>3070</v>
      </c>
      <c r="B3033">
        <v>54</v>
      </c>
      <c r="C3033" t="s">
        <v>18</v>
      </c>
      <c r="D3033" t="s">
        <v>19</v>
      </c>
      <c r="E3033">
        <v>11</v>
      </c>
      <c r="F3033" t="s">
        <v>31</v>
      </c>
      <c r="G3033" t="s">
        <v>37</v>
      </c>
      <c r="H3033" s="1">
        <v>129.29</v>
      </c>
      <c r="I3033" t="s">
        <v>24</v>
      </c>
      <c r="J3033">
        <v>2</v>
      </c>
      <c r="K3033">
        <v>6</v>
      </c>
    </row>
    <row r="3034" spans="1:11" x14ac:dyDescent="0.35">
      <c r="A3034" t="s">
        <v>3071</v>
      </c>
      <c r="B3034">
        <v>32</v>
      </c>
      <c r="C3034" t="s">
        <v>12</v>
      </c>
      <c r="D3034" t="s">
        <v>21</v>
      </c>
      <c r="E3034">
        <v>17</v>
      </c>
      <c r="F3034" t="s">
        <v>33</v>
      </c>
      <c r="G3034" t="s">
        <v>15</v>
      </c>
      <c r="H3034" s="1">
        <v>134.11000000000001</v>
      </c>
      <c r="I3034" t="s">
        <v>24</v>
      </c>
      <c r="J3034">
        <v>1</v>
      </c>
      <c r="K3034">
        <v>6</v>
      </c>
    </row>
    <row r="3035" spans="1:11" x14ac:dyDescent="0.35">
      <c r="A3035" t="s">
        <v>3072</v>
      </c>
      <c r="B3035">
        <v>38</v>
      </c>
      <c r="C3035" t="s">
        <v>18</v>
      </c>
      <c r="D3035" t="s">
        <v>13</v>
      </c>
      <c r="E3035">
        <v>11</v>
      </c>
      <c r="F3035" t="s">
        <v>26</v>
      </c>
      <c r="G3035" t="s">
        <v>34</v>
      </c>
      <c r="H3035" s="1">
        <v>114.09</v>
      </c>
      <c r="I3035" t="s">
        <v>43</v>
      </c>
      <c r="J3035">
        <v>2</v>
      </c>
      <c r="K3035">
        <v>6</v>
      </c>
    </row>
    <row r="3036" spans="1:11" x14ac:dyDescent="0.35">
      <c r="A3036" t="s">
        <v>3073</v>
      </c>
      <c r="B3036">
        <v>26</v>
      </c>
      <c r="C3036" t="s">
        <v>12</v>
      </c>
      <c r="D3036" t="s">
        <v>41</v>
      </c>
      <c r="E3036">
        <v>7</v>
      </c>
      <c r="F3036" t="s">
        <v>33</v>
      </c>
      <c r="G3036" t="s">
        <v>27</v>
      </c>
      <c r="H3036" s="1">
        <v>69.14</v>
      </c>
      <c r="I3036" t="s">
        <v>24</v>
      </c>
      <c r="J3036">
        <v>0</v>
      </c>
      <c r="K3036">
        <v>9</v>
      </c>
    </row>
    <row r="3037" spans="1:11" x14ac:dyDescent="0.35">
      <c r="A3037" t="s">
        <v>3074</v>
      </c>
      <c r="B3037">
        <v>82</v>
      </c>
      <c r="C3037" t="s">
        <v>18</v>
      </c>
      <c r="D3037" t="s">
        <v>30</v>
      </c>
      <c r="E3037">
        <v>4</v>
      </c>
      <c r="F3037" t="s">
        <v>33</v>
      </c>
      <c r="G3037" t="s">
        <v>27</v>
      </c>
      <c r="H3037" s="1">
        <v>46.9</v>
      </c>
      <c r="I3037" t="s">
        <v>43</v>
      </c>
      <c r="J3037">
        <v>0</v>
      </c>
      <c r="K3037">
        <v>10</v>
      </c>
    </row>
    <row r="3038" spans="1:11" x14ac:dyDescent="0.35">
      <c r="A3038" t="s">
        <v>3075</v>
      </c>
      <c r="B3038">
        <v>51</v>
      </c>
      <c r="C3038" t="s">
        <v>18</v>
      </c>
      <c r="D3038" t="s">
        <v>19</v>
      </c>
      <c r="E3038">
        <v>17</v>
      </c>
      <c r="F3038" t="s">
        <v>14</v>
      </c>
      <c r="G3038" t="s">
        <v>34</v>
      </c>
      <c r="H3038" s="1">
        <v>0</v>
      </c>
      <c r="I3038" t="s">
        <v>16</v>
      </c>
      <c r="J3038">
        <v>3</v>
      </c>
      <c r="K3038">
        <v>5</v>
      </c>
    </row>
    <row r="3039" spans="1:11" x14ac:dyDescent="0.35">
      <c r="A3039" t="s">
        <v>3076</v>
      </c>
      <c r="B3039">
        <v>34</v>
      </c>
      <c r="C3039" t="s">
        <v>12</v>
      </c>
      <c r="D3039" t="s">
        <v>30</v>
      </c>
      <c r="E3039">
        <v>8</v>
      </c>
      <c r="F3039" t="s">
        <v>33</v>
      </c>
      <c r="G3039" t="s">
        <v>37</v>
      </c>
      <c r="H3039" s="1">
        <v>115.35</v>
      </c>
      <c r="I3039" t="s">
        <v>24</v>
      </c>
      <c r="J3039">
        <v>0</v>
      </c>
      <c r="K3039">
        <v>7</v>
      </c>
    </row>
    <row r="3040" spans="1:11" x14ac:dyDescent="0.35">
      <c r="A3040" t="s">
        <v>3077</v>
      </c>
      <c r="B3040">
        <v>68</v>
      </c>
      <c r="C3040" t="s">
        <v>18</v>
      </c>
      <c r="D3040" t="s">
        <v>57</v>
      </c>
      <c r="E3040">
        <v>28</v>
      </c>
      <c r="F3040" t="s">
        <v>14</v>
      </c>
      <c r="G3040" t="s">
        <v>23</v>
      </c>
      <c r="H3040" s="1">
        <v>0</v>
      </c>
      <c r="I3040" t="s">
        <v>16</v>
      </c>
      <c r="J3040">
        <v>0</v>
      </c>
      <c r="K3040">
        <v>3</v>
      </c>
    </row>
    <row r="3041" spans="1:11" x14ac:dyDescent="0.35">
      <c r="A3041" t="s">
        <v>3078</v>
      </c>
      <c r="B3041">
        <v>29</v>
      </c>
      <c r="C3041" t="s">
        <v>18</v>
      </c>
      <c r="D3041" t="s">
        <v>13</v>
      </c>
      <c r="E3041">
        <v>10</v>
      </c>
      <c r="F3041" t="s">
        <v>14</v>
      </c>
      <c r="G3041" t="s">
        <v>23</v>
      </c>
      <c r="H3041" s="1">
        <v>0</v>
      </c>
      <c r="I3041" t="s">
        <v>16</v>
      </c>
      <c r="J3041">
        <v>2</v>
      </c>
      <c r="K3041">
        <v>8</v>
      </c>
    </row>
    <row r="3042" spans="1:11" x14ac:dyDescent="0.35">
      <c r="A3042" t="s">
        <v>3079</v>
      </c>
      <c r="B3042">
        <v>27</v>
      </c>
      <c r="C3042" t="s">
        <v>12</v>
      </c>
      <c r="D3042" t="s">
        <v>21</v>
      </c>
      <c r="E3042">
        <v>19</v>
      </c>
      <c r="F3042" t="s">
        <v>14</v>
      </c>
      <c r="G3042" t="s">
        <v>23</v>
      </c>
      <c r="H3042" s="1">
        <v>0</v>
      </c>
      <c r="I3042" t="s">
        <v>16</v>
      </c>
      <c r="J3042">
        <v>1</v>
      </c>
      <c r="K3042">
        <v>2</v>
      </c>
    </row>
    <row r="3043" spans="1:11" x14ac:dyDescent="0.35">
      <c r="A3043" t="s">
        <v>3080</v>
      </c>
      <c r="B3043">
        <v>50</v>
      </c>
      <c r="C3043" t="s">
        <v>18</v>
      </c>
      <c r="D3043" t="s">
        <v>19</v>
      </c>
      <c r="E3043">
        <v>13</v>
      </c>
      <c r="F3043" t="s">
        <v>31</v>
      </c>
      <c r="G3043" t="s">
        <v>23</v>
      </c>
      <c r="H3043" s="1">
        <v>266.62</v>
      </c>
      <c r="I3043" t="s">
        <v>24</v>
      </c>
      <c r="J3043">
        <v>1</v>
      </c>
      <c r="K3043">
        <v>4</v>
      </c>
    </row>
    <row r="3044" spans="1:11" x14ac:dyDescent="0.35">
      <c r="A3044" t="s">
        <v>3081</v>
      </c>
      <c r="B3044">
        <v>63</v>
      </c>
      <c r="C3044" t="s">
        <v>12</v>
      </c>
      <c r="D3044" t="s">
        <v>19</v>
      </c>
      <c r="E3044">
        <v>14</v>
      </c>
      <c r="F3044" t="s">
        <v>33</v>
      </c>
      <c r="G3044" t="s">
        <v>15</v>
      </c>
      <c r="H3044" s="1">
        <v>104.23</v>
      </c>
      <c r="I3044" t="s">
        <v>24</v>
      </c>
      <c r="J3044">
        <v>1</v>
      </c>
      <c r="K3044">
        <v>8</v>
      </c>
    </row>
    <row r="3045" spans="1:11" x14ac:dyDescent="0.35">
      <c r="A3045" t="s">
        <v>3082</v>
      </c>
      <c r="B3045">
        <v>66</v>
      </c>
      <c r="C3045" t="s">
        <v>18</v>
      </c>
      <c r="D3045" t="s">
        <v>19</v>
      </c>
      <c r="E3045">
        <v>19</v>
      </c>
      <c r="F3045" t="s">
        <v>33</v>
      </c>
      <c r="G3045" t="s">
        <v>15</v>
      </c>
      <c r="H3045" s="1">
        <v>366.07</v>
      </c>
      <c r="I3045" t="s">
        <v>24</v>
      </c>
      <c r="J3045">
        <v>0</v>
      </c>
      <c r="K3045">
        <v>1</v>
      </c>
    </row>
    <row r="3046" spans="1:11" x14ac:dyDescent="0.35">
      <c r="A3046" t="s">
        <v>3083</v>
      </c>
      <c r="B3046">
        <v>67</v>
      </c>
      <c r="C3046" t="s">
        <v>12</v>
      </c>
      <c r="D3046" t="s">
        <v>21</v>
      </c>
      <c r="E3046">
        <v>23</v>
      </c>
      <c r="F3046" t="s">
        <v>22</v>
      </c>
      <c r="G3046" t="s">
        <v>15</v>
      </c>
      <c r="H3046" s="1">
        <v>321.52</v>
      </c>
      <c r="I3046" t="s">
        <v>24</v>
      </c>
      <c r="J3046">
        <v>3</v>
      </c>
      <c r="K3046">
        <v>4</v>
      </c>
    </row>
    <row r="3047" spans="1:11" x14ac:dyDescent="0.35">
      <c r="A3047" t="s">
        <v>3084</v>
      </c>
      <c r="B3047">
        <v>53</v>
      </c>
      <c r="C3047" t="s">
        <v>12</v>
      </c>
      <c r="D3047" t="s">
        <v>19</v>
      </c>
      <c r="E3047">
        <v>8</v>
      </c>
      <c r="F3047" t="s">
        <v>31</v>
      </c>
      <c r="G3047" t="s">
        <v>27</v>
      </c>
      <c r="H3047" s="1">
        <v>100.94</v>
      </c>
      <c r="I3047" t="s">
        <v>24</v>
      </c>
      <c r="J3047">
        <v>0</v>
      </c>
      <c r="K3047">
        <v>10</v>
      </c>
    </row>
    <row r="3048" spans="1:11" x14ac:dyDescent="0.35">
      <c r="A3048" t="s">
        <v>3085</v>
      </c>
      <c r="B3048">
        <v>18</v>
      </c>
      <c r="C3048" t="s">
        <v>12</v>
      </c>
      <c r="D3048" t="s">
        <v>19</v>
      </c>
      <c r="E3048">
        <v>17</v>
      </c>
      <c r="F3048" t="s">
        <v>22</v>
      </c>
      <c r="G3048" t="s">
        <v>15</v>
      </c>
      <c r="H3048" s="1">
        <v>130.6</v>
      </c>
      <c r="I3048" t="s">
        <v>24</v>
      </c>
      <c r="J3048">
        <v>1</v>
      </c>
      <c r="K3048">
        <v>8</v>
      </c>
    </row>
    <row r="3049" spans="1:11" x14ac:dyDescent="0.35">
      <c r="A3049" t="s">
        <v>3086</v>
      </c>
      <c r="B3049">
        <v>38</v>
      </c>
      <c r="C3049" t="s">
        <v>18</v>
      </c>
      <c r="D3049" t="s">
        <v>21</v>
      </c>
      <c r="E3049">
        <v>34</v>
      </c>
      <c r="F3049" t="s">
        <v>33</v>
      </c>
      <c r="G3049" t="s">
        <v>23</v>
      </c>
      <c r="H3049" s="1">
        <v>352.89</v>
      </c>
      <c r="I3049" t="s">
        <v>24</v>
      </c>
      <c r="J3049">
        <v>1</v>
      </c>
      <c r="K3049">
        <v>4</v>
      </c>
    </row>
    <row r="3050" spans="1:11" x14ac:dyDescent="0.35">
      <c r="A3050" t="s">
        <v>3087</v>
      </c>
      <c r="B3050">
        <v>40</v>
      </c>
      <c r="C3050" t="s">
        <v>12</v>
      </c>
      <c r="D3050" t="s">
        <v>30</v>
      </c>
      <c r="E3050">
        <v>13</v>
      </c>
      <c r="F3050" t="s">
        <v>14</v>
      </c>
      <c r="G3050" t="s">
        <v>34</v>
      </c>
      <c r="H3050" s="1">
        <v>0</v>
      </c>
      <c r="I3050" t="s">
        <v>16</v>
      </c>
      <c r="J3050">
        <v>2</v>
      </c>
      <c r="K3050">
        <v>6</v>
      </c>
    </row>
    <row r="3051" spans="1:11" x14ac:dyDescent="0.35">
      <c r="A3051" t="s">
        <v>3088</v>
      </c>
      <c r="B3051">
        <v>48</v>
      </c>
      <c r="C3051" t="s">
        <v>189</v>
      </c>
      <c r="D3051" t="s">
        <v>13</v>
      </c>
      <c r="E3051">
        <v>15</v>
      </c>
      <c r="F3051" t="s">
        <v>22</v>
      </c>
      <c r="G3051" t="s">
        <v>15</v>
      </c>
      <c r="H3051" s="1">
        <v>255.83</v>
      </c>
      <c r="I3051" t="s">
        <v>24</v>
      </c>
      <c r="J3051">
        <v>3</v>
      </c>
      <c r="K3051">
        <v>4</v>
      </c>
    </row>
    <row r="3052" spans="1:11" x14ac:dyDescent="0.35">
      <c r="A3052" t="s">
        <v>3089</v>
      </c>
      <c r="B3052">
        <v>34</v>
      </c>
      <c r="C3052" t="s">
        <v>18</v>
      </c>
      <c r="D3052" t="s">
        <v>19</v>
      </c>
      <c r="E3052">
        <v>21</v>
      </c>
      <c r="F3052" t="s">
        <v>33</v>
      </c>
      <c r="G3052" t="s">
        <v>37</v>
      </c>
      <c r="H3052" s="1">
        <v>156.47</v>
      </c>
      <c r="I3052" t="s">
        <v>24</v>
      </c>
      <c r="J3052">
        <v>2</v>
      </c>
      <c r="K3052">
        <v>2</v>
      </c>
    </row>
    <row r="3053" spans="1:11" x14ac:dyDescent="0.35">
      <c r="A3053" t="s">
        <v>3090</v>
      </c>
      <c r="B3053">
        <v>64</v>
      </c>
      <c r="C3053" t="s">
        <v>12</v>
      </c>
      <c r="D3053" t="s">
        <v>19</v>
      </c>
      <c r="E3053">
        <v>17</v>
      </c>
      <c r="F3053" t="s">
        <v>14</v>
      </c>
      <c r="G3053" t="s">
        <v>37</v>
      </c>
      <c r="H3053" s="1">
        <v>0</v>
      </c>
      <c r="I3053" t="s">
        <v>16</v>
      </c>
      <c r="J3053">
        <v>2</v>
      </c>
      <c r="K3053">
        <v>5</v>
      </c>
    </row>
    <row r="3054" spans="1:11" x14ac:dyDescent="0.35">
      <c r="A3054" t="s">
        <v>3091</v>
      </c>
      <c r="B3054">
        <v>45</v>
      </c>
      <c r="C3054" t="s">
        <v>18</v>
      </c>
      <c r="D3054" t="s">
        <v>13</v>
      </c>
      <c r="E3054">
        <v>8</v>
      </c>
      <c r="F3054" t="s">
        <v>22</v>
      </c>
      <c r="G3054" t="s">
        <v>34</v>
      </c>
      <c r="H3054" s="1">
        <v>156.27000000000001</v>
      </c>
      <c r="I3054" t="s">
        <v>24</v>
      </c>
      <c r="J3054">
        <v>2</v>
      </c>
      <c r="K3054">
        <v>9</v>
      </c>
    </row>
    <row r="3055" spans="1:11" x14ac:dyDescent="0.35">
      <c r="A3055" t="s">
        <v>3092</v>
      </c>
      <c r="B3055">
        <v>63</v>
      </c>
      <c r="C3055" t="s">
        <v>18</v>
      </c>
      <c r="D3055" t="s">
        <v>21</v>
      </c>
      <c r="E3055">
        <v>15</v>
      </c>
      <c r="F3055" t="s">
        <v>22</v>
      </c>
      <c r="G3055" t="s">
        <v>37</v>
      </c>
      <c r="H3055" s="1">
        <v>100.71</v>
      </c>
      <c r="I3055" t="s">
        <v>24</v>
      </c>
      <c r="J3055">
        <v>0</v>
      </c>
      <c r="K3055">
        <v>8</v>
      </c>
    </row>
    <row r="3056" spans="1:11" x14ac:dyDescent="0.35">
      <c r="A3056" t="s">
        <v>3093</v>
      </c>
      <c r="B3056">
        <v>61</v>
      </c>
      <c r="C3056" t="s">
        <v>12</v>
      </c>
      <c r="D3056" t="s">
        <v>19</v>
      </c>
      <c r="E3056">
        <v>21</v>
      </c>
      <c r="F3056" t="s">
        <v>31</v>
      </c>
      <c r="G3056" t="s">
        <v>34</v>
      </c>
      <c r="H3056" s="1">
        <v>158.62</v>
      </c>
      <c r="I3056" t="s">
        <v>24</v>
      </c>
      <c r="J3056">
        <v>4</v>
      </c>
      <c r="K3056">
        <v>1</v>
      </c>
    </row>
    <row r="3057" spans="1:11" x14ac:dyDescent="0.35">
      <c r="A3057" t="s">
        <v>3094</v>
      </c>
      <c r="B3057">
        <v>61</v>
      </c>
      <c r="C3057" t="s">
        <v>12</v>
      </c>
      <c r="D3057" t="s">
        <v>19</v>
      </c>
      <c r="E3057">
        <v>7</v>
      </c>
      <c r="F3057" t="s">
        <v>31</v>
      </c>
      <c r="G3057" t="s">
        <v>23</v>
      </c>
      <c r="H3057" s="1">
        <v>190.52</v>
      </c>
      <c r="I3057" t="s">
        <v>28</v>
      </c>
      <c r="J3057">
        <v>0</v>
      </c>
      <c r="K3057">
        <v>8</v>
      </c>
    </row>
    <row r="3058" spans="1:11" x14ac:dyDescent="0.35">
      <c r="A3058" t="s">
        <v>3095</v>
      </c>
      <c r="B3058">
        <v>74</v>
      </c>
      <c r="C3058" t="s">
        <v>18</v>
      </c>
      <c r="D3058" t="s">
        <v>120</v>
      </c>
      <c r="E3058">
        <v>33</v>
      </c>
      <c r="F3058" t="s">
        <v>33</v>
      </c>
      <c r="G3058" t="s">
        <v>34</v>
      </c>
      <c r="H3058" s="1">
        <v>213.26</v>
      </c>
      <c r="I3058" t="s">
        <v>24</v>
      </c>
      <c r="J3058">
        <v>4</v>
      </c>
      <c r="K3058">
        <v>1</v>
      </c>
    </row>
    <row r="3059" spans="1:11" x14ac:dyDescent="0.35">
      <c r="A3059" t="s">
        <v>3096</v>
      </c>
      <c r="B3059">
        <v>69</v>
      </c>
      <c r="C3059" t="s">
        <v>18</v>
      </c>
      <c r="D3059" t="s">
        <v>19</v>
      </c>
      <c r="E3059">
        <v>20</v>
      </c>
      <c r="F3059" t="s">
        <v>14</v>
      </c>
      <c r="G3059" t="s">
        <v>37</v>
      </c>
      <c r="H3059" s="1">
        <v>0</v>
      </c>
      <c r="I3059" t="s">
        <v>16</v>
      </c>
      <c r="J3059">
        <v>4</v>
      </c>
      <c r="K3059">
        <v>5</v>
      </c>
    </row>
    <row r="3060" spans="1:11" x14ac:dyDescent="0.35">
      <c r="A3060" t="s">
        <v>3097</v>
      </c>
      <c r="B3060">
        <v>41</v>
      </c>
      <c r="C3060" t="s">
        <v>18</v>
      </c>
      <c r="D3060" t="s">
        <v>19</v>
      </c>
      <c r="E3060">
        <v>19</v>
      </c>
      <c r="F3060" t="s">
        <v>31</v>
      </c>
      <c r="G3060" t="s">
        <v>37</v>
      </c>
      <c r="H3060" s="1">
        <v>215.18</v>
      </c>
      <c r="I3060" t="s">
        <v>24</v>
      </c>
      <c r="J3060">
        <v>0</v>
      </c>
      <c r="K3060">
        <v>4</v>
      </c>
    </row>
    <row r="3061" spans="1:11" x14ac:dyDescent="0.35">
      <c r="A3061" t="s">
        <v>3098</v>
      </c>
      <c r="B3061">
        <v>64</v>
      </c>
      <c r="C3061" t="s">
        <v>18</v>
      </c>
      <c r="D3061" t="s">
        <v>41</v>
      </c>
      <c r="E3061">
        <v>9</v>
      </c>
      <c r="F3061" t="s">
        <v>31</v>
      </c>
      <c r="G3061" t="s">
        <v>15</v>
      </c>
      <c r="H3061" s="1">
        <v>212.44</v>
      </c>
      <c r="I3061" t="s">
        <v>24</v>
      </c>
      <c r="J3061">
        <v>1</v>
      </c>
      <c r="K3061">
        <v>5</v>
      </c>
    </row>
    <row r="3062" spans="1:11" x14ac:dyDescent="0.35">
      <c r="A3062" t="s">
        <v>3099</v>
      </c>
      <c r="B3062">
        <v>60</v>
      </c>
      <c r="C3062" t="s">
        <v>12</v>
      </c>
      <c r="D3062" t="s">
        <v>30</v>
      </c>
      <c r="E3062">
        <v>7</v>
      </c>
      <c r="F3062" t="s">
        <v>33</v>
      </c>
      <c r="G3062" t="s">
        <v>15</v>
      </c>
      <c r="H3062" s="1">
        <v>445.15</v>
      </c>
      <c r="I3062" t="s">
        <v>28</v>
      </c>
      <c r="J3062">
        <v>0</v>
      </c>
      <c r="K3062">
        <v>9</v>
      </c>
    </row>
    <row r="3063" spans="1:11" x14ac:dyDescent="0.35">
      <c r="A3063" t="s">
        <v>3100</v>
      </c>
      <c r="B3063">
        <v>44</v>
      </c>
      <c r="C3063" t="s">
        <v>12</v>
      </c>
      <c r="D3063" t="s">
        <v>21</v>
      </c>
      <c r="E3063">
        <v>32</v>
      </c>
      <c r="F3063" t="s">
        <v>26</v>
      </c>
      <c r="G3063" t="s">
        <v>23</v>
      </c>
      <c r="H3063" s="1">
        <v>539.69000000000005</v>
      </c>
      <c r="I3063" t="s">
        <v>28</v>
      </c>
      <c r="J3063">
        <v>2</v>
      </c>
      <c r="K3063">
        <v>2</v>
      </c>
    </row>
    <row r="3064" spans="1:11" x14ac:dyDescent="0.35">
      <c r="A3064" t="s">
        <v>3101</v>
      </c>
      <c r="B3064">
        <v>18</v>
      </c>
      <c r="C3064" t="s">
        <v>12</v>
      </c>
      <c r="D3064" t="s">
        <v>19</v>
      </c>
      <c r="E3064">
        <v>6</v>
      </c>
      <c r="F3064" t="s">
        <v>31</v>
      </c>
      <c r="G3064" t="s">
        <v>34</v>
      </c>
      <c r="H3064" s="1">
        <v>193.09</v>
      </c>
      <c r="I3064" t="s">
        <v>24</v>
      </c>
      <c r="J3064">
        <v>1</v>
      </c>
      <c r="K3064">
        <v>9</v>
      </c>
    </row>
    <row r="3065" spans="1:11" x14ac:dyDescent="0.35">
      <c r="A3065" t="s">
        <v>3102</v>
      </c>
      <c r="B3065">
        <v>30</v>
      </c>
      <c r="C3065" t="s">
        <v>18</v>
      </c>
      <c r="D3065" t="s">
        <v>30</v>
      </c>
      <c r="E3065">
        <v>12</v>
      </c>
      <c r="F3065" t="s">
        <v>26</v>
      </c>
      <c r="G3065" t="s">
        <v>23</v>
      </c>
      <c r="H3065" s="1">
        <v>239.78</v>
      </c>
      <c r="I3065" t="s">
        <v>24</v>
      </c>
      <c r="J3065">
        <v>1</v>
      </c>
      <c r="K3065">
        <v>6</v>
      </c>
    </row>
    <row r="3066" spans="1:11" x14ac:dyDescent="0.35">
      <c r="A3066" t="s">
        <v>3103</v>
      </c>
      <c r="B3066">
        <v>56</v>
      </c>
      <c r="C3066" t="s">
        <v>18</v>
      </c>
      <c r="D3066" t="s">
        <v>19</v>
      </c>
      <c r="E3066">
        <v>12</v>
      </c>
      <c r="F3066" t="s">
        <v>26</v>
      </c>
      <c r="G3066" t="s">
        <v>15</v>
      </c>
      <c r="H3066" s="1">
        <v>437.01</v>
      </c>
      <c r="I3066" t="s">
        <v>24</v>
      </c>
      <c r="J3066">
        <v>0</v>
      </c>
      <c r="K3066">
        <v>8</v>
      </c>
    </row>
    <row r="3067" spans="1:11" x14ac:dyDescent="0.35">
      <c r="A3067" t="s">
        <v>3104</v>
      </c>
      <c r="B3067">
        <v>43</v>
      </c>
      <c r="C3067" t="s">
        <v>18</v>
      </c>
      <c r="D3067" t="s">
        <v>13</v>
      </c>
      <c r="E3067">
        <v>9</v>
      </c>
      <c r="F3067" t="s">
        <v>22</v>
      </c>
      <c r="G3067" t="s">
        <v>15</v>
      </c>
      <c r="H3067" s="1">
        <v>393.25</v>
      </c>
      <c r="I3067" t="s">
        <v>24</v>
      </c>
      <c r="J3067">
        <v>2</v>
      </c>
      <c r="K3067">
        <v>4</v>
      </c>
    </row>
    <row r="3068" spans="1:11" x14ac:dyDescent="0.35">
      <c r="A3068" t="s">
        <v>3105</v>
      </c>
      <c r="B3068">
        <v>23</v>
      </c>
      <c r="C3068" t="s">
        <v>12</v>
      </c>
      <c r="D3068" t="s">
        <v>21</v>
      </c>
      <c r="E3068">
        <v>21</v>
      </c>
      <c r="F3068" t="s">
        <v>33</v>
      </c>
      <c r="G3068" t="s">
        <v>15</v>
      </c>
      <c r="H3068" s="1">
        <v>407.38</v>
      </c>
      <c r="I3068" t="s">
        <v>28</v>
      </c>
      <c r="J3068">
        <v>1</v>
      </c>
      <c r="K3068">
        <v>1</v>
      </c>
    </row>
    <row r="3069" spans="1:11" x14ac:dyDescent="0.35">
      <c r="A3069" t="s">
        <v>3106</v>
      </c>
      <c r="B3069">
        <v>62</v>
      </c>
      <c r="C3069" t="s">
        <v>12</v>
      </c>
      <c r="D3069" t="s">
        <v>19</v>
      </c>
      <c r="E3069">
        <v>22</v>
      </c>
      <c r="F3069" t="s">
        <v>31</v>
      </c>
      <c r="G3069" t="s">
        <v>15</v>
      </c>
      <c r="H3069" s="1">
        <v>109.82</v>
      </c>
      <c r="I3069" t="s">
        <v>24</v>
      </c>
      <c r="J3069">
        <v>1</v>
      </c>
      <c r="K3069">
        <v>4</v>
      </c>
    </row>
    <row r="3070" spans="1:11" x14ac:dyDescent="0.35">
      <c r="A3070" t="s">
        <v>3107</v>
      </c>
      <c r="B3070">
        <v>41</v>
      </c>
      <c r="C3070" t="s">
        <v>12</v>
      </c>
      <c r="D3070" t="s">
        <v>19</v>
      </c>
      <c r="E3070">
        <v>21</v>
      </c>
      <c r="F3070" t="s">
        <v>31</v>
      </c>
      <c r="G3070" t="s">
        <v>37</v>
      </c>
      <c r="H3070" s="1">
        <v>109.4</v>
      </c>
      <c r="I3070" t="s">
        <v>24</v>
      </c>
      <c r="J3070">
        <v>1</v>
      </c>
      <c r="K3070">
        <v>4</v>
      </c>
    </row>
    <row r="3071" spans="1:11" x14ac:dyDescent="0.35">
      <c r="A3071" t="s">
        <v>3108</v>
      </c>
      <c r="B3071">
        <v>42</v>
      </c>
      <c r="C3071" t="s">
        <v>18</v>
      </c>
      <c r="D3071" t="s">
        <v>200</v>
      </c>
      <c r="E3071">
        <v>7</v>
      </c>
      <c r="F3071" t="s">
        <v>26</v>
      </c>
      <c r="G3071" t="s">
        <v>23</v>
      </c>
      <c r="H3071" s="1">
        <v>133.97</v>
      </c>
      <c r="I3071" t="s">
        <v>24</v>
      </c>
      <c r="J3071">
        <v>0</v>
      </c>
      <c r="K3071">
        <v>8</v>
      </c>
    </row>
    <row r="3072" spans="1:11" x14ac:dyDescent="0.35">
      <c r="A3072" t="s">
        <v>3109</v>
      </c>
      <c r="B3072">
        <v>77</v>
      </c>
      <c r="C3072" t="s">
        <v>18</v>
      </c>
      <c r="D3072" t="s">
        <v>30</v>
      </c>
      <c r="E3072">
        <v>4</v>
      </c>
      <c r="F3072" t="s">
        <v>22</v>
      </c>
      <c r="G3072" t="s">
        <v>37</v>
      </c>
      <c r="H3072" s="1">
        <v>155.72</v>
      </c>
      <c r="I3072" t="s">
        <v>24</v>
      </c>
      <c r="J3072">
        <v>0</v>
      </c>
      <c r="K3072">
        <v>10</v>
      </c>
    </row>
    <row r="3073" spans="1:11" x14ac:dyDescent="0.35">
      <c r="A3073" t="s">
        <v>3110</v>
      </c>
      <c r="B3073">
        <v>54</v>
      </c>
      <c r="C3073" t="s">
        <v>12</v>
      </c>
      <c r="D3073" t="s">
        <v>21</v>
      </c>
      <c r="E3073">
        <v>34</v>
      </c>
      <c r="F3073" t="s">
        <v>22</v>
      </c>
      <c r="G3073" t="s">
        <v>23</v>
      </c>
      <c r="H3073" s="1">
        <v>237.76</v>
      </c>
      <c r="I3073" t="s">
        <v>24</v>
      </c>
      <c r="J3073">
        <v>4</v>
      </c>
      <c r="K3073">
        <v>2</v>
      </c>
    </row>
    <row r="3074" spans="1:11" x14ac:dyDescent="0.35">
      <c r="A3074" t="s">
        <v>3111</v>
      </c>
      <c r="B3074">
        <v>18</v>
      </c>
      <c r="C3074" t="s">
        <v>18</v>
      </c>
      <c r="D3074" t="s">
        <v>21</v>
      </c>
      <c r="E3074">
        <v>17</v>
      </c>
      <c r="F3074" t="s">
        <v>31</v>
      </c>
      <c r="G3074" t="s">
        <v>15</v>
      </c>
      <c r="H3074" s="1">
        <v>228.3</v>
      </c>
      <c r="I3074" t="s">
        <v>43</v>
      </c>
      <c r="J3074">
        <v>3</v>
      </c>
      <c r="K3074">
        <v>5</v>
      </c>
    </row>
    <row r="3075" spans="1:11" x14ac:dyDescent="0.35">
      <c r="A3075" t="s">
        <v>3112</v>
      </c>
      <c r="B3075">
        <v>66</v>
      </c>
      <c r="C3075" t="s">
        <v>12</v>
      </c>
      <c r="D3075" t="s">
        <v>57</v>
      </c>
      <c r="E3075">
        <v>47</v>
      </c>
      <c r="F3075" t="s">
        <v>22</v>
      </c>
      <c r="G3075" t="s">
        <v>23</v>
      </c>
      <c r="H3075" s="1">
        <v>354.73</v>
      </c>
      <c r="I3075" t="s">
        <v>24</v>
      </c>
      <c r="J3075">
        <v>2</v>
      </c>
      <c r="K3075">
        <v>2</v>
      </c>
    </row>
    <row r="3076" spans="1:11" x14ac:dyDescent="0.35">
      <c r="A3076" t="s">
        <v>3113</v>
      </c>
      <c r="B3076">
        <v>21</v>
      </c>
      <c r="C3076" t="s">
        <v>12</v>
      </c>
      <c r="D3076" t="s">
        <v>21</v>
      </c>
      <c r="E3076">
        <v>32</v>
      </c>
      <c r="F3076" t="s">
        <v>33</v>
      </c>
      <c r="G3076" t="s">
        <v>27</v>
      </c>
      <c r="H3076" s="1">
        <v>103.95</v>
      </c>
      <c r="I3076" t="s">
        <v>24</v>
      </c>
      <c r="J3076">
        <v>4</v>
      </c>
      <c r="K3076">
        <v>1</v>
      </c>
    </row>
    <row r="3077" spans="1:11" x14ac:dyDescent="0.35">
      <c r="A3077" t="s">
        <v>3114</v>
      </c>
      <c r="B3077">
        <v>47</v>
      </c>
      <c r="C3077" t="s">
        <v>18</v>
      </c>
      <c r="D3077" t="s">
        <v>21</v>
      </c>
      <c r="E3077">
        <v>19</v>
      </c>
      <c r="F3077" t="s">
        <v>31</v>
      </c>
      <c r="G3077" t="s">
        <v>34</v>
      </c>
      <c r="H3077" s="1">
        <v>143.93</v>
      </c>
      <c r="I3077" t="s">
        <v>24</v>
      </c>
      <c r="J3077">
        <v>4</v>
      </c>
      <c r="K3077">
        <v>1</v>
      </c>
    </row>
    <row r="3078" spans="1:11" x14ac:dyDescent="0.35">
      <c r="A3078" t="s">
        <v>3115</v>
      </c>
      <c r="B3078">
        <v>66</v>
      </c>
      <c r="C3078" t="s">
        <v>12</v>
      </c>
      <c r="D3078" t="s">
        <v>13</v>
      </c>
      <c r="E3078">
        <v>11</v>
      </c>
      <c r="F3078" t="s">
        <v>31</v>
      </c>
      <c r="G3078" t="s">
        <v>34</v>
      </c>
      <c r="H3078" s="1">
        <v>155.72</v>
      </c>
      <c r="I3078" t="s">
        <v>24</v>
      </c>
      <c r="J3078">
        <v>0</v>
      </c>
      <c r="K3078">
        <v>8</v>
      </c>
    </row>
    <row r="3079" spans="1:11" x14ac:dyDescent="0.35">
      <c r="A3079" t="s">
        <v>3116</v>
      </c>
      <c r="B3079">
        <v>53</v>
      </c>
      <c r="C3079" t="s">
        <v>12</v>
      </c>
      <c r="D3079" t="s">
        <v>13</v>
      </c>
      <c r="E3079">
        <v>16</v>
      </c>
      <c r="F3079" t="s">
        <v>22</v>
      </c>
      <c r="G3079" t="s">
        <v>34</v>
      </c>
      <c r="H3079" s="1">
        <v>217.56</v>
      </c>
      <c r="I3079" t="s">
        <v>24</v>
      </c>
      <c r="J3079">
        <v>1</v>
      </c>
      <c r="K3079">
        <v>8</v>
      </c>
    </row>
    <row r="3080" spans="1:11" x14ac:dyDescent="0.35">
      <c r="A3080" t="s">
        <v>3117</v>
      </c>
      <c r="B3080">
        <v>73</v>
      </c>
      <c r="C3080" t="s">
        <v>12</v>
      </c>
      <c r="D3080" t="s">
        <v>19</v>
      </c>
      <c r="E3080">
        <v>7</v>
      </c>
      <c r="F3080" t="s">
        <v>31</v>
      </c>
      <c r="G3080" t="s">
        <v>34</v>
      </c>
      <c r="H3080" s="1">
        <v>158.66</v>
      </c>
      <c r="I3080" t="s">
        <v>24</v>
      </c>
      <c r="J3080">
        <v>0</v>
      </c>
      <c r="K3080">
        <v>7</v>
      </c>
    </row>
    <row r="3081" spans="1:11" x14ac:dyDescent="0.35">
      <c r="A3081" t="s">
        <v>3118</v>
      </c>
      <c r="B3081">
        <v>62</v>
      </c>
      <c r="C3081" t="s">
        <v>18</v>
      </c>
      <c r="D3081" t="s">
        <v>244</v>
      </c>
      <c r="E3081">
        <v>9</v>
      </c>
      <c r="F3081" t="s">
        <v>33</v>
      </c>
      <c r="G3081" t="s">
        <v>37</v>
      </c>
      <c r="H3081" s="1">
        <v>188.52</v>
      </c>
      <c r="I3081" t="s">
        <v>24</v>
      </c>
      <c r="J3081">
        <v>2</v>
      </c>
      <c r="K3081">
        <v>6</v>
      </c>
    </row>
    <row r="3082" spans="1:11" x14ac:dyDescent="0.35">
      <c r="A3082" t="s">
        <v>3119</v>
      </c>
      <c r="B3082">
        <v>39</v>
      </c>
      <c r="C3082" t="s">
        <v>12</v>
      </c>
      <c r="D3082" t="s">
        <v>19</v>
      </c>
      <c r="E3082">
        <v>20</v>
      </c>
      <c r="F3082" t="s">
        <v>33</v>
      </c>
      <c r="G3082" t="s">
        <v>15</v>
      </c>
      <c r="H3082" s="1">
        <v>278.14999999999998</v>
      </c>
      <c r="I3082" t="s">
        <v>24</v>
      </c>
      <c r="J3082">
        <v>0</v>
      </c>
      <c r="K3082">
        <v>1</v>
      </c>
    </row>
    <row r="3083" spans="1:11" x14ac:dyDescent="0.35">
      <c r="A3083" t="s">
        <v>3120</v>
      </c>
      <c r="B3083">
        <v>28</v>
      </c>
      <c r="C3083" t="s">
        <v>18</v>
      </c>
      <c r="D3083" t="s">
        <v>13</v>
      </c>
      <c r="E3083">
        <v>18</v>
      </c>
      <c r="F3083" t="s">
        <v>33</v>
      </c>
      <c r="G3083" t="s">
        <v>15</v>
      </c>
      <c r="H3083" s="1">
        <v>245.29</v>
      </c>
      <c r="I3083" t="s">
        <v>24</v>
      </c>
      <c r="J3083">
        <v>1</v>
      </c>
      <c r="K3083">
        <v>6</v>
      </c>
    </row>
    <row r="3084" spans="1:11" x14ac:dyDescent="0.35">
      <c r="A3084" t="s">
        <v>3121</v>
      </c>
      <c r="B3084">
        <v>44</v>
      </c>
      <c r="C3084" t="s">
        <v>12</v>
      </c>
      <c r="D3084" t="s">
        <v>21</v>
      </c>
      <c r="E3084">
        <v>39</v>
      </c>
      <c r="F3084" t="s">
        <v>22</v>
      </c>
      <c r="G3084" t="s">
        <v>27</v>
      </c>
      <c r="H3084" s="1">
        <v>115.8</v>
      </c>
      <c r="I3084" t="s">
        <v>24</v>
      </c>
      <c r="J3084">
        <v>1</v>
      </c>
      <c r="K3084">
        <v>3</v>
      </c>
    </row>
    <row r="3085" spans="1:11" x14ac:dyDescent="0.35">
      <c r="A3085" t="s">
        <v>3122</v>
      </c>
      <c r="B3085">
        <v>40</v>
      </c>
      <c r="C3085" t="s">
        <v>12</v>
      </c>
      <c r="D3085" t="s">
        <v>57</v>
      </c>
      <c r="E3085">
        <v>47</v>
      </c>
      <c r="F3085" t="s">
        <v>33</v>
      </c>
      <c r="G3085" t="s">
        <v>27</v>
      </c>
      <c r="H3085" s="1">
        <v>29.05</v>
      </c>
      <c r="I3085" t="s">
        <v>28</v>
      </c>
      <c r="J3085">
        <v>1</v>
      </c>
      <c r="K3085">
        <v>5</v>
      </c>
    </row>
    <row r="3086" spans="1:11" x14ac:dyDescent="0.35">
      <c r="A3086" t="s">
        <v>3123</v>
      </c>
      <c r="B3086">
        <v>76</v>
      </c>
      <c r="C3086" t="s">
        <v>12</v>
      </c>
      <c r="D3086" t="s">
        <v>21</v>
      </c>
      <c r="E3086">
        <v>40</v>
      </c>
      <c r="F3086" t="s">
        <v>22</v>
      </c>
      <c r="G3086" t="s">
        <v>27</v>
      </c>
      <c r="H3086" s="1">
        <v>152.75</v>
      </c>
      <c r="I3086" t="s">
        <v>24</v>
      </c>
      <c r="J3086">
        <v>2</v>
      </c>
      <c r="K3086">
        <v>5</v>
      </c>
    </row>
    <row r="3087" spans="1:11" x14ac:dyDescent="0.35">
      <c r="A3087" t="s">
        <v>3124</v>
      </c>
      <c r="B3087">
        <v>63</v>
      </c>
      <c r="C3087" t="s">
        <v>12</v>
      </c>
      <c r="D3087" t="s">
        <v>13</v>
      </c>
      <c r="E3087">
        <v>21</v>
      </c>
      <c r="F3087" t="s">
        <v>33</v>
      </c>
      <c r="G3087" t="s">
        <v>37</v>
      </c>
      <c r="H3087" s="1">
        <v>195.3</v>
      </c>
      <c r="I3087" t="s">
        <v>28</v>
      </c>
      <c r="J3087">
        <v>2</v>
      </c>
      <c r="K3087">
        <v>5</v>
      </c>
    </row>
    <row r="3088" spans="1:11" x14ac:dyDescent="0.35">
      <c r="A3088" t="s">
        <v>3125</v>
      </c>
      <c r="B3088">
        <v>54</v>
      </c>
      <c r="C3088" t="s">
        <v>12</v>
      </c>
      <c r="D3088" t="s">
        <v>30</v>
      </c>
      <c r="E3088">
        <v>2</v>
      </c>
      <c r="F3088" t="s">
        <v>22</v>
      </c>
      <c r="G3088" t="s">
        <v>15</v>
      </c>
      <c r="H3088" s="1">
        <v>235.82</v>
      </c>
      <c r="I3088" t="s">
        <v>24</v>
      </c>
      <c r="J3088">
        <v>0</v>
      </c>
      <c r="K3088">
        <v>10</v>
      </c>
    </row>
    <row r="3089" spans="1:11" x14ac:dyDescent="0.35">
      <c r="A3089" t="s">
        <v>3126</v>
      </c>
      <c r="B3089">
        <v>36</v>
      </c>
      <c r="C3089" t="s">
        <v>18</v>
      </c>
      <c r="D3089" t="s">
        <v>19</v>
      </c>
      <c r="E3089">
        <v>18</v>
      </c>
      <c r="F3089" t="s">
        <v>22</v>
      </c>
      <c r="G3089" t="s">
        <v>15</v>
      </c>
      <c r="H3089" s="1">
        <v>240.45</v>
      </c>
      <c r="I3089" t="s">
        <v>24</v>
      </c>
      <c r="J3089">
        <v>3</v>
      </c>
      <c r="K3089">
        <v>7</v>
      </c>
    </row>
    <row r="3090" spans="1:11" x14ac:dyDescent="0.35">
      <c r="A3090" t="s">
        <v>3127</v>
      </c>
      <c r="B3090">
        <v>36</v>
      </c>
      <c r="C3090" t="s">
        <v>12</v>
      </c>
      <c r="D3090" t="s">
        <v>19</v>
      </c>
      <c r="E3090">
        <v>16</v>
      </c>
      <c r="F3090" t="s">
        <v>26</v>
      </c>
      <c r="G3090" t="s">
        <v>27</v>
      </c>
      <c r="H3090" s="1">
        <v>113.13</v>
      </c>
      <c r="I3090" t="s">
        <v>24</v>
      </c>
      <c r="J3090">
        <v>0</v>
      </c>
      <c r="K3090">
        <v>8</v>
      </c>
    </row>
    <row r="3091" spans="1:11" x14ac:dyDescent="0.35">
      <c r="A3091" t="s">
        <v>3128</v>
      </c>
      <c r="B3091">
        <v>38</v>
      </c>
      <c r="C3091" t="s">
        <v>12</v>
      </c>
      <c r="D3091" t="s">
        <v>47</v>
      </c>
      <c r="E3091">
        <v>14</v>
      </c>
      <c r="F3091" t="s">
        <v>33</v>
      </c>
      <c r="G3091" t="s">
        <v>34</v>
      </c>
      <c r="H3091" s="1">
        <v>192.35</v>
      </c>
      <c r="I3091" t="s">
        <v>24</v>
      </c>
      <c r="J3091">
        <v>1</v>
      </c>
      <c r="K3091">
        <v>4</v>
      </c>
    </row>
    <row r="3092" spans="1:11" x14ac:dyDescent="0.35">
      <c r="A3092" t="s">
        <v>3129</v>
      </c>
      <c r="B3092">
        <v>76</v>
      </c>
      <c r="C3092" t="s">
        <v>18</v>
      </c>
      <c r="D3092" t="s">
        <v>21</v>
      </c>
      <c r="E3092">
        <v>32</v>
      </c>
      <c r="F3092" t="s">
        <v>14</v>
      </c>
      <c r="G3092" t="s">
        <v>23</v>
      </c>
      <c r="H3092" s="1">
        <v>0</v>
      </c>
      <c r="I3092" t="s">
        <v>16</v>
      </c>
      <c r="J3092">
        <v>3</v>
      </c>
      <c r="K3092">
        <v>3</v>
      </c>
    </row>
    <row r="3093" spans="1:11" x14ac:dyDescent="0.35">
      <c r="A3093" t="s">
        <v>3130</v>
      </c>
      <c r="B3093">
        <v>35</v>
      </c>
      <c r="C3093" t="s">
        <v>12</v>
      </c>
      <c r="D3093" t="s">
        <v>13</v>
      </c>
      <c r="E3093">
        <v>13</v>
      </c>
      <c r="F3093" t="s">
        <v>31</v>
      </c>
      <c r="G3093" t="s">
        <v>27</v>
      </c>
      <c r="H3093" s="1">
        <v>129.22</v>
      </c>
      <c r="I3093" t="s">
        <v>28</v>
      </c>
      <c r="J3093">
        <v>2</v>
      </c>
      <c r="K3093">
        <v>7</v>
      </c>
    </row>
    <row r="3094" spans="1:11" x14ac:dyDescent="0.35">
      <c r="A3094" t="s">
        <v>3131</v>
      </c>
      <c r="B3094">
        <v>53</v>
      </c>
      <c r="C3094" t="s">
        <v>12</v>
      </c>
      <c r="D3094" t="s">
        <v>13</v>
      </c>
      <c r="E3094">
        <v>11</v>
      </c>
      <c r="F3094" t="s">
        <v>22</v>
      </c>
      <c r="G3094" t="s">
        <v>15</v>
      </c>
      <c r="H3094" s="1">
        <v>342.8</v>
      </c>
      <c r="I3094" t="s">
        <v>24</v>
      </c>
      <c r="J3094">
        <v>0</v>
      </c>
      <c r="K3094">
        <v>5</v>
      </c>
    </row>
    <row r="3095" spans="1:11" x14ac:dyDescent="0.35">
      <c r="A3095" t="s">
        <v>3132</v>
      </c>
      <c r="B3095">
        <v>67</v>
      </c>
      <c r="C3095" t="s">
        <v>12</v>
      </c>
      <c r="D3095" t="s">
        <v>21</v>
      </c>
      <c r="E3095">
        <v>46</v>
      </c>
      <c r="F3095" t="s">
        <v>22</v>
      </c>
      <c r="G3095" t="s">
        <v>15</v>
      </c>
      <c r="H3095" s="1">
        <v>340.23</v>
      </c>
      <c r="I3095" t="s">
        <v>24</v>
      </c>
      <c r="J3095">
        <v>3</v>
      </c>
      <c r="K3095">
        <v>4</v>
      </c>
    </row>
    <row r="3096" spans="1:11" x14ac:dyDescent="0.35">
      <c r="A3096" t="s">
        <v>3133</v>
      </c>
      <c r="B3096">
        <v>83</v>
      </c>
      <c r="C3096" t="s">
        <v>12</v>
      </c>
      <c r="D3096" t="s">
        <v>19</v>
      </c>
      <c r="E3096">
        <v>7</v>
      </c>
      <c r="F3096" t="s">
        <v>31</v>
      </c>
      <c r="G3096" t="s">
        <v>15</v>
      </c>
      <c r="H3096" s="1">
        <v>113.92</v>
      </c>
      <c r="I3096" t="s">
        <v>24</v>
      </c>
      <c r="J3096">
        <v>2</v>
      </c>
      <c r="K3096">
        <v>7</v>
      </c>
    </row>
    <row r="3097" spans="1:11" x14ac:dyDescent="0.35">
      <c r="A3097" t="s">
        <v>3134</v>
      </c>
      <c r="B3097">
        <v>48</v>
      </c>
      <c r="C3097" t="s">
        <v>12</v>
      </c>
      <c r="D3097" t="s">
        <v>19</v>
      </c>
      <c r="E3097">
        <v>9</v>
      </c>
      <c r="F3097" t="s">
        <v>26</v>
      </c>
      <c r="G3097" t="s">
        <v>37</v>
      </c>
      <c r="H3097" s="1">
        <v>199.54</v>
      </c>
      <c r="I3097" t="s">
        <v>24</v>
      </c>
      <c r="J3097">
        <v>0</v>
      </c>
      <c r="K3097">
        <v>5</v>
      </c>
    </row>
    <row r="3098" spans="1:11" x14ac:dyDescent="0.35">
      <c r="A3098" t="s">
        <v>3135</v>
      </c>
      <c r="B3098">
        <v>65</v>
      </c>
      <c r="C3098" t="s">
        <v>18</v>
      </c>
      <c r="D3098" t="s">
        <v>47</v>
      </c>
      <c r="E3098">
        <v>3</v>
      </c>
      <c r="F3098" t="s">
        <v>22</v>
      </c>
      <c r="G3098" t="s">
        <v>23</v>
      </c>
      <c r="H3098" s="1">
        <v>219.5</v>
      </c>
      <c r="I3098" t="s">
        <v>24</v>
      </c>
      <c r="J3098">
        <v>1</v>
      </c>
      <c r="K3098">
        <v>7</v>
      </c>
    </row>
    <row r="3099" spans="1:11" x14ac:dyDescent="0.35">
      <c r="A3099" t="s">
        <v>3136</v>
      </c>
      <c r="B3099">
        <v>19</v>
      </c>
      <c r="C3099" t="s">
        <v>12</v>
      </c>
      <c r="D3099" t="s">
        <v>47</v>
      </c>
      <c r="E3099">
        <v>10</v>
      </c>
      <c r="F3099" t="s">
        <v>33</v>
      </c>
      <c r="G3099" t="s">
        <v>23</v>
      </c>
      <c r="H3099" s="1">
        <v>187.99</v>
      </c>
      <c r="I3099" t="s">
        <v>24</v>
      </c>
      <c r="J3099">
        <v>0</v>
      </c>
      <c r="K3099">
        <v>6</v>
      </c>
    </row>
    <row r="3100" spans="1:11" x14ac:dyDescent="0.35">
      <c r="A3100" t="s">
        <v>3137</v>
      </c>
      <c r="B3100">
        <v>35</v>
      </c>
      <c r="C3100" t="s">
        <v>12</v>
      </c>
      <c r="D3100" t="s">
        <v>21</v>
      </c>
      <c r="E3100">
        <v>40</v>
      </c>
      <c r="F3100" t="s">
        <v>26</v>
      </c>
      <c r="G3100" t="s">
        <v>34</v>
      </c>
      <c r="H3100" s="1">
        <v>106.07</v>
      </c>
      <c r="I3100" t="s">
        <v>24</v>
      </c>
      <c r="J3100">
        <v>1</v>
      </c>
      <c r="K3100">
        <v>1</v>
      </c>
    </row>
    <row r="3101" spans="1:11" x14ac:dyDescent="0.35">
      <c r="A3101" t="s">
        <v>3138</v>
      </c>
      <c r="B3101">
        <v>67</v>
      </c>
      <c r="C3101" t="s">
        <v>12</v>
      </c>
      <c r="D3101" t="s">
        <v>47</v>
      </c>
      <c r="E3101">
        <v>10</v>
      </c>
      <c r="F3101" t="s">
        <v>33</v>
      </c>
      <c r="G3101" t="s">
        <v>15</v>
      </c>
      <c r="H3101" s="1">
        <v>375.08</v>
      </c>
      <c r="I3101" t="s">
        <v>24</v>
      </c>
      <c r="J3101">
        <v>3</v>
      </c>
      <c r="K3101">
        <v>8</v>
      </c>
    </row>
    <row r="3102" spans="1:11" x14ac:dyDescent="0.35">
      <c r="A3102" t="s">
        <v>3139</v>
      </c>
      <c r="B3102">
        <v>66</v>
      </c>
      <c r="C3102" t="s">
        <v>18</v>
      </c>
      <c r="D3102" t="s">
        <v>57</v>
      </c>
      <c r="E3102">
        <v>48</v>
      </c>
      <c r="F3102" t="s">
        <v>31</v>
      </c>
      <c r="G3102" t="s">
        <v>15</v>
      </c>
      <c r="H3102" s="1">
        <v>173.17</v>
      </c>
      <c r="I3102" t="s">
        <v>24</v>
      </c>
      <c r="J3102">
        <v>2</v>
      </c>
      <c r="K3102">
        <v>1</v>
      </c>
    </row>
    <row r="3103" spans="1:11" x14ac:dyDescent="0.35">
      <c r="A3103" t="s">
        <v>3140</v>
      </c>
      <c r="B3103">
        <v>54</v>
      </c>
      <c r="C3103" t="s">
        <v>18</v>
      </c>
      <c r="D3103" t="s">
        <v>19</v>
      </c>
      <c r="E3103">
        <v>19</v>
      </c>
      <c r="F3103" t="s">
        <v>33</v>
      </c>
      <c r="G3103" t="s">
        <v>15</v>
      </c>
      <c r="H3103" s="1">
        <v>360.33</v>
      </c>
      <c r="I3103" t="s">
        <v>24</v>
      </c>
      <c r="J3103">
        <v>2</v>
      </c>
      <c r="K3103">
        <v>3</v>
      </c>
    </row>
    <row r="3104" spans="1:11" x14ac:dyDescent="0.35">
      <c r="A3104" t="s">
        <v>3141</v>
      </c>
      <c r="B3104">
        <v>54</v>
      </c>
      <c r="C3104" t="s">
        <v>12</v>
      </c>
      <c r="D3104" t="s">
        <v>21</v>
      </c>
      <c r="E3104">
        <v>12</v>
      </c>
      <c r="F3104" t="s">
        <v>14</v>
      </c>
      <c r="G3104" t="s">
        <v>34</v>
      </c>
      <c r="H3104" s="1">
        <v>0</v>
      </c>
      <c r="I3104" t="s">
        <v>16</v>
      </c>
      <c r="J3104">
        <v>3</v>
      </c>
      <c r="K3104">
        <v>6</v>
      </c>
    </row>
    <row r="3105" spans="1:11" x14ac:dyDescent="0.35">
      <c r="A3105" t="s">
        <v>3142</v>
      </c>
      <c r="B3105">
        <v>51</v>
      </c>
      <c r="C3105" t="s">
        <v>18</v>
      </c>
      <c r="D3105" t="s">
        <v>21</v>
      </c>
      <c r="E3105">
        <v>18</v>
      </c>
      <c r="F3105" t="s">
        <v>14</v>
      </c>
      <c r="G3105" t="s">
        <v>23</v>
      </c>
      <c r="H3105" s="1">
        <v>0</v>
      </c>
      <c r="I3105" t="s">
        <v>16</v>
      </c>
      <c r="J3105">
        <v>0</v>
      </c>
      <c r="K3105">
        <v>7</v>
      </c>
    </row>
    <row r="3106" spans="1:11" x14ac:dyDescent="0.35">
      <c r="A3106" t="s">
        <v>3143</v>
      </c>
      <c r="B3106">
        <v>35</v>
      </c>
      <c r="C3106" t="s">
        <v>18</v>
      </c>
      <c r="D3106" t="s">
        <v>30</v>
      </c>
      <c r="E3106">
        <v>9</v>
      </c>
      <c r="F3106" t="s">
        <v>22</v>
      </c>
      <c r="G3106" t="s">
        <v>23</v>
      </c>
      <c r="H3106" s="1">
        <v>599.33000000000004</v>
      </c>
      <c r="I3106" t="s">
        <v>24</v>
      </c>
      <c r="J3106">
        <v>0</v>
      </c>
      <c r="K3106">
        <v>6</v>
      </c>
    </row>
    <row r="3107" spans="1:11" x14ac:dyDescent="0.35">
      <c r="A3107" t="s">
        <v>3144</v>
      </c>
      <c r="B3107">
        <v>44</v>
      </c>
      <c r="C3107" t="s">
        <v>12</v>
      </c>
      <c r="D3107" t="s">
        <v>21</v>
      </c>
      <c r="E3107">
        <v>18</v>
      </c>
      <c r="F3107" t="s">
        <v>31</v>
      </c>
      <c r="G3107" t="s">
        <v>23</v>
      </c>
      <c r="H3107" s="1">
        <v>150.80000000000001</v>
      </c>
      <c r="I3107" t="s">
        <v>43</v>
      </c>
      <c r="J3107">
        <v>0</v>
      </c>
      <c r="K3107">
        <v>6</v>
      </c>
    </row>
    <row r="3108" spans="1:11" x14ac:dyDescent="0.35">
      <c r="A3108" t="s">
        <v>3145</v>
      </c>
      <c r="B3108">
        <v>37</v>
      </c>
      <c r="C3108" t="s">
        <v>12</v>
      </c>
      <c r="D3108" t="s">
        <v>13</v>
      </c>
      <c r="E3108">
        <v>16</v>
      </c>
      <c r="F3108" t="s">
        <v>31</v>
      </c>
      <c r="G3108" t="s">
        <v>23</v>
      </c>
      <c r="H3108" s="1">
        <v>509.65</v>
      </c>
      <c r="I3108" t="s">
        <v>24</v>
      </c>
      <c r="J3108">
        <v>1</v>
      </c>
      <c r="K3108">
        <v>4</v>
      </c>
    </row>
    <row r="3109" spans="1:11" x14ac:dyDescent="0.35">
      <c r="A3109" t="s">
        <v>3146</v>
      </c>
      <c r="B3109">
        <v>65</v>
      </c>
      <c r="C3109" t="s">
        <v>18</v>
      </c>
      <c r="D3109" t="s">
        <v>21</v>
      </c>
      <c r="E3109">
        <v>48</v>
      </c>
      <c r="F3109" t="s">
        <v>33</v>
      </c>
      <c r="G3109" t="s">
        <v>34</v>
      </c>
      <c r="H3109" s="1">
        <v>90.59</v>
      </c>
      <c r="I3109" t="s">
        <v>24</v>
      </c>
      <c r="J3109">
        <v>1</v>
      </c>
      <c r="K3109">
        <v>3</v>
      </c>
    </row>
    <row r="3110" spans="1:11" x14ac:dyDescent="0.35">
      <c r="A3110" t="s">
        <v>3147</v>
      </c>
      <c r="B3110">
        <v>76</v>
      </c>
      <c r="C3110" t="s">
        <v>12</v>
      </c>
      <c r="D3110" t="s">
        <v>19</v>
      </c>
      <c r="E3110">
        <v>22</v>
      </c>
      <c r="F3110" t="s">
        <v>14</v>
      </c>
      <c r="G3110" t="s">
        <v>37</v>
      </c>
      <c r="H3110" s="1">
        <v>0</v>
      </c>
      <c r="I3110" t="s">
        <v>16</v>
      </c>
      <c r="J3110">
        <v>1</v>
      </c>
      <c r="K3110">
        <v>4</v>
      </c>
    </row>
    <row r="3111" spans="1:11" x14ac:dyDescent="0.35">
      <c r="A3111" t="s">
        <v>3148</v>
      </c>
      <c r="B3111">
        <v>42</v>
      </c>
      <c r="C3111" t="s">
        <v>18</v>
      </c>
      <c r="D3111" t="s">
        <v>19</v>
      </c>
      <c r="E3111">
        <v>6</v>
      </c>
      <c r="F3111" t="s">
        <v>33</v>
      </c>
      <c r="G3111" t="s">
        <v>23</v>
      </c>
      <c r="H3111" s="1">
        <v>455.16</v>
      </c>
      <c r="I3111" t="s">
        <v>28</v>
      </c>
      <c r="J3111">
        <v>0</v>
      </c>
      <c r="K3111">
        <v>9</v>
      </c>
    </row>
    <row r="3112" spans="1:11" x14ac:dyDescent="0.35">
      <c r="A3112" t="s">
        <v>3149</v>
      </c>
      <c r="B3112">
        <v>56</v>
      </c>
      <c r="C3112" t="s">
        <v>18</v>
      </c>
      <c r="D3112" t="s">
        <v>19</v>
      </c>
      <c r="E3112">
        <v>18</v>
      </c>
      <c r="F3112" t="s">
        <v>14</v>
      </c>
      <c r="G3112" t="s">
        <v>37</v>
      </c>
      <c r="H3112" s="1">
        <v>0</v>
      </c>
      <c r="I3112" t="s">
        <v>16</v>
      </c>
      <c r="J3112">
        <v>1</v>
      </c>
      <c r="K3112">
        <v>4</v>
      </c>
    </row>
    <row r="3113" spans="1:11" x14ac:dyDescent="0.35">
      <c r="A3113" t="s">
        <v>3150</v>
      </c>
      <c r="B3113">
        <v>27</v>
      </c>
      <c r="C3113" t="s">
        <v>12</v>
      </c>
      <c r="D3113" t="s">
        <v>21</v>
      </c>
      <c r="E3113">
        <v>37</v>
      </c>
      <c r="F3113" t="s">
        <v>33</v>
      </c>
      <c r="G3113" t="s">
        <v>23</v>
      </c>
      <c r="H3113" s="1">
        <v>312.8</v>
      </c>
      <c r="I3113" t="s">
        <v>24</v>
      </c>
      <c r="J3113">
        <v>4</v>
      </c>
      <c r="K3113">
        <v>2</v>
      </c>
    </row>
    <row r="3114" spans="1:11" x14ac:dyDescent="0.35">
      <c r="A3114" t="s">
        <v>3151</v>
      </c>
      <c r="B3114">
        <v>55</v>
      </c>
      <c r="C3114" t="s">
        <v>18</v>
      </c>
      <c r="D3114" t="s">
        <v>30</v>
      </c>
      <c r="E3114">
        <v>8</v>
      </c>
      <c r="F3114" t="s">
        <v>22</v>
      </c>
      <c r="G3114" t="s">
        <v>37</v>
      </c>
      <c r="H3114" s="1">
        <v>147.85</v>
      </c>
      <c r="I3114" t="s">
        <v>24</v>
      </c>
      <c r="J3114">
        <v>0</v>
      </c>
      <c r="K3114">
        <v>10</v>
      </c>
    </row>
    <row r="3115" spans="1:11" x14ac:dyDescent="0.35">
      <c r="A3115" t="s">
        <v>3152</v>
      </c>
      <c r="B3115">
        <v>83</v>
      </c>
      <c r="C3115" t="s">
        <v>18</v>
      </c>
      <c r="D3115" t="s">
        <v>19</v>
      </c>
      <c r="E3115">
        <v>7</v>
      </c>
      <c r="F3115" t="s">
        <v>14</v>
      </c>
      <c r="G3115" t="s">
        <v>37</v>
      </c>
      <c r="H3115" s="1">
        <v>0</v>
      </c>
      <c r="I3115" t="s">
        <v>16</v>
      </c>
      <c r="J3115">
        <v>0</v>
      </c>
      <c r="K3115">
        <v>10</v>
      </c>
    </row>
    <row r="3116" spans="1:11" x14ac:dyDescent="0.35">
      <c r="A3116" t="s">
        <v>3153</v>
      </c>
      <c r="B3116">
        <v>38</v>
      </c>
      <c r="C3116" t="s">
        <v>18</v>
      </c>
      <c r="D3116" t="s">
        <v>57</v>
      </c>
      <c r="E3116">
        <v>47</v>
      </c>
      <c r="F3116" t="s">
        <v>14</v>
      </c>
      <c r="G3116" t="s">
        <v>27</v>
      </c>
      <c r="H3116" s="1">
        <v>0</v>
      </c>
      <c r="I3116" t="s">
        <v>16</v>
      </c>
      <c r="J3116">
        <v>1</v>
      </c>
      <c r="K3116">
        <v>3</v>
      </c>
    </row>
    <row r="3117" spans="1:11" x14ac:dyDescent="0.35">
      <c r="A3117" t="s">
        <v>3154</v>
      </c>
      <c r="B3117">
        <v>38</v>
      </c>
      <c r="C3117" t="s">
        <v>18</v>
      </c>
      <c r="D3117" t="s">
        <v>19</v>
      </c>
      <c r="E3117">
        <v>8</v>
      </c>
      <c r="F3117" t="s">
        <v>26</v>
      </c>
      <c r="G3117" t="s">
        <v>15</v>
      </c>
      <c r="H3117" s="1">
        <v>245.71</v>
      </c>
      <c r="I3117" t="s">
        <v>24</v>
      </c>
      <c r="J3117">
        <v>0</v>
      </c>
      <c r="K3117">
        <v>7</v>
      </c>
    </row>
    <row r="3118" spans="1:11" x14ac:dyDescent="0.35">
      <c r="A3118" t="s">
        <v>3155</v>
      </c>
      <c r="B3118">
        <v>65</v>
      </c>
      <c r="C3118" t="s">
        <v>18</v>
      </c>
      <c r="D3118" t="s">
        <v>19</v>
      </c>
      <c r="E3118">
        <v>16</v>
      </c>
      <c r="F3118" t="s">
        <v>22</v>
      </c>
      <c r="G3118" t="s">
        <v>37</v>
      </c>
      <c r="H3118" s="1">
        <v>118.22</v>
      </c>
      <c r="I3118" t="s">
        <v>24</v>
      </c>
      <c r="J3118">
        <v>3</v>
      </c>
      <c r="K3118">
        <v>7</v>
      </c>
    </row>
    <row r="3119" spans="1:11" x14ac:dyDescent="0.35">
      <c r="A3119" t="s">
        <v>3156</v>
      </c>
      <c r="B3119">
        <v>19</v>
      </c>
      <c r="C3119" t="s">
        <v>12</v>
      </c>
      <c r="D3119" t="s">
        <v>30</v>
      </c>
      <c r="E3119">
        <v>14</v>
      </c>
      <c r="F3119" t="s">
        <v>22</v>
      </c>
      <c r="G3119" t="s">
        <v>34</v>
      </c>
      <c r="H3119" s="1">
        <v>119.97</v>
      </c>
      <c r="I3119" t="s">
        <v>24</v>
      </c>
      <c r="J3119">
        <v>1</v>
      </c>
      <c r="K3119">
        <v>7</v>
      </c>
    </row>
    <row r="3120" spans="1:11" x14ac:dyDescent="0.35">
      <c r="A3120" t="s">
        <v>3157</v>
      </c>
      <c r="B3120">
        <v>47</v>
      </c>
      <c r="C3120" t="s">
        <v>12</v>
      </c>
      <c r="D3120" t="s">
        <v>19</v>
      </c>
      <c r="E3120">
        <v>16</v>
      </c>
      <c r="F3120" t="s">
        <v>26</v>
      </c>
      <c r="G3120" t="s">
        <v>37</v>
      </c>
      <c r="H3120" s="1">
        <v>212.9</v>
      </c>
      <c r="I3120" t="s">
        <v>24</v>
      </c>
      <c r="J3120">
        <v>0</v>
      </c>
      <c r="K3120">
        <v>4</v>
      </c>
    </row>
    <row r="3121" spans="1:11" x14ac:dyDescent="0.35">
      <c r="A3121" t="s">
        <v>3158</v>
      </c>
      <c r="B3121">
        <v>79</v>
      </c>
      <c r="C3121" t="s">
        <v>18</v>
      </c>
      <c r="D3121" t="s">
        <v>19</v>
      </c>
      <c r="E3121">
        <v>20</v>
      </c>
      <c r="F3121" t="s">
        <v>33</v>
      </c>
      <c r="G3121" t="s">
        <v>23</v>
      </c>
      <c r="H3121" s="1">
        <v>249.22</v>
      </c>
      <c r="I3121" t="s">
        <v>43</v>
      </c>
      <c r="J3121">
        <v>0</v>
      </c>
      <c r="K3121">
        <v>5</v>
      </c>
    </row>
    <row r="3122" spans="1:11" x14ac:dyDescent="0.35">
      <c r="A3122" t="s">
        <v>3159</v>
      </c>
      <c r="B3122">
        <v>78</v>
      </c>
      <c r="C3122" t="s">
        <v>18</v>
      </c>
      <c r="D3122" t="s">
        <v>13</v>
      </c>
      <c r="E3122">
        <v>20</v>
      </c>
      <c r="F3122" t="s">
        <v>31</v>
      </c>
      <c r="G3122" t="s">
        <v>15</v>
      </c>
      <c r="H3122" s="1">
        <v>412.71</v>
      </c>
      <c r="I3122" t="s">
        <v>24</v>
      </c>
      <c r="J3122">
        <v>1</v>
      </c>
      <c r="K3122">
        <v>3</v>
      </c>
    </row>
    <row r="3123" spans="1:11" x14ac:dyDescent="0.35">
      <c r="A3123" t="s">
        <v>3160</v>
      </c>
      <c r="B3123">
        <v>68</v>
      </c>
      <c r="C3123" t="s">
        <v>12</v>
      </c>
      <c r="D3123" t="s">
        <v>19</v>
      </c>
      <c r="E3123">
        <v>7</v>
      </c>
      <c r="F3123" t="s">
        <v>33</v>
      </c>
      <c r="G3123" t="s">
        <v>15</v>
      </c>
      <c r="H3123" s="1">
        <v>115.07</v>
      </c>
      <c r="I3123" t="s">
        <v>28</v>
      </c>
      <c r="J3123">
        <v>0</v>
      </c>
      <c r="K3123">
        <v>9</v>
      </c>
    </row>
    <row r="3124" spans="1:11" x14ac:dyDescent="0.35">
      <c r="A3124" t="s">
        <v>3161</v>
      </c>
      <c r="B3124">
        <v>76</v>
      </c>
      <c r="C3124" t="s">
        <v>18</v>
      </c>
      <c r="D3124" t="s">
        <v>30</v>
      </c>
      <c r="E3124">
        <v>13</v>
      </c>
      <c r="F3124" t="s">
        <v>14</v>
      </c>
      <c r="G3124" t="s">
        <v>27</v>
      </c>
      <c r="H3124" s="1">
        <v>0</v>
      </c>
      <c r="I3124" t="s">
        <v>16</v>
      </c>
      <c r="J3124">
        <v>1</v>
      </c>
      <c r="K3124">
        <v>8</v>
      </c>
    </row>
    <row r="3125" spans="1:11" x14ac:dyDescent="0.35">
      <c r="A3125" t="s">
        <v>3162</v>
      </c>
      <c r="B3125">
        <v>21</v>
      </c>
      <c r="C3125" t="s">
        <v>18</v>
      </c>
      <c r="D3125" t="s">
        <v>19</v>
      </c>
      <c r="E3125">
        <v>20</v>
      </c>
      <c r="F3125" t="s">
        <v>22</v>
      </c>
      <c r="G3125" t="s">
        <v>34</v>
      </c>
      <c r="H3125" s="1">
        <v>198.32</v>
      </c>
      <c r="I3125" t="s">
        <v>24</v>
      </c>
      <c r="J3125">
        <v>0</v>
      </c>
      <c r="K3125">
        <v>4</v>
      </c>
    </row>
    <row r="3126" spans="1:11" x14ac:dyDescent="0.35">
      <c r="A3126" t="s">
        <v>3163</v>
      </c>
      <c r="B3126">
        <v>41</v>
      </c>
      <c r="C3126" t="s">
        <v>12</v>
      </c>
      <c r="D3126" t="s">
        <v>30</v>
      </c>
      <c r="E3126">
        <v>5</v>
      </c>
      <c r="F3126" t="s">
        <v>22</v>
      </c>
      <c r="G3126" t="s">
        <v>37</v>
      </c>
      <c r="H3126" s="1">
        <v>206.76</v>
      </c>
      <c r="I3126" t="s">
        <v>24</v>
      </c>
      <c r="J3126">
        <v>0</v>
      </c>
      <c r="K3126">
        <v>10</v>
      </c>
    </row>
    <row r="3127" spans="1:11" x14ac:dyDescent="0.35">
      <c r="A3127" t="s">
        <v>3164</v>
      </c>
      <c r="B3127">
        <v>18</v>
      </c>
      <c r="C3127" t="s">
        <v>18</v>
      </c>
      <c r="D3127" t="s">
        <v>47</v>
      </c>
      <c r="E3127">
        <v>7</v>
      </c>
      <c r="F3127" t="s">
        <v>31</v>
      </c>
      <c r="G3127" t="s">
        <v>23</v>
      </c>
      <c r="H3127" s="1">
        <v>384.6</v>
      </c>
      <c r="I3127" t="s">
        <v>24</v>
      </c>
      <c r="J3127">
        <v>2</v>
      </c>
      <c r="K3127">
        <v>9</v>
      </c>
    </row>
    <row r="3128" spans="1:11" x14ac:dyDescent="0.35">
      <c r="A3128" t="s">
        <v>3165</v>
      </c>
      <c r="B3128">
        <v>72</v>
      </c>
      <c r="C3128" t="s">
        <v>12</v>
      </c>
      <c r="D3128" t="s">
        <v>41</v>
      </c>
      <c r="E3128">
        <v>7</v>
      </c>
      <c r="F3128" t="s">
        <v>31</v>
      </c>
      <c r="G3128" t="s">
        <v>37</v>
      </c>
      <c r="H3128" s="1">
        <v>98.95</v>
      </c>
      <c r="I3128" t="s">
        <v>24</v>
      </c>
      <c r="J3128">
        <v>0</v>
      </c>
      <c r="K3128">
        <v>9</v>
      </c>
    </row>
    <row r="3129" spans="1:11" x14ac:dyDescent="0.35">
      <c r="A3129" t="s">
        <v>3166</v>
      </c>
      <c r="B3129">
        <v>55</v>
      </c>
      <c r="C3129" t="s">
        <v>18</v>
      </c>
      <c r="D3129" t="s">
        <v>19</v>
      </c>
      <c r="E3129">
        <v>21</v>
      </c>
      <c r="F3129" t="s">
        <v>31</v>
      </c>
      <c r="G3129" t="s">
        <v>37</v>
      </c>
      <c r="H3129" s="1">
        <v>109.62</v>
      </c>
      <c r="I3129" t="s">
        <v>24</v>
      </c>
      <c r="J3129">
        <v>2</v>
      </c>
      <c r="K3129">
        <v>1</v>
      </c>
    </row>
    <row r="3130" spans="1:11" x14ac:dyDescent="0.35">
      <c r="A3130" t="s">
        <v>3167</v>
      </c>
      <c r="B3130">
        <v>22</v>
      </c>
      <c r="C3130" t="s">
        <v>18</v>
      </c>
      <c r="D3130" t="s">
        <v>30</v>
      </c>
      <c r="E3130">
        <v>3</v>
      </c>
      <c r="F3130" t="s">
        <v>22</v>
      </c>
      <c r="G3130" t="s">
        <v>23</v>
      </c>
      <c r="H3130" s="1">
        <v>140.5</v>
      </c>
      <c r="I3130" t="s">
        <v>24</v>
      </c>
      <c r="J3130">
        <v>0</v>
      </c>
      <c r="K3130">
        <v>9</v>
      </c>
    </row>
    <row r="3131" spans="1:11" x14ac:dyDescent="0.35">
      <c r="A3131" t="s">
        <v>3168</v>
      </c>
      <c r="B3131">
        <v>48</v>
      </c>
      <c r="C3131" t="s">
        <v>12</v>
      </c>
      <c r="D3131" t="s">
        <v>19</v>
      </c>
      <c r="E3131">
        <v>15</v>
      </c>
      <c r="F3131" t="s">
        <v>31</v>
      </c>
      <c r="G3131" t="s">
        <v>23</v>
      </c>
      <c r="H3131" s="1">
        <v>342.53</v>
      </c>
      <c r="I3131" t="s">
        <v>24</v>
      </c>
      <c r="J3131">
        <v>0</v>
      </c>
      <c r="K3131">
        <v>5</v>
      </c>
    </row>
    <row r="3132" spans="1:11" x14ac:dyDescent="0.35">
      <c r="A3132" t="s">
        <v>3169</v>
      </c>
      <c r="B3132">
        <v>21</v>
      </c>
      <c r="C3132" t="s">
        <v>12</v>
      </c>
      <c r="D3132" t="s">
        <v>13</v>
      </c>
      <c r="E3132">
        <v>8</v>
      </c>
      <c r="F3132" t="s">
        <v>31</v>
      </c>
      <c r="G3132" t="s">
        <v>27</v>
      </c>
      <c r="H3132" s="1">
        <v>115.04</v>
      </c>
      <c r="I3132" t="s">
        <v>24</v>
      </c>
      <c r="J3132">
        <v>2</v>
      </c>
      <c r="K3132">
        <v>9</v>
      </c>
    </row>
    <row r="3133" spans="1:11" x14ac:dyDescent="0.35">
      <c r="A3133" t="s">
        <v>3170</v>
      </c>
      <c r="B3133">
        <v>70</v>
      </c>
      <c r="C3133" t="s">
        <v>18</v>
      </c>
      <c r="D3133" t="s">
        <v>21</v>
      </c>
      <c r="E3133">
        <v>37</v>
      </c>
      <c r="F3133" t="s">
        <v>22</v>
      </c>
      <c r="G3133" t="s">
        <v>15</v>
      </c>
      <c r="H3133" s="1">
        <v>428.44</v>
      </c>
      <c r="I3133" t="s">
        <v>28</v>
      </c>
      <c r="J3133">
        <v>3</v>
      </c>
      <c r="K3133">
        <v>4</v>
      </c>
    </row>
    <row r="3134" spans="1:11" x14ac:dyDescent="0.35">
      <c r="A3134" t="s">
        <v>3171</v>
      </c>
      <c r="B3134">
        <v>51</v>
      </c>
      <c r="C3134" t="s">
        <v>18</v>
      </c>
      <c r="D3134" t="s">
        <v>21</v>
      </c>
      <c r="E3134">
        <v>46</v>
      </c>
      <c r="F3134" t="s">
        <v>33</v>
      </c>
      <c r="G3134" t="s">
        <v>23</v>
      </c>
      <c r="H3134" s="1">
        <v>234.25</v>
      </c>
      <c r="I3134" t="s">
        <v>24</v>
      </c>
      <c r="J3134">
        <v>3</v>
      </c>
      <c r="K3134">
        <v>3</v>
      </c>
    </row>
    <row r="3135" spans="1:11" x14ac:dyDescent="0.35">
      <c r="A3135" t="s">
        <v>3172</v>
      </c>
      <c r="B3135">
        <v>67</v>
      </c>
      <c r="C3135" t="s">
        <v>18</v>
      </c>
      <c r="D3135" t="s">
        <v>21</v>
      </c>
      <c r="E3135">
        <v>14</v>
      </c>
      <c r="F3135" t="s">
        <v>33</v>
      </c>
      <c r="G3135" t="s">
        <v>15</v>
      </c>
      <c r="H3135" s="1">
        <v>190.7</v>
      </c>
      <c r="I3135" t="s">
        <v>24</v>
      </c>
      <c r="J3135">
        <v>1</v>
      </c>
      <c r="K3135">
        <v>5</v>
      </c>
    </row>
    <row r="3136" spans="1:11" x14ac:dyDescent="0.35">
      <c r="A3136" t="s">
        <v>3173</v>
      </c>
      <c r="B3136">
        <v>46</v>
      </c>
      <c r="C3136" t="s">
        <v>12</v>
      </c>
      <c r="D3136" t="s">
        <v>57</v>
      </c>
      <c r="E3136">
        <v>47</v>
      </c>
      <c r="F3136" t="s">
        <v>33</v>
      </c>
      <c r="G3136" t="s">
        <v>27</v>
      </c>
      <c r="H3136" s="1">
        <v>167.56</v>
      </c>
      <c r="I3136" t="s">
        <v>24</v>
      </c>
      <c r="J3136">
        <v>3</v>
      </c>
      <c r="K3136">
        <v>1</v>
      </c>
    </row>
    <row r="3137" spans="1:11" x14ac:dyDescent="0.35">
      <c r="A3137" t="s">
        <v>3174</v>
      </c>
      <c r="B3137">
        <v>36</v>
      </c>
      <c r="C3137" t="s">
        <v>12</v>
      </c>
      <c r="D3137" t="s">
        <v>21</v>
      </c>
      <c r="E3137">
        <v>25</v>
      </c>
      <c r="F3137" t="s">
        <v>33</v>
      </c>
      <c r="G3137" t="s">
        <v>23</v>
      </c>
      <c r="H3137" s="1">
        <v>241.82</v>
      </c>
      <c r="I3137" t="s">
        <v>24</v>
      </c>
      <c r="J3137">
        <v>2</v>
      </c>
      <c r="K3137">
        <v>5</v>
      </c>
    </row>
    <row r="3138" spans="1:11" x14ac:dyDescent="0.35">
      <c r="A3138" t="s">
        <v>3175</v>
      </c>
      <c r="B3138">
        <v>76</v>
      </c>
      <c r="C3138" t="s">
        <v>12</v>
      </c>
      <c r="D3138" t="s">
        <v>13</v>
      </c>
      <c r="E3138">
        <v>9</v>
      </c>
      <c r="F3138" t="s">
        <v>31</v>
      </c>
      <c r="G3138" t="s">
        <v>27</v>
      </c>
      <c r="H3138" s="1">
        <v>125.46</v>
      </c>
      <c r="I3138" t="s">
        <v>24</v>
      </c>
      <c r="J3138">
        <v>0</v>
      </c>
      <c r="K3138">
        <v>4</v>
      </c>
    </row>
    <row r="3139" spans="1:11" x14ac:dyDescent="0.35">
      <c r="A3139" t="s">
        <v>3176</v>
      </c>
      <c r="B3139">
        <v>18</v>
      </c>
      <c r="C3139" t="s">
        <v>12</v>
      </c>
      <c r="D3139" t="s">
        <v>19</v>
      </c>
      <c r="E3139">
        <v>10</v>
      </c>
      <c r="F3139" t="s">
        <v>14</v>
      </c>
      <c r="G3139" t="s">
        <v>23</v>
      </c>
      <c r="H3139" s="1">
        <v>0</v>
      </c>
      <c r="I3139" t="s">
        <v>16</v>
      </c>
      <c r="J3139">
        <v>1</v>
      </c>
      <c r="K3139">
        <v>8</v>
      </c>
    </row>
    <row r="3140" spans="1:11" x14ac:dyDescent="0.35">
      <c r="A3140" t="s">
        <v>3177</v>
      </c>
      <c r="B3140">
        <v>20</v>
      </c>
      <c r="C3140" t="s">
        <v>18</v>
      </c>
      <c r="D3140" t="s">
        <v>21</v>
      </c>
      <c r="E3140">
        <v>23</v>
      </c>
      <c r="F3140" t="s">
        <v>22</v>
      </c>
      <c r="G3140" t="s">
        <v>34</v>
      </c>
      <c r="H3140" s="1">
        <v>90.69</v>
      </c>
      <c r="I3140" t="s">
        <v>24</v>
      </c>
      <c r="J3140">
        <v>3</v>
      </c>
      <c r="K3140">
        <v>3</v>
      </c>
    </row>
    <row r="3141" spans="1:11" x14ac:dyDescent="0.35">
      <c r="A3141" t="s">
        <v>3178</v>
      </c>
      <c r="B3141">
        <v>70</v>
      </c>
      <c r="C3141" t="s">
        <v>18</v>
      </c>
      <c r="D3141" t="s">
        <v>13</v>
      </c>
      <c r="E3141">
        <v>18</v>
      </c>
      <c r="F3141" t="s">
        <v>33</v>
      </c>
      <c r="G3141" t="s">
        <v>15</v>
      </c>
      <c r="H3141" s="1">
        <v>180.27</v>
      </c>
      <c r="I3141" t="s">
        <v>43</v>
      </c>
      <c r="J3141">
        <v>2</v>
      </c>
      <c r="K3141">
        <v>8</v>
      </c>
    </row>
    <row r="3142" spans="1:11" x14ac:dyDescent="0.35">
      <c r="A3142" t="s">
        <v>3179</v>
      </c>
      <c r="B3142">
        <v>24</v>
      </c>
      <c r="C3142" t="s">
        <v>12</v>
      </c>
      <c r="D3142" t="s">
        <v>13</v>
      </c>
      <c r="E3142">
        <v>16</v>
      </c>
      <c r="F3142" t="s">
        <v>31</v>
      </c>
      <c r="G3142" t="s">
        <v>27</v>
      </c>
      <c r="H3142" s="1">
        <v>24.53</v>
      </c>
      <c r="I3142" t="s">
        <v>28</v>
      </c>
      <c r="J3142">
        <v>1</v>
      </c>
      <c r="K3142">
        <v>7</v>
      </c>
    </row>
    <row r="3143" spans="1:11" x14ac:dyDescent="0.35">
      <c r="A3143" t="s">
        <v>3180</v>
      </c>
      <c r="B3143">
        <v>64</v>
      </c>
      <c r="C3143" t="s">
        <v>18</v>
      </c>
      <c r="D3143" t="s">
        <v>19</v>
      </c>
      <c r="E3143">
        <v>17</v>
      </c>
      <c r="F3143" t="s">
        <v>22</v>
      </c>
      <c r="G3143" t="s">
        <v>27</v>
      </c>
      <c r="H3143" s="1">
        <v>89.53</v>
      </c>
      <c r="I3143" t="s">
        <v>24</v>
      </c>
      <c r="J3143">
        <v>1</v>
      </c>
      <c r="K3143">
        <v>8</v>
      </c>
    </row>
    <row r="3144" spans="1:11" x14ac:dyDescent="0.35">
      <c r="A3144" t="s">
        <v>3181</v>
      </c>
      <c r="B3144">
        <v>71</v>
      </c>
      <c r="C3144" t="s">
        <v>189</v>
      </c>
      <c r="D3144" t="s">
        <v>21</v>
      </c>
      <c r="E3144">
        <v>46</v>
      </c>
      <c r="F3144" t="s">
        <v>33</v>
      </c>
      <c r="G3144" t="s">
        <v>27</v>
      </c>
      <c r="H3144" s="1">
        <v>179.6</v>
      </c>
      <c r="I3144" t="s">
        <v>24</v>
      </c>
      <c r="J3144">
        <v>3</v>
      </c>
      <c r="K3144">
        <v>3</v>
      </c>
    </row>
    <row r="3145" spans="1:11" x14ac:dyDescent="0.35">
      <c r="A3145" t="s">
        <v>3182</v>
      </c>
      <c r="B3145">
        <v>52</v>
      </c>
      <c r="C3145" t="s">
        <v>12</v>
      </c>
      <c r="D3145" t="s">
        <v>21</v>
      </c>
      <c r="E3145">
        <v>42</v>
      </c>
      <c r="F3145" t="s">
        <v>33</v>
      </c>
      <c r="G3145" t="s">
        <v>27</v>
      </c>
      <c r="H3145" s="1">
        <v>39.200000000000003</v>
      </c>
      <c r="I3145" t="s">
        <v>24</v>
      </c>
      <c r="J3145">
        <v>3</v>
      </c>
      <c r="K3145">
        <v>4</v>
      </c>
    </row>
    <row r="3146" spans="1:11" x14ac:dyDescent="0.35">
      <c r="A3146" t="s">
        <v>3183</v>
      </c>
      <c r="B3146">
        <v>22</v>
      </c>
      <c r="C3146" t="s">
        <v>18</v>
      </c>
      <c r="D3146" t="s">
        <v>21</v>
      </c>
      <c r="E3146">
        <v>33</v>
      </c>
      <c r="F3146" t="s">
        <v>31</v>
      </c>
      <c r="G3146" t="s">
        <v>27</v>
      </c>
      <c r="H3146" s="1">
        <v>162.26</v>
      </c>
      <c r="I3146" t="s">
        <v>24</v>
      </c>
      <c r="J3146">
        <v>4</v>
      </c>
      <c r="K3146">
        <v>5</v>
      </c>
    </row>
    <row r="3147" spans="1:11" x14ac:dyDescent="0.35">
      <c r="A3147" t="s">
        <v>3184</v>
      </c>
      <c r="B3147">
        <v>71</v>
      </c>
      <c r="C3147" t="s">
        <v>12</v>
      </c>
      <c r="D3147" t="s">
        <v>19</v>
      </c>
      <c r="E3147">
        <v>18</v>
      </c>
      <c r="F3147" t="s">
        <v>26</v>
      </c>
      <c r="G3147" t="s">
        <v>23</v>
      </c>
      <c r="H3147" s="1">
        <v>87.44</v>
      </c>
      <c r="I3147" t="s">
        <v>24</v>
      </c>
      <c r="J3147">
        <v>3</v>
      </c>
      <c r="K3147">
        <v>4</v>
      </c>
    </row>
    <row r="3148" spans="1:11" x14ac:dyDescent="0.35">
      <c r="A3148" t="s">
        <v>3185</v>
      </c>
      <c r="B3148">
        <v>19</v>
      </c>
      <c r="C3148" t="s">
        <v>12</v>
      </c>
      <c r="D3148" t="s">
        <v>19</v>
      </c>
      <c r="E3148">
        <v>6</v>
      </c>
      <c r="F3148" t="s">
        <v>22</v>
      </c>
      <c r="G3148" t="s">
        <v>15</v>
      </c>
      <c r="H3148" s="1">
        <v>331</v>
      </c>
      <c r="I3148" t="s">
        <v>24</v>
      </c>
      <c r="J3148">
        <v>0</v>
      </c>
      <c r="K3148">
        <v>10</v>
      </c>
    </row>
    <row r="3149" spans="1:11" x14ac:dyDescent="0.35">
      <c r="A3149" t="s">
        <v>3186</v>
      </c>
      <c r="B3149">
        <v>41</v>
      </c>
      <c r="C3149" t="s">
        <v>12</v>
      </c>
      <c r="D3149" t="s">
        <v>21</v>
      </c>
      <c r="E3149">
        <v>17</v>
      </c>
      <c r="F3149" t="s">
        <v>22</v>
      </c>
      <c r="G3149" t="s">
        <v>23</v>
      </c>
      <c r="H3149" s="1">
        <v>146.06</v>
      </c>
      <c r="I3149" t="s">
        <v>24</v>
      </c>
      <c r="J3149">
        <v>0</v>
      </c>
      <c r="K3149">
        <v>8</v>
      </c>
    </row>
    <row r="3150" spans="1:11" x14ac:dyDescent="0.35">
      <c r="A3150" t="s">
        <v>3187</v>
      </c>
      <c r="B3150">
        <v>54</v>
      </c>
      <c r="C3150" t="s">
        <v>12</v>
      </c>
      <c r="D3150" t="s">
        <v>19</v>
      </c>
      <c r="E3150">
        <v>10</v>
      </c>
      <c r="F3150" t="s">
        <v>33</v>
      </c>
      <c r="G3150" t="s">
        <v>27</v>
      </c>
      <c r="H3150" s="1">
        <v>36.15</v>
      </c>
      <c r="I3150" t="s">
        <v>28</v>
      </c>
      <c r="J3150">
        <v>1</v>
      </c>
      <c r="K3150">
        <v>8</v>
      </c>
    </row>
    <row r="3151" spans="1:11" x14ac:dyDescent="0.35">
      <c r="A3151" t="s">
        <v>3188</v>
      </c>
      <c r="B3151">
        <v>38</v>
      </c>
      <c r="C3151" t="s">
        <v>18</v>
      </c>
      <c r="D3151" t="s">
        <v>19</v>
      </c>
      <c r="E3151">
        <v>23</v>
      </c>
      <c r="F3151" t="s">
        <v>22</v>
      </c>
      <c r="G3151" t="s">
        <v>23</v>
      </c>
      <c r="H3151" s="1">
        <v>101.48</v>
      </c>
      <c r="I3151" t="s">
        <v>24</v>
      </c>
      <c r="J3151">
        <v>0</v>
      </c>
      <c r="K3151">
        <v>1</v>
      </c>
    </row>
    <row r="3152" spans="1:11" x14ac:dyDescent="0.35">
      <c r="A3152" t="s">
        <v>3189</v>
      </c>
      <c r="B3152">
        <v>24</v>
      </c>
      <c r="C3152" t="s">
        <v>18</v>
      </c>
      <c r="D3152" t="s">
        <v>30</v>
      </c>
      <c r="E3152">
        <v>12</v>
      </c>
      <c r="F3152" t="s">
        <v>26</v>
      </c>
      <c r="G3152" t="s">
        <v>15</v>
      </c>
      <c r="H3152" s="1">
        <v>241.9</v>
      </c>
      <c r="I3152" t="s">
        <v>24</v>
      </c>
      <c r="J3152">
        <v>0</v>
      </c>
      <c r="K3152">
        <v>7</v>
      </c>
    </row>
    <row r="3153" spans="1:11" x14ac:dyDescent="0.35">
      <c r="A3153" t="s">
        <v>3190</v>
      </c>
      <c r="B3153">
        <v>57</v>
      </c>
      <c r="C3153" t="s">
        <v>12</v>
      </c>
      <c r="D3153" t="s">
        <v>41</v>
      </c>
      <c r="E3153">
        <v>2</v>
      </c>
      <c r="F3153" t="s">
        <v>22</v>
      </c>
      <c r="G3153" t="s">
        <v>34</v>
      </c>
      <c r="H3153" s="1">
        <v>193.3</v>
      </c>
      <c r="I3153" t="s">
        <v>24</v>
      </c>
      <c r="J3153">
        <v>1</v>
      </c>
      <c r="K3153">
        <v>10</v>
      </c>
    </row>
    <row r="3154" spans="1:11" x14ac:dyDescent="0.35">
      <c r="A3154" t="s">
        <v>3191</v>
      </c>
      <c r="B3154">
        <v>74</v>
      </c>
      <c r="C3154" t="s">
        <v>18</v>
      </c>
      <c r="D3154" t="s">
        <v>19</v>
      </c>
      <c r="E3154">
        <v>11</v>
      </c>
      <c r="F3154" t="s">
        <v>22</v>
      </c>
      <c r="G3154" t="s">
        <v>27</v>
      </c>
      <c r="H3154" s="1">
        <v>41.4</v>
      </c>
      <c r="I3154" t="s">
        <v>24</v>
      </c>
      <c r="J3154">
        <v>0</v>
      </c>
      <c r="K3154">
        <v>7</v>
      </c>
    </row>
    <row r="3155" spans="1:11" x14ac:dyDescent="0.35">
      <c r="A3155" t="s">
        <v>3192</v>
      </c>
      <c r="B3155">
        <v>24</v>
      </c>
      <c r="C3155" t="s">
        <v>18</v>
      </c>
      <c r="D3155" t="s">
        <v>19</v>
      </c>
      <c r="E3155">
        <v>23</v>
      </c>
      <c r="F3155" t="s">
        <v>22</v>
      </c>
      <c r="G3155" t="s">
        <v>34</v>
      </c>
      <c r="H3155" s="1">
        <v>219.49</v>
      </c>
      <c r="I3155" t="s">
        <v>24</v>
      </c>
      <c r="J3155">
        <v>0</v>
      </c>
      <c r="K3155">
        <v>4</v>
      </c>
    </row>
    <row r="3156" spans="1:11" x14ac:dyDescent="0.35">
      <c r="A3156" t="s">
        <v>3193</v>
      </c>
      <c r="B3156">
        <v>47</v>
      </c>
      <c r="C3156" t="s">
        <v>12</v>
      </c>
      <c r="D3156" t="s">
        <v>19</v>
      </c>
      <c r="E3156">
        <v>16</v>
      </c>
      <c r="F3156" t="s">
        <v>26</v>
      </c>
      <c r="G3156" t="s">
        <v>37</v>
      </c>
      <c r="H3156" s="1">
        <v>93.39</v>
      </c>
      <c r="I3156" t="s">
        <v>24</v>
      </c>
      <c r="J3156">
        <v>0</v>
      </c>
      <c r="K3156">
        <v>8</v>
      </c>
    </row>
    <row r="3157" spans="1:11" x14ac:dyDescent="0.35">
      <c r="A3157" t="s">
        <v>3194</v>
      </c>
      <c r="B3157">
        <v>36</v>
      </c>
      <c r="C3157" t="s">
        <v>12</v>
      </c>
      <c r="D3157" t="s">
        <v>21</v>
      </c>
      <c r="E3157">
        <v>40</v>
      </c>
      <c r="F3157" t="s">
        <v>31</v>
      </c>
      <c r="G3157" t="s">
        <v>23</v>
      </c>
      <c r="H3157" s="1">
        <v>534.51</v>
      </c>
      <c r="I3157" t="s">
        <v>28</v>
      </c>
      <c r="J3157">
        <v>2</v>
      </c>
      <c r="K3157">
        <v>1</v>
      </c>
    </row>
    <row r="3158" spans="1:11" x14ac:dyDescent="0.35">
      <c r="A3158" t="s">
        <v>3195</v>
      </c>
      <c r="B3158">
        <v>48</v>
      </c>
      <c r="C3158" t="s">
        <v>18</v>
      </c>
      <c r="D3158" t="s">
        <v>21</v>
      </c>
      <c r="E3158">
        <v>38</v>
      </c>
      <c r="F3158" t="s">
        <v>33</v>
      </c>
      <c r="G3158" t="s">
        <v>34</v>
      </c>
      <c r="H3158" s="1">
        <v>107.37</v>
      </c>
      <c r="I3158" t="s">
        <v>24</v>
      </c>
      <c r="J3158">
        <v>1</v>
      </c>
      <c r="K3158">
        <v>4</v>
      </c>
    </row>
    <row r="3159" spans="1:11" x14ac:dyDescent="0.35">
      <c r="A3159" t="s">
        <v>3196</v>
      </c>
      <c r="B3159">
        <v>79</v>
      </c>
      <c r="C3159" t="s">
        <v>12</v>
      </c>
      <c r="D3159" t="s">
        <v>21</v>
      </c>
      <c r="E3159">
        <v>20</v>
      </c>
      <c r="F3159" t="s">
        <v>33</v>
      </c>
      <c r="G3159" t="s">
        <v>37</v>
      </c>
      <c r="H3159" s="1">
        <v>150.59</v>
      </c>
      <c r="I3159" t="s">
        <v>24</v>
      </c>
      <c r="J3159">
        <v>2</v>
      </c>
      <c r="K3159">
        <v>5</v>
      </c>
    </row>
    <row r="3160" spans="1:11" x14ac:dyDescent="0.35">
      <c r="A3160" t="s">
        <v>3197</v>
      </c>
      <c r="B3160">
        <v>37</v>
      </c>
      <c r="C3160" t="s">
        <v>189</v>
      </c>
      <c r="D3160" t="s">
        <v>13</v>
      </c>
      <c r="E3160">
        <v>11</v>
      </c>
      <c r="F3160" t="s">
        <v>26</v>
      </c>
      <c r="G3160" t="s">
        <v>27</v>
      </c>
      <c r="H3160" s="1">
        <v>170.79</v>
      </c>
      <c r="I3160" t="s">
        <v>28</v>
      </c>
      <c r="J3160">
        <v>3</v>
      </c>
      <c r="K3160">
        <v>7</v>
      </c>
    </row>
    <row r="3161" spans="1:11" x14ac:dyDescent="0.35">
      <c r="A3161" t="s">
        <v>3198</v>
      </c>
      <c r="B3161">
        <v>58</v>
      </c>
      <c r="C3161" t="s">
        <v>18</v>
      </c>
      <c r="D3161" t="s">
        <v>41</v>
      </c>
      <c r="E3161">
        <v>13</v>
      </c>
      <c r="F3161" t="s">
        <v>31</v>
      </c>
      <c r="G3161" t="s">
        <v>15</v>
      </c>
      <c r="H3161" s="1">
        <v>103.58</v>
      </c>
      <c r="I3161" t="s">
        <v>24</v>
      </c>
      <c r="J3161">
        <v>3</v>
      </c>
      <c r="K3161">
        <v>5</v>
      </c>
    </row>
    <row r="3162" spans="1:11" x14ac:dyDescent="0.35">
      <c r="A3162" t="s">
        <v>3199</v>
      </c>
      <c r="B3162">
        <v>53</v>
      </c>
      <c r="C3162" t="s">
        <v>18</v>
      </c>
      <c r="D3162" t="s">
        <v>19</v>
      </c>
      <c r="E3162">
        <v>12</v>
      </c>
      <c r="F3162" t="s">
        <v>31</v>
      </c>
      <c r="G3162" t="s">
        <v>15</v>
      </c>
      <c r="H3162" s="1">
        <v>99.31</v>
      </c>
      <c r="I3162" t="s">
        <v>24</v>
      </c>
      <c r="J3162">
        <v>3</v>
      </c>
      <c r="K3162">
        <v>6</v>
      </c>
    </row>
    <row r="3163" spans="1:11" x14ac:dyDescent="0.35">
      <c r="A3163" t="s">
        <v>3200</v>
      </c>
      <c r="B3163">
        <v>82</v>
      </c>
      <c r="C3163" t="s">
        <v>12</v>
      </c>
      <c r="D3163" t="s">
        <v>13</v>
      </c>
      <c r="E3163">
        <v>7</v>
      </c>
      <c r="F3163" t="s">
        <v>33</v>
      </c>
      <c r="G3163" t="s">
        <v>34</v>
      </c>
      <c r="H3163" s="1">
        <v>192.44</v>
      </c>
      <c r="I3163" t="s">
        <v>24</v>
      </c>
      <c r="J3163">
        <v>0</v>
      </c>
      <c r="K3163">
        <v>8</v>
      </c>
    </row>
    <row r="3164" spans="1:11" x14ac:dyDescent="0.35">
      <c r="A3164" t="s">
        <v>3201</v>
      </c>
      <c r="B3164">
        <v>25</v>
      </c>
      <c r="C3164" t="s">
        <v>12</v>
      </c>
      <c r="D3164" t="s">
        <v>21</v>
      </c>
      <c r="E3164">
        <v>45</v>
      </c>
      <c r="F3164" t="s">
        <v>22</v>
      </c>
      <c r="G3164" t="s">
        <v>34</v>
      </c>
      <c r="H3164" s="1">
        <v>169.34</v>
      </c>
      <c r="I3164" t="s">
        <v>28</v>
      </c>
      <c r="J3164">
        <v>0</v>
      </c>
      <c r="K3164">
        <v>3</v>
      </c>
    </row>
    <row r="3165" spans="1:11" x14ac:dyDescent="0.35">
      <c r="A3165" t="s">
        <v>3202</v>
      </c>
      <c r="B3165">
        <v>43</v>
      </c>
      <c r="C3165" t="s">
        <v>18</v>
      </c>
      <c r="D3165" t="s">
        <v>13</v>
      </c>
      <c r="E3165">
        <v>15</v>
      </c>
      <c r="F3165" t="s">
        <v>33</v>
      </c>
      <c r="G3165" t="s">
        <v>23</v>
      </c>
      <c r="H3165" s="1">
        <v>185.52</v>
      </c>
      <c r="I3165" t="s">
        <v>24</v>
      </c>
      <c r="J3165">
        <v>3</v>
      </c>
      <c r="K3165">
        <v>7</v>
      </c>
    </row>
    <row r="3166" spans="1:11" x14ac:dyDescent="0.35">
      <c r="A3166" t="s">
        <v>3203</v>
      </c>
      <c r="B3166">
        <v>19</v>
      </c>
      <c r="C3166" t="s">
        <v>12</v>
      </c>
      <c r="D3166" t="s">
        <v>244</v>
      </c>
      <c r="E3166">
        <v>6</v>
      </c>
      <c r="F3166" t="s">
        <v>14</v>
      </c>
      <c r="G3166" t="s">
        <v>27</v>
      </c>
      <c r="H3166" s="1">
        <v>0</v>
      </c>
      <c r="I3166" t="s">
        <v>16</v>
      </c>
      <c r="J3166">
        <v>2</v>
      </c>
      <c r="K3166">
        <v>7</v>
      </c>
    </row>
    <row r="3167" spans="1:11" x14ac:dyDescent="0.35">
      <c r="A3167" t="s">
        <v>3204</v>
      </c>
      <c r="B3167">
        <v>65</v>
      </c>
      <c r="C3167" t="s">
        <v>18</v>
      </c>
      <c r="D3167" t="s">
        <v>19</v>
      </c>
      <c r="E3167">
        <v>8</v>
      </c>
      <c r="F3167" t="s">
        <v>31</v>
      </c>
      <c r="G3167" t="s">
        <v>15</v>
      </c>
      <c r="H3167" s="1">
        <v>351.74</v>
      </c>
      <c r="I3167" t="s">
        <v>24</v>
      </c>
      <c r="J3167">
        <v>0</v>
      </c>
      <c r="K3167">
        <v>7</v>
      </c>
    </row>
    <row r="3168" spans="1:11" x14ac:dyDescent="0.35">
      <c r="A3168" t="s">
        <v>3205</v>
      </c>
      <c r="B3168">
        <v>63</v>
      </c>
      <c r="C3168" t="s">
        <v>12</v>
      </c>
      <c r="D3168" t="s">
        <v>19</v>
      </c>
      <c r="E3168">
        <v>23</v>
      </c>
      <c r="F3168" t="s">
        <v>22</v>
      </c>
      <c r="G3168" t="s">
        <v>37</v>
      </c>
      <c r="H3168" s="1">
        <v>195.02</v>
      </c>
      <c r="I3168" t="s">
        <v>24</v>
      </c>
      <c r="J3168">
        <v>4</v>
      </c>
      <c r="K3168">
        <v>1</v>
      </c>
    </row>
    <row r="3169" spans="1:11" x14ac:dyDescent="0.35">
      <c r="A3169" t="s">
        <v>3206</v>
      </c>
      <c r="B3169">
        <v>71</v>
      </c>
      <c r="C3169" t="s">
        <v>18</v>
      </c>
      <c r="D3169" t="s">
        <v>19</v>
      </c>
      <c r="E3169">
        <v>12</v>
      </c>
      <c r="F3169" t="s">
        <v>33</v>
      </c>
      <c r="G3169" t="s">
        <v>34</v>
      </c>
      <c r="H3169" s="1">
        <v>172.03</v>
      </c>
      <c r="I3169" t="s">
        <v>24</v>
      </c>
      <c r="J3169">
        <v>0</v>
      </c>
      <c r="K3169">
        <v>6</v>
      </c>
    </row>
    <row r="3170" spans="1:11" x14ac:dyDescent="0.35">
      <c r="A3170" t="s">
        <v>3207</v>
      </c>
      <c r="B3170">
        <v>79</v>
      </c>
      <c r="C3170" t="s">
        <v>12</v>
      </c>
      <c r="D3170" t="s">
        <v>21</v>
      </c>
      <c r="E3170">
        <v>43</v>
      </c>
      <c r="F3170" t="s">
        <v>14</v>
      </c>
      <c r="G3170" t="s">
        <v>34</v>
      </c>
      <c r="H3170" s="1">
        <v>0</v>
      </c>
      <c r="I3170" t="s">
        <v>16</v>
      </c>
      <c r="J3170">
        <v>1</v>
      </c>
      <c r="K3170">
        <v>2</v>
      </c>
    </row>
    <row r="3171" spans="1:11" x14ac:dyDescent="0.35">
      <c r="A3171" t="s">
        <v>3208</v>
      </c>
      <c r="B3171">
        <v>44</v>
      </c>
      <c r="C3171" t="s">
        <v>528</v>
      </c>
      <c r="D3171" t="s">
        <v>19</v>
      </c>
      <c r="E3171">
        <v>24</v>
      </c>
      <c r="F3171" t="s">
        <v>22</v>
      </c>
      <c r="G3171" t="s">
        <v>27</v>
      </c>
      <c r="H3171" s="1">
        <v>23.79</v>
      </c>
      <c r="I3171" t="s">
        <v>24</v>
      </c>
      <c r="J3171">
        <v>1</v>
      </c>
      <c r="K3171">
        <v>2</v>
      </c>
    </row>
    <row r="3172" spans="1:11" x14ac:dyDescent="0.35">
      <c r="A3172" t="s">
        <v>3209</v>
      </c>
      <c r="B3172">
        <v>41</v>
      </c>
      <c r="C3172" t="s">
        <v>18</v>
      </c>
      <c r="D3172" t="s">
        <v>19</v>
      </c>
      <c r="E3172">
        <v>17</v>
      </c>
      <c r="F3172" t="s">
        <v>31</v>
      </c>
      <c r="G3172" t="s">
        <v>37</v>
      </c>
      <c r="H3172" s="1">
        <v>194.97</v>
      </c>
      <c r="I3172" t="s">
        <v>24</v>
      </c>
      <c r="J3172">
        <v>0</v>
      </c>
      <c r="K3172">
        <v>6</v>
      </c>
    </row>
    <row r="3173" spans="1:11" x14ac:dyDescent="0.35">
      <c r="A3173" t="s">
        <v>3210</v>
      </c>
      <c r="B3173">
        <v>45</v>
      </c>
      <c r="C3173" t="s">
        <v>12</v>
      </c>
      <c r="D3173" t="s">
        <v>244</v>
      </c>
      <c r="E3173">
        <v>21</v>
      </c>
      <c r="F3173" t="s">
        <v>31</v>
      </c>
      <c r="G3173" t="s">
        <v>34</v>
      </c>
      <c r="H3173" s="1">
        <v>93.58</v>
      </c>
      <c r="I3173" t="s">
        <v>24</v>
      </c>
      <c r="J3173">
        <v>1</v>
      </c>
      <c r="K3173">
        <v>5</v>
      </c>
    </row>
    <row r="3174" spans="1:11" x14ac:dyDescent="0.35">
      <c r="A3174" t="s">
        <v>3211</v>
      </c>
      <c r="B3174">
        <v>85</v>
      </c>
      <c r="C3174" t="s">
        <v>12</v>
      </c>
      <c r="D3174" t="s">
        <v>57</v>
      </c>
      <c r="E3174">
        <v>14</v>
      </c>
      <c r="F3174" t="s">
        <v>31</v>
      </c>
      <c r="G3174" t="s">
        <v>37</v>
      </c>
      <c r="H3174" s="1">
        <v>138.76</v>
      </c>
      <c r="I3174" t="s">
        <v>24</v>
      </c>
      <c r="J3174">
        <v>3</v>
      </c>
      <c r="K3174">
        <v>4</v>
      </c>
    </row>
    <row r="3175" spans="1:11" x14ac:dyDescent="0.35">
      <c r="A3175" t="s">
        <v>3212</v>
      </c>
      <c r="B3175">
        <v>76</v>
      </c>
      <c r="C3175" t="s">
        <v>18</v>
      </c>
      <c r="D3175" t="s">
        <v>19</v>
      </c>
      <c r="E3175">
        <v>22</v>
      </c>
      <c r="F3175" t="s">
        <v>22</v>
      </c>
      <c r="G3175" t="s">
        <v>27</v>
      </c>
      <c r="H3175" s="1">
        <v>130.44999999999999</v>
      </c>
      <c r="I3175" t="s">
        <v>24</v>
      </c>
      <c r="J3175">
        <v>1</v>
      </c>
      <c r="K3175">
        <v>1</v>
      </c>
    </row>
    <row r="3176" spans="1:11" x14ac:dyDescent="0.35">
      <c r="A3176" t="s">
        <v>3213</v>
      </c>
      <c r="B3176">
        <v>73</v>
      </c>
      <c r="C3176" t="s">
        <v>12</v>
      </c>
      <c r="D3176" t="s">
        <v>19</v>
      </c>
      <c r="E3176">
        <v>10</v>
      </c>
      <c r="F3176" t="s">
        <v>33</v>
      </c>
      <c r="G3176" t="s">
        <v>34</v>
      </c>
      <c r="H3176" s="1">
        <v>157.56</v>
      </c>
      <c r="I3176" t="s">
        <v>24</v>
      </c>
      <c r="J3176">
        <v>3</v>
      </c>
      <c r="K3176">
        <v>6</v>
      </c>
    </row>
    <row r="3177" spans="1:11" x14ac:dyDescent="0.35">
      <c r="A3177" t="s">
        <v>3214</v>
      </c>
      <c r="B3177">
        <v>36</v>
      </c>
      <c r="C3177" t="s">
        <v>12</v>
      </c>
      <c r="D3177" t="s">
        <v>21</v>
      </c>
      <c r="E3177">
        <v>27</v>
      </c>
      <c r="F3177" t="s">
        <v>33</v>
      </c>
      <c r="G3177" t="s">
        <v>27</v>
      </c>
      <c r="H3177" s="1">
        <v>32.36</v>
      </c>
      <c r="I3177" t="s">
        <v>24</v>
      </c>
      <c r="J3177">
        <v>2</v>
      </c>
      <c r="K3177">
        <v>4</v>
      </c>
    </row>
    <row r="3178" spans="1:11" x14ac:dyDescent="0.35">
      <c r="A3178" t="s">
        <v>3215</v>
      </c>
      <c r="B3178">
        <v>44</v>
      </c>
      <c r="C3178" t="s">
        <v>12</v>
      </c>
      <c r="D3178" t="s">
        <v>19</v>
      </c>
      <c r="E3178">
        <v>9</v>
      </c>
      <c r="F3178" t="s">
        <v>22</v>
      </c>
      <c r="G3178" t="s">
        <v>37</v>
      </c>
      <c r="H3178" s="1">
        <v>174.02</v>
      </c>
      <c r="I3178" t="s">
        <v>24</v>
      </c>
      <c r="J3178">
        <v>2</v>
      </c>
      <c r="K3178">
        <v>8</v>
      </c>
    </row>
    <row r="3179" spans="1:11" x14ac:dyDescent="0.35">
      <c r="A3179" t="s">
        <v>3216</v>
      </c>
      <c r="B3179">
        <v>28</v>
      </c>
      <c r="C3179" t="s">
        <v>12</v>
      </c>
      <c r="D3179" t="s">
        <v>19</v>
      </c>
      <c r="E3179">
        <v>10</v>
      </c>
      <c r="F3179" t="s">
        <v>22</v>
      </c>
      <c r="G3179" t="s">
        <v>34</v>
      </c>
      <c r="H3179" s="1">
        <v>164.95</v>
      </c>
      <c r="I3179" t="s">
        <v>24</v>
      </c>
      <c r="J3179">
        <v>1</v>
      </c>
      <c r="K3179">
        <v>7</v>
      </c>
    </row>
    <row r="3180" spans="1:11" x14ac:dyDescent="0.35">
      <c r="A3180" t="s">
        <v>3217</v>
      </c>
      <c r="B3180">
        <v>61</v>
      </c>
      <c r="C3180" t="s">
        <v>12</v>
      </c>
      <c r="D3180" t="s">
        <v>30</v>
      </c>
      <c r="E3180">
        <v>13</v>
      </c>
      <c r="F3180" t="s">
        <v>14</v>
      </c>
      <c r="G3180" t="s">
        <v>27</v>
      </c>
      <c r="H3180" s="1">
        <v>0</v>
      </c>
      <c r="I3180" t="s">
        <v>16</v>
      </c>
      <c r="J3180">
        <v>3</v>
      </c>
      <c r="K3180">
        <v>6</v>
      </c>
    </row>
    <row r="3181" spans="1:11" x14ac:dyDescent="0.35">
      <c r="A3181" t="s">
        <v>3218</v>
      </c>
      <c r="B3181">
        <v>74</v>
      </c>
      <c r="C3181" t="s">
        <v>18</v>
      </c>
      <c r="D3181" t="s">
        <v>13</v>
      </c>
      <c r="E3181">
        <v>18</v>
      </c>
      <c r="F3181" t="s">
        <v>31</v>
      </c>
      <c r="G3181" t="s">
        <v>23</v>
      </c>
      <c r="H3181" s="1">
        <v>201.6</v>
      </c>
      <c r="I3181" t="s">
        <v>24</v>
      </c>
      <c r="J3181">
        <v>2</v>
      </c>
      <c r="K3181">
        <v>7</v>
      </c>
    </row>
    <row r="3182" spans="1:11" x14ac:dyDescent="0.35">
      <c r="A3182" t="s">
        <v>3219</v>
      </c>
      <c r="B3182">
        <v>56</v>
      </c>
      <c r="C3182" t="s">
        <v>12</v>
      </c>
      <c r="D3182" t="s">
        <v>19</v>
      </c>
      <c r="E3182">
        <v>15</v>
      </c>
      <c r="F3182" t="s">
        <v>14</v>
      </c>
      <c r="G3182" t="s">
        <v>34</v>
      </c>
      <c r="H3182" s="1">
        <v>0</v>
      </c>
      <c r="I3182" t="s">
        <v>16</v>
      </c>
      <c r="J3182">
        <v>3</v>
      </c>
      <c r="K3182">
        <v>5</v>
      </c>
    </row>
    <row r="3183" spans="1:11" x14ac:dyDescent="0.35">
      <c r="A3183" t="s">
        <v>3220</v>
      </c>
      <c r="B3183">
        <v>51</v>
      </c>
      <c r="C3183" t="s">
        <v>18</v>
      </c>
      <c r="D3183" t="s">
        <v>120</v>
      </c>
      <c r="E3183">
        <v>35</v>
      </c>
      <c r="F3183" t="s">
        <v>33</v>
      </c>
      <c r="G3183" t="s">
        <v>15</v>
      </c>
      <c r="H3183" s="1">
        <v>109.96</v>
      </c>
      <c r="I3183" t="s">
        <v>24</v>
      </c>
      <c r="J3183">
        <v>0</v>
      </c>
      <c r="K3183">
        <v>3</v>
      </c>
    </row>
    <row r="3184" spans="1:11" x14ac:dyDescent="0.35">
      <c r="A3184" t="s">
        <v>3221</v>
      </c>
      <c r="B3184">
        <v>68</v>
      </c>
      <c r="C3184" t="s">
        <v>18</v>
      </c>
      <c r="D3184" t="s">
        <v>21</v>
      </c>
      <c r="E3184">
        <v>31</v>
      </c>
      <c r="F3184" t="s">
        <v>22</v>
      </c>
      <c r="G3184" t="s">
        <v>34</v>
      </c>
      <c r="H3184" s="1">
        <v>207.82</v>
      </c>
      <c r="I3184" t="s">
        <v>24</v>
      </c>
      <c r="J3184">
        <v>1</v>
      </c>
      <c r="K3184">
        <v>2</v>
      </c>
    </row>
    <row r="3185" spans="1:11" x14ac:dyDescent="0.35">
      <c r="A3185" t="s">
        <v>3222</v>
      </c>
      <c r="B3185">
        <v>56</v>
      </c>
      <c r="C3185" t="s">
        <v>528</v>
      </c>
      <c r="D3185" t="s">
        <v>21</v>
      </c>
      <c r="E3185">
        <v>18</v>
      </c>
      <c r="F3185" t="s">
        <v>26</v>
      </c>
      <c r="G3185" t="s">
        <v>27</v>
      </c>
      <c r="H3185" s="1">
        <v>131.63999999999999</v>
      </c>
      <c r="I3185" t="s">
        <v>24</v>
      </c>
      <c r="J3185">
        <v>0</v>
      </c>
      <c r="K3185">
        <v>8</v>
      </c>
    </row>
    <row r="3186" spans="1:11" x14ac:dyDescent="0.35">
      <c r="A3186" t="s">
        <v>3223</v>
      </c>
      <c r="B3186">
        <v>42</v>
      </c>
      <c r="C3186" t="s">
        <v>18</v>
      </c>
      <c r="D3186" t="s">
        <v>19</v>
      </c>
      <c r="E3186">
        <v>19</v>
      </c>
      <c r="F3186" t="s">
        <v>22</v>
      </c>
      <c r="G3186" t="s">
        <v>34</v>
      </c>
      <c r="H3186" s="1">
        <v>131.78</v>
      </c>
      <c r="I3186" t="s">
        <v>28</v>
      </c>
      <c r="J3186">
        <v>2</v>
      </c>
      <c r="K3186">
        <v>3</v>
      </c>
    </row>
    <row r="3187" spans="1:11" x14ac:dyDescent="0.35">
      <c r="A3187" t="s">
        <v>3224</v>
      </c>
      <c r="B3187">
        <v>79</v>
      </c>
      <c r="C3187" t="s">
        <v>12</v>
      </c>
      <c r="D3187" t="s">
        <v>57</v>
      </c>
      <c r="E3187">
        <v>26</v>
      </c>
      <c r="F3187" t="s">
        <v>14</v>
      </c>
      <c r="G3187" t="s">
        <v>34</v>
      </c>
      <c r="H3187" s="1">
        <v>0</v>
      </c>
      <c r="I3187" t="s">
        <v>16</v>
      </c>
      <c r="J3187">
        <v>2</v>
      </c>
      <c r="K3187">
        <v>4</v>
      </c>
    </row>
    <row r="3188" spans="1:11" x14ac:dyDescent="0.35">
      <c r="A3188" t="s">
        <v>3225</v>
      </c>
      <c r="B3188">
        <v>20</v>
      </c>
      <c r="C3188" t="s">
        <v>12</v>
      </c>
      <c r="D3188" t="s">
        <v>21</v>
      </c>
      <c r="E3188">
        <v>26</v>
      </c>
      <c r="F3188" t="s">
        <v>22</v>
      </c>
      <c r="G3188" t="s">
        <v>23</v>
      </c>
      <c r="H3188" s="1">
        <v>386.85</v>
      </c>
      <c r="I3188" t="s">
        <v>24</v>
      </c>
      <c r="J3188">
        <v>3</v>
      </c>
      <c r="K3188">
        <v>2</v>
      </c>
    </row>
    <row r="3189" spans="1:11" x14ac:dyDescent="0.35">
      <c r="A3189" t="s">
        <v>3226</v>
      </c>
      <c r="B3189">
        <v>41</v>
      </c>
      <c r="C3189" t="s">
        <v>18</v>
      </c>
      <c r="D3189" t="s">
        <v>30</v>
      </c>
      <c r="E3189">
        <v>7</v>
      </c>
      <c r="F3189" t="s">
        <v>33</v>
      </c>
      <c r="G3189" t="s">
        <v>23</v>
      </c>
      <c r="H3189" s="1">
        <v>62.93</v>
      </c>
      <c r="I3189" t="s">
        <v>24</v>
      </c>
      <c r="J3189">
        <v>0</v>
      </c>
      <c r="K3189">
        <v>9</v>
      </c>
    </row>
    <row r="3190" spans="1:11" x14ac:dyDescent="0.35">
      <c r="A3190" t="s">
        <v>3227</v>
      </c>
      <c r="B3190">
        <v>80</v>
      </c>
      <c r="C3190" t="s">
        <v>12</v>
      </c>
      <c r="D3190" t="s">
        <v>21</v>
      </c>
      <c r="E3190">
        <v>38</v>
      </c>
      <c r="F3190" t="s">
        <v>31</v>
      </c>
      <c r="G3190" t="s">
        <v>27</v>
      </c>
      <c r="H3190" s="1">
        <v>23.91</v>
      </c>
      <c r="I3190" t="s">
        <v>24</v>
      </c>
      <c r="J3190">
        <v>2</v>
      </c>
      <c r="K3190">
        <v>5</v>
      </c>
    </row>
    <row r="3191" spans="1:11" x14ac:dyDescent="0.35">
      <c r="A3191" t="s">
        <v>3228</v>
      </c>
      <c r="B3191">
        <v>29</v>
      </c>
      <c r="C3191" t="s">
        <v>18</v>
      </c>
      <c r="D3191" t="s">
        <v>21</v>
      </c>
      <c r="E3191">
        <v>40</v>
      </c>
      <c r="F3191" t="s">
        <v>33</v>
      </c>
      <c r="G3191" t="s">
        <v>15</v>
      </c>
      <c r="H3191" s="1">
        <v>241.8</v>
      </c>
      <c r="I3191" t="s">
        <v>24</v>
      </c>
      <c r="J3191">
        <v>1</v>
      </c>
      <c r="K3191">
        <v>1</v>
      </c>
    </row>
    <row r="3192" spans="1:11" x14ac:dyDescent="0.35">
      <c r="A3192" t="s">
        <v>3229</v>
      </c>
      <c r="B3192">
        <v>20</v>
      </c>
      <c r="C3192" t="s">
        <v>12</v>
      </c>
      <c r="D3192" t="s">
        <v>13</v>
      </c>
      <c r="E3192">
        <v>13</v>
      </c>
      <c r="F3192" t="s">
        <v>26</v>
      </c>
      <c r="G3192" t="s">
        <v>37</v>
      </c>
      <c r="H3192" s="1">
        <v>160.88</v>
      </c>
      <c r="I3192" t="s">
        <v>28</v>
      </c>
      <c r="J3192">
        <v>1</v>
      </c>
      <c r="K3192">
        <v>4</v>
      </c>
    </row>
    <row r="3193" spans="1:11" x14ac:dyDescent="0.35">
      <c r="A3193" t="s">
        <v>3230</v>
      </c>
      <c r="B3193">
        <v>44</v>
      </c>
      <c r="C3193" t="s">
        <v>18</v>
      </c>
      <c r="D3193" t="s">
        <v>21</v>
      </c>
      <c r="E3193">
        <v>22</v>
      </c>
      <c r="F3193" t="s">
        <v>26</v>
      </c>
      <c r="G3193" t="s">
        <v>15</v>
      </c>
      <c r="H3193" s="1">
        <v>126.35</v>
      </c>
      <c r="I3193" t="s">
        <v>24</v>
      </c>
      <c r="J3193">
        <v>3</v>
      </c>
      <c r="K3193">
        <v>2</v>
      </c>
    </row>
    <row r="3194" spans="1:11" x14ac:dyDescent="0.35">
      <c r="A3194" t="s">
        <v>3231</v>
      </c>
      <c r="B3194">
        <v>46</v>
      </c>
      <c r="C3194" t="s">
        <v>18</v>
      </c>
      <c r="D3194" t="s">
        <v>21</v>
      </c>
      <c r="E3194">
        <v>38</v>
      </c>
      <c r="F3194" t="s">
        <v>26</v>
      </c>
      <c r="G3194" t="s">
        <v>23</v>
      </c>
      <c r="H3194" s="1">
        <v>328.82</v>
      </c>
      <c r="I3194" t="s">
        <v>24</v>
      </c>
      <c r="J3194">
        <v>0</v>
      </c>
      <c r="K3194">
        <v>4</v>
      </c>
    </row>
    <row r="3195" spans="1:11" x14ac:dyDescent="0.35">
      <c r="A3195" t="s">
        <v>3232</v>
      </c>
      <c r="B3195">
        <v>81</v>
      </c>
      <c r="C3195" t="s">
        <v>12</v>
      </c>
      <c r="D3195" t="s">
        <v>13</v>
      </c>
      <c r="E3195">
        <v>23</v>
      </c>
      <c r="F3195" t="s">
        <v>33</v>
      </c>
      <c r="G3195" t="s">
        <v>15</v>
      </c>
      <c r="H3195" s="1">
        <v>196.14</v>
      </c>
      <c r="I3195" t="s">
        <v>43</v>
      </c>
      <c r="J3195">
        <v>0</v>
      </c>
      <c r="K3195">
        <v>5</v>
      </c>
    </row>
    <row r="3196" spans="1:11" x14ac:dyDescent="0.35">
      <c r="A3196" t="s">
        <v>3233</v>
      </c>
      <c r="B3196">
        <v>82</v>
      </c>
      <c r="C3196" t="s">
        <v>12</v>
      </c>
      <c r="D3196" t="s">
        <v>13</v>
      </c>
      <c r="E3196">
        <v>11</v>
      </c>
      <c r="F3196" t="s">
        <v>31</v>
      </c>
      <c r="G3196" t="s">
        <v>27</v>
      </c>
      <c r="H3196" s="1">
        <v>126.94</v>
      </c>
      <c r="I3196" t="s">
        <v>24</v>
      </c>
      <c r="J3196">
        <v>1</v>
      </c>
      <c r="K3196">
        <v>5</v>
      </c>
    </row>
    <row r="3197" spans="1:11" x14ac:dyDescent="0.35">
      <c r="A3197" t="s">
        <v>3234</v>
      </c>
      <c r="B3197">
        <v>80</v>
      </c>
      <c r="C3197" t="s">
        <v>12</v>
      </c>
      <c r="D3197" t="s">
        <v>19</v>
      </c>
      <c r="E3197">
        <v>13</v>
      </c>
      <c r="F3197" t="s">
        <v>14</v>
      </c>
      <c r="G3197" t="s">
        <v>37</v>
      </c>
      <c r="H3197" s="1">
        <v>0</v>
      </c>
      <c r="I3197" t="s">
        <v>16</v>
      </c>
      <c r="J3197">
        <v>1</v>
      </c>
      <c r="K3197">
        <v>4</v>
      </c>
    </row>
    <row r="3198" spans="1:11" x14ac:dyDescent="0.35">
      <c r="A3198" t="s">
        <v>3235</v>
      </c>
      <c r="B3198">
        <v>50</v>
      </c>
      <c r="C3198" t="s">
        <v>12</v>
      </c>
      <c r="D3198" t="s">
        <v>19</v>
      </c>
      <c r="E3198">
        <v>15</v>
      </c>
      <c r="F3198" t="s">
        <v>33</v>
      </c>
      <c r="G3198" t="s">
        <v>37</v>
      </c>
      <c r="H3198" s="1">
        <v>199.32</v>
      </c>
      <c r="I3198" t="s">
        <v>24</v>
      </c>
      <c r="J3198">
        <v>1</v>
      </c>
      <c r="K3198">
        <v>8</v>
      </c>
    </row>
    <row r="3199" spans="1:11" x14ac:dyDescent="0.35">
      <c r="A3199" t="s">
        <v>3236</v>
      </c>
      <c r="B3199">
        <v>79</v>
      </c>
      <c r="C3199" t="s">
        <v>18</v>
      </c>
      <c r="D3199" t="s">
        <v>19</v>
      </c>
      <c r="E3199">
        <v>6</v>
      </c>
      <c r="F3199" t="s">
        <v>22</v>
      </c>
      <c r="G3199" t="s">
        <v>23</v>
      </c>
      <c r="H3199" s="1">
        <v>344.11</v>
      </c>
      <c r="I3199" t="s">
        <v>24</v>
      </c>
      <c r="J3199">
        <v>0</v>
      </c>
      <c r="K3199">
        <v>9</v>
      </c>
    </row>
    <row r="3200" spans="1:11" x14ac:dyDescent="0.35">
      <c r="A3200" t="s">
        <v>3237</v>
      </c>
      <c r="B3200">
        <v>25</v>
      </c>
      <c r="C3200" t="s">
        <v>12</v>
      </c>
      <c r="D3200" t="s">
        <v>13</v>
      </c>
      <c r="E3200">
        <v>22</v>
      </c>
      <c r="F3200" t="s">
        <v>22</v>
      </c>
      <c r="G3200" t="s">
        <v>37</v>
      </c>
      <c r="H3200" s="1">
        <v>169.04</v>
      </c>
      <c r="I3200" t="s">
        <v>24</v>
      </c>
      <c r="J3200">
        <v>2</v>
      </c>
      <c r="K3200">
        <v>3</v>
      </c>
    </row>
    <row r="3201" spans="1:11" x14ac:dyDescent="0.35">
      <c r="A3201" t="s">
        <v>3238</v>
      </c>
      <c r="B3201">
        <v>51</v>
      </c>
      <c r="C3201" t="s">
        <v>12</v>
      </c>
      <c r="D3201" t="s">
        <v>30</v>
      </c>
      <c r="E3201">
        <v>8</v>
      </c>
      <c r="F3201" t="s">
        <v>26</v>
      </c>
      <c r="G3201" t="s">
        <v>37</v>
      </c>
      <c r="H3201" s="1">
        <v>176.72</v>
      </c>
      <c r="I3201" t="s">
        <v>24</v>
      </c>
      <c r="J3201">
        <v>0</v>
      </c>
      <c r="K3201">
        <v>10</v>
      </c>
    </row>
    <row r="3202" spans="1:11" x14ac:dyDescent="0.35">
      <c r="A3202" t="s">
        <v>3239</v>
      </c>
      <c r="B3202">
        <v>59</v>
      </c>
      <c r="C3202" t="s">
        <v>18</v>
      </c>
      <c r="D3202" t="s">
        <v>47</v>
      </c>
      <c r="E3202">
        <v>4</v>
      </c>
      <c r="F3202" t="s">
        <v>26</v>
      </c>
      <c r="G3202" t="s">
        <v>37</v>
      </c>
      <c r="H3202" s="1">
        <v>96.15</v>
      </c>
      <c r="I3202" t="s">
        <v>24</v>
      </c>
      <c r="J3202">
        <v>2</v>
      </c>
      <c r="K3202">
        <v>9</v>
      </c>
    </row>
    <row r="3203" spans="1:11" x14ac:dyDescent="0.35">
      <c r="A3203" t="s">
        <v>3240</v>
      </c>
      <c r="B3203">
        <v>33</v>
      </c>
      <c r="C3203" t="s">
        <v>12</v>
      </c>
      <c r="D3203" t="s">
        <v>21</v>
      </c>
      <c r="E3203">
        <v>12</v>
      </c>
      <c r="F3203" t="s">
        <v>22</v>
      </c>
      <c r="G3203" t="s">
        <v>15</v>
      </c>
      <c r="H3203" s="1">
        <v>314.27999999999997</v>
      </c>
      <c r="I3203" t="s">
        <v>24</v>
      </c>
      <c r="J3203">
        <v>1</v>
      </c>
      <c r="K3203">
        <v>7</v>
      </c>
    </row>
    <row r="3204" spans="1:11" x14ac:dyDescent="0.35">
      <c r="A3204" t="s">
        <v>3241</v>
      </c>
      <c r="B3204">
        <v>77</v>
      </c>
      <c r="C3204" t="s">
        <v>12</v>
      </c>
      <c r="D3204" t="s">
        <v>21</v>
      </c>
      <c r="E3204">
        <v>12</v>
      </c>
      <c r="F3204" t="s">
        <v>33</v>
      </c>
      <c r="G3204" t="s">
        <v>34</v>
      </c>
      <c r="H3204" s="1">
        <v>207.57</v>
      </c>
      <c r="I3204" t="s">
        <v>28</v>
      </c>
      <c r="J3204">
        <v>1</v>
      </c>
      <c r="K3204">
        <v>4</v>
      </c>
    </row>
    <row r="3205" spans="1:11" x14ac:dyDescent="0.35">
      <c r="A3205" t="s">
        <v>3242</v>
      </c>
      <c r="B3205">
        <v>44</v>
      </c>
      <c r="C3205" t="s">
        <v>12</v>
      </c>
      <c r="D3205" t="s">
        <v>30</v>
      </c>
      <c r="E3205">
        <v>5</v>
      </c>
      <c r="F3205" t="s">
        <v>31</v>
      </c>
      <c r="G3205" t="s">
        <v>23</v>
      </c>
      <c r="H3205" s="1">
        <v>473.22</v>
      </c>
      <c r="I3205" t="s">
        <v>24</v>
      </c>
      <c r="J3205">
        <v>2</v>
      </c>
      <c r="K3205">
        <v>8</v>
      </c>
    </row>
    <row r="3206" spans="1:11" x14ac:dyDescent="0.35">
      <c r="A3206" t="s">
        <v>3243</v>
      </c>
      <c r="B3206">
        <v>74</v>
      </c>
      <c r="C3206" t="s">
        <v>12</v>
      </c>
      <c r="D3206" t="s">
        <v>21</v>
      </c>
      <c r="E3206">
        <v>36</v>
      </c>
      <c r="F3206" t="s">
        <v>33</v>
      </c>
      <c r="G3206" t="s">
        <v>37</v>
      </c>
      <c r="H3206" s="1">
        <v>186.74</v>
      </c>
      <c r="I3206" t="s">
        <v>24</v>
      </c>
      <c r="J3206">
        <v>0</v>
      </c>
      <c r="K3206">
        <v>3</v>
      </c>
    </row>
    <row r="3207" spans="1:11" x14ac:dyDescent="0.35">
      <c r="A3207" t="s">
        <v>3244</v>
      </c>
      <c r="B3207">
        <v>29</v>
      </c>
      <c r="C3207" t="s">
        <v>12</v>
      </c>
      <c r="D3207" t="s">
        <v>19</v>
      </c>
      <c r="E3207">
        <v>23</v>
      </c>
      <c r="F3207" t="s">
        <v>31</v>
      </c>
      <c r="G3207" t="s">
        <v>27</v>
      </c>
      <c r="H3207" s="1">
        <v>110.25</v>
      </c>
      <c r="I3207" t="s">
        <v>24</v>
      </c>
      <c r="J3207">
        <v>1</v>
      </c>
      <c r="K3207">
        <v>2</v>
      </c>
    </row>
    <row r="3208" spans="1:11" x14ac:dyDescent="0.35">
      <c r="A3208" t="s">
        <v>3245</v>
      </c>
      <c r="B3208">
        <v>85</v>
      </c>
      <c r="C3208" t="s">
        <v>18</v>
      </c>
      <c r="D3208" t="s">
        <v>13</v>
      </c>
      <c r="E3208">
        <v>15</v>
      </c>
      <c r="F3208" t="s">
        <v>33</v>
      </c>
      <c r="G3208" t="s">
        <v>27</v>
      </c>
      <c r="H3208" s="1">
        <v>81.010000000000005</v>
      </c>
      <c r="I3208" t="s">
        <v>24</v>
      </c>
      <c r="J3208">
        <v>2</v>
      </c>
      <c r="K3208">
        <v>5</v>
      </c>
    </row>
    <row r="3209" spans="1:11" x14ac:dyDescent="0.35">
      <c r="A3209" t="s">
        <v>3246</v>
      </c>
      <c r="B3209">
        <v>20</v>
      </c>
      <c r="C3209" t="s">
        <v>18</v>
      </c>
      <c r="D3209" t="s">
        <v>19</v>
      </c>
      <c r="E3209">
        <v>16</v>
      </c>
      <c r="F3209" t="s">
        <v>22</v>
      </c>
      <c r="G3209" t="s">
        <v>37</v>
      </c>
      <c r="H3209" s="1">
        <v>208.48</v>
      </c>
      <c r="I3209" t="s">
        <v>43</v>
      </c>
      <c r="J3209">
        <v>1</v>
      </c>
      <c r="K3209">
        <v>5</v>
      </c>
    </row>
    <row r="3210" spans="1:11" x14ac:dyDescent="0.35">
      <c r="A3210" t="s">
        <v>3247</v>
      </c>
      <c r="B3210">
        <v>27</v>
      </c>
      <c r="C3210" t="s">
        <v>12</v>
      </c>
      <c r="D3210" t="s">
        <v>21</v>
      </c>
      <c r="E3210">
        <v>26</v>
      </c>
      <c r="F3210" t="s">
        <v>22</v>
      </c>
      <c r="G3210" t="s">
        <v>34</v>
      </c>
      <c r="H3210" s="1">
        <v>168.62</v>
      </c>
      <c r="I3210" t="s">
        <v>43</v>
      </c>
      <c r="J3210">
        <v>4</v>
      </c>
      <c r="K3210">
        <v>3</v>
      </c>
    </row>
    <row r="3211" spans="1:11" x14ac:dyDescent="0.35">
      <c r="A3211" t="s">
        <v>3248</v>
      </c>
      <c r="B3211">
        <v>38</v>
      </c>
      <c r="C3211" t="s">
        <v>12</v>
      </c>
      <c r="D3211" t="s">
        <v>13</v>
      </c>
      <c r="E3211">
        <v>10</v>
      </c>
      <c r="F3211" t="s">
        <v>22</v>
      </c>
      <c r="G3211" t="s">
        <v>37</v>
      </c>
      <c r="H3211" s="1">
        <v>195.07</v>
      </c>
      <c r="I3211" t="s">
        <v>24</v>
      </c>
      <c r="J3211">
        <v>1</v>
      </c>
      <c r="K3211">
        <v>7</v>
      </c>
    </row>
    <row r="3212" spans="1:11" x14ac:dyDescent="0.35">
      <c r="A3212" t="s">
        <v>3249</v>
      </c>
      <c r="B3212">
        <v>19</v>
      </c>
      <c r="C3212" t="s">
        <v>12</v>
      </c>
      <c r="D3212" t="s">
        <v>19</v>
      </c>
      <c r="E3212">
        <v>19</v>
      </c>
      <c r="F3212" t="s">
        <v>26</v>
      </c>
      <c r="G3212" t="s">
        <v>34</v>
      </c>
      <c r="H3212" s="1">
        <v>154.15</v>
      </c>
      <c r="I3212" t="s">
        <v>24</v>
      </c>
      <c r="J3212">
        <v>1</v>
      </c>
      <c r="K3212">
        <v>4</v>
      </c>
    </row>
    <row r="3213" spans="1:11" x14ac:dyDescent="0.35">
      <c r="A3213" t="s">
        <v>3250</v>
      </c>
      <c r="B3213">
        <v>62</v>
      </c>
      <c r="C3213" t="s">
        <v>18</v>
      </c>
      <c r="D3213" t="s">
        <v>244</v>
      </c>
      <c r="E3213">
        <v>11</v>
      </c>
      <c r="F3213" t="s">
        <v>14</v>
      </c>
      <c r="G3213" t="s">
        <v>15</v>
      </c>
      <c r="H3213" s="1">
        <v>0</v>
      </c>
      <c r="I3213" t="s">
        <v>16</v>
      </c>
      <c r="J3213">
        <v>2</v>
      </c>
      <c r="K3213">
        <v>5</v>
      </c>
    </row>
    <row r="3214" spans="1:11" x14ac:dyDescent="0.35">
      <c r="A3214" t="s">
        <v>3251</v>
      </c>
      <c r="B3214">
        <v>85</v>
      </c>
      <c r="C3214" t="s">
        <v>18</v>
      </c>
      <c r="D3214" t="s">
        <v>21</v>
      </c>
      <c r="E3214">
        <v>46</v>
      </c>
      <c r="F3214" t="s">
        <v>31</v>
      </c>
      <c r="G3214" t="s">
        <v>37</v>
      </c>
      <c r="H3214" s="1">
        <v>159.87</v>
      </c>
      <c r="I3214" t="s">
        <v>24</v>
      </c>
      <c r="J3214">
        <v>0</v>
      </c>
      <c r="K3214">
        <v>2</v>
      </c>
    </row>
    <row r="3215" spans="1:11" x14ac:dyDescent="0.35">
      <c r="A3215" t="s">
        <v>3252</v>
      </c>
      <c r="B3215">
        <v>80</v>
      </c>
      <c r="C3215" t="s">
        <v>12</v>
      </c>
      <c r="D3215" t="s">
        <v>120</v>
      </c>
      <c r="E3215">
        <v>21</v>
      </c>
      <c r="F3215" t="s">
        <v>22</v>
      </c>
      <c r="G3215" t="s">
        <v>27</v>
      </c>
      <c r="H3215" s="1">
        <v>112.49</v>
      </c>
      <c r="I3215" t="s">
        <v>24</v>
      </c>
      <c r="J3215">
        <v>2</v>
      </c>
      <c r="K3215">
        <v>1</v>
      </c>
    </row>
    <row r="3216" spans="1:11" x14ac:dyDescent="0.35">
      <c r="A3216" t="s">
        <v>3253</v>
      </c>
      <c r="B3216">
        <v>19</v>
      </c>
      <c r="C3216" t="s">
        <v>18</v>
      </c>
      <c r="D3216" t="s">
        <v>21</v>
      </c>
      <c r="E3216">
        <v>18</v>
      </c>
      <c r="F3216" t="s">
        <v>31</v>
      </c>
      <c r="G3216" t="s">
        <v>27</v>
      </c>
      <c r="H3216" s="1">
        <v>41.5</v>
      </c>
      <c r="I3216" t="s">
        <v>24</v>
      </c>
      <c r="J3216">
        <v>1</v>
      </c>
      <c r="K3216">
        <v>6</v>
      </c>
    </row>
    <row r="3217" spans="1:11" x14ac:dyDescent="0.35">
      <c r="A3217" t="s">
        <v>3254</v>
      </c>
      <c r="B3217">
        <v>43</v>
      </c>
      <c r="C3217" t="s">
        <v>18</v>
      </c>
      <c r="D3217" t="s">
        <v>13</v>
      </c>
      <c r="E3217">
        <v>6</v>
      </c>
      <c r="F3217" t="s">
        <v>31</v>
      </c>
      <c r="G3217" t="s">
        <v>37</v>
      </c>
      <c r="H3217" s="1">
        <v>208.72</v>
      </c>
      <c r="I3217" t="s">
        <v>24</v>
      </c>
      <c r="J3217">
        <v>2</v>
      </c>
      <c r="K3217">
        <v>8</v>
      </c>
    </row>
    <row r="3218" spans="1:11" x14ac:dyDescent="0.35">
      <c r="A3218" t="s">
        <v>3255</v>
      </c>
      <c r="B3218">
        <v>65</v>
      </c>
      <c r="C3218" t="s">
        <v>12</v>
      </c>
      <c r="D3218" t="s">
        <v>30</v>
      </c>
      <c r="E3218">
        <v>5</v>
      </c>
      <c r="F3218" t="s">
        <v>22</v>
      </c>
      <c r="G3218" t="s">
        <v>34</v>
      </c>
      <c r="H3218" s="1">
        <v>179.9</v>
      </c>
      <c r="I3218" t="s">
        <v>24</v>
      </c>
      <c r="J3218">
        <v>0</v>
      </c>
      <c r="K3218">
        <v>7</v>
      </c>
    </row>
    <row r="3219" spans="1:11" x14ac:dyDescent="0.35">
      <c r="A3219" t="s">
        <v>3256</v>
      </c>
      <c r="B3219">
        <v>57</v>
      </c>
      <c r="C3219" t="s">
        <v>18</v>
      </c>
      <c r="D3219" t="s">
        <v>19</v>
      </c>
      <c r="E3219">
        <v>23</v>
      </c>
      <c r="F3219" t="s">
        <v>31</v>
      </c>
      <c r="G3219" t="s">
        <v>34</v>
      </c>
      <c r="H3219" s="1">
        <v>128.97999999999999</v>
      </c>
      <c r="I3219" t="s">
        <v>24</v>
      </c>
      <c r="J3219">
        <v>3</v>
      </c>
      <c r="K3219">
        <v>5</v>
      </c>
    </row>
    <row r="3220" spans="1:11" x14ac:dyDescent="0.35">
      <c r="A3220" t="s">
        <v>3257</v>
      </c>
      <c r="B3220">
        <v>55</v>
      </c>
      <c r="C3220" t="s">
        <v>12</v>
      </c>
      <c r="D3220" t="s">
        <v>21</v>
      </c>
      <c r="E3220">
        <v>45</v>
      </c>
      <c r="F3220" t="s">
        <v>33</v>
      </c>
      <c r="G3220" t="s">
        <v>27</v>
      </c>
      <c r="H3220" s="1">
        <v>42.43</v>
      </c>
      <c r="I3220" t="s">
        <v>24</v>
      </c>
      <c r="J3220">
        <v>1</v>
      </c>
      <c r="K3220">
        <v>2</v>
      </c>
    </row>
    <row r="3221" spans="1:11" x14ac:dyDescent="0.35">
      <c r="A3221" t="s">
        <v>3258</v>
      </c>
      <c r="B3221">
        <v>78</v>
      </c>
      <c r="C3221" t="s">
        <v>18</v>
      </c>
      <c r="D3221" t="s">
        <v>19</v>
      </c>
      <c r="E3221">
        <v>14</v>
      </c>
      <c r="F3221" t="s">
        <v>26</v>
      </c>
      <c r="G3221" t="s">
        <v>34</v>
      </c>
      <c r="H3221" s="1">
        <v>211.79</v>
      </c>
      <c r="I3221" t="s">
        <v>28</v>
      </c>
      <c r="J3221">
        <v>3</v>
      </c>
      <c r="K3221">
        <v>5</v>
      </c>
    </row>
    <row r="3222" spans="1:11" x14ac:dyDescent="0.35">
      <c r="A3222" t="s">
        <v>3259</v>
      </c>
      <c r="B3222">
        <v>21</v>
      </c>
      <c r="C3222" t="s">
        <v>18</v>
      </c>
      <c r="D3222" t="s">
        <v>19</v>
      </c>
      <c r="E3222">
        <v>21</v>
      </c>
      <c r="F3222" t="s">
        <v>31</v>
      </c>
      <c r="G3222" t="s">
        <v>34</v>
      </c>
      <c r="H3222" s="1">
        <v>114.92</v>
      </c>
      <c r="I3222" t="s">
        <v>24</v>
      </c>
      <c r="J3222">
        <v>0</v>
      </c>
      <c r="K3222">
        <v>2</v>
      </c>
    </row>
    <row r="3223" spans="1:11" x14ac:dyDescent="0.35">
      <c r="A3223" t="s">
        <v>3260</v>
      </c>
      <c r="B3223">
        <v>48</v>
      </c>
      <c r="C3223" t="s">
        <v>12</v>
      </c>
      <c r="D3223" t="s">
        <v>21</v>
      </c>
      <c r="E3223">
        <v>18</v>
      </c>
      <c r="F3223" t="s">
        <v>14</v>
      </c>
      <c r="G3223" t="s">
        <v>23</v>
      </c>
      <c r="H3223" s="1">
        <v>0</v>
      </c>
      <c r="I3223" t="s">
        <v>16</v>
      </c>
      <c r="J3223">
        <v>2</v>
      </c>
      <c r="K3223">
        <v>6</v>
      </c>
    </row>
    <row r="3224" spans="1:11" x14ac:dyDescent="0.35">
      <c r="A3224" t="s">
        <v>3261</v>
      </c>
      <c r="B3224">
        <v>57</v>
      </c>
      <c r="C3224" t="s">
        <v>18</v>
      </c>
      <c r="D3224" t="s">
        <v>21</v>
      </c>
      <c r="E3224">
        <v>25</v>
      </c>
      <c r="F3224" t="s">
        <v>22</v>
      </c>
      <c r="G3224" t="s">
        <v>37</v>
      </c>
      <c r="H3224" s="1">
        <v>206.12</v>
      </c>
      <c r="I3224" t="s">
        <v>28</v>
      </c>
      <c r="J3224">
        <v>4</v>
      </c>
      <c r="K3224">
        <v>5</v>
      </c>
    </row>
    <row r="3225" spans="1:11" x14ac:dyDescent="0.35">
      <c r="A3225" t="s">
        <v>3262</v>
      </c>
      <c r="B3225">
        <v>61</v>
      </c>
      <c r="C3225" t="s">
        <v>18</v>
      </c>
      <c r="D3225" t="s">
        <v>21</v>
      </c>
      <c r="E3225">
        <v>29</v>
      </c>
      <c r="F3225" t="s">
        <v>31</v>
      </c>
      <c r="G3225" t="s">
        <v>34</v>
      </c>
      <c r="H3225" s="1">
        <v>90.67</v>
      </c>
      <c r="I3225" t="s">
        <v>24</v>
      </c>
      <c r="J3225">
        <v>3</v>
      </c>
      <c r="K3225">
        <v>3</v>
      </c>
    </row>
    <row r="3226" spans="1:11" x14ac:dyDescent="0.35">
      <c r="A3226" t="s">
        <v>3263</v>
      </c>
      <c r="B3226">
        <v>31</v>
      </c>
      <c r="C3226" t="s">
        <v>12</v>
      </c>
      <c r="D3226" t="s">
        <v>19</v>
      </c>
      <c r="E3226">
        <v>19</v>
      </c>
      <c r="F3226" t="s">
        <v>14</v>
      </c>
      <c r="G3226" t="s">
        <v>27</v>
      </c>
      <c r="H3226" s="1">
        <v>0</v>
      </c>
      <c r="I3226" t="s">
        <v>16</v>
      </c>
      <c r="J3226">
        <v>1</v>
      </c>
      <c r="K3226">
        <v>5</v>
      </c>
    </row>
    <row r="3227" spans="1:11" x14ac:dyDescent="0.35">
      <c r="A3227" t="s">
        <v>3264</v>
      </c>
      <c r="B3227">
        <v>84</v>
      </c>
      <c r="C3227" t="s">
        <v>12</v>
      </c>
      <c r="D3227" t="s">
        <v>21</v>
      </c>
      <c r="E3227">
        <v>45</v>
      </c>
      <c r="F3227" t="s">
        <v>31</v>
      </c>
      <c r="G3227" t="s">
        <v>37</v>
      </c>
      <c r="H3227" s="1">
        <v>114.83</v>
      </c>
      <c r="I3227" t="s">
        <v>24</v>
      </c>
      <c r="J3227">
        <v>2</v>
      </c>
      <c r="K3227">
        <v>1</v>
      </c>
    </row>
    <row r="3228" spans="1:11" x14ac:dyDescent="0.35">
      <c r="A3228" t="s">
        <v>3265</v>
      </c>
      <c r="B3228">
        <v>67</v>
      </c>
      <c r="C3228" t="s">
        <v>12</v>
      </c>
      <c r="D3228" t="s">
        <v>19</v>
      </c>
      <c r="E3228">
        <v>13</v>
      </c>
      <c r="F3228" t="s">
        <v>22</v>
      </c>
      <c r="G3228" t="s">
        <v>27</v>
      </c>
      <c r="H3228" s="1">
        <v>167.46</v>
      </c>
      <c r="I3228" t="s">
        <v>24</v>
      </c>
      <c r="J3228">
        <v>1</v>
      </c>
      <c r="K3228">
        <v>6</v>
      </c>
    </row>
    <row r="3229" spans="1:11" x14ac:dyDescent="0.35">
      <c r="A3229" t="s">
        <v>3266</v>
      </c>
      <c r="B3229">
        <v>65</v>
      </c>
      <c r="C3229" t="s">
        <v>18</v>
      </c>
      <c r="D3229" t="s">
        <v>19</v>
      </c>
      <c r="E3229">
        <v>22</v>
      </c>
      <c r="F3229" t="s">
        <v>33</v>
      </c>
      <c r="G3229" t="s">
        <v>34</v>
      </c>
      <c r="H3229" s="1">
        <v>147.30000000000001</v>
      </c>
      <c r="I3229" t="s">
        <v>24</v>
      </c>
      <c r="J3229">
        <v>1</v>
      </c>
      <c r="K3229">
        <v>4</v>
      </c>
    </row>
    <row r="3230" spans="1:11" x14ac:dyDescent="0.35">
      <c r="A3230" t="s">
        <v>3267</v>
      </c>
      <c r="B3230">
        <v>58</v>
      </c>
      <c r="C3230" t="s">
        <v>18</v>
      </c>
      <c r="D3230" t="s">
        <v>21</v>
      </c>
      <c r="E3230">
        <v>47</v>
      </c>
      <c r="F3230" t="s">
        <v>26</v>
      </c>
      <c r="G3230" t="s">
        <v>27</v>
      </c>
      <c r="H3230" s="1">
        <v>163.5</v>
      </c>
      <c r="I3230" t="s">
        <v>24</v>
      </c>
      <c r="J3230">
        <v>3</v>
      </c>
      <c r="K3230">
        <v>2</v>
      </c>
    </row>
    <row r="3231" spans="1:11" x14ac:dyDescent="0.35">
      <c r="A3231" t="s">
        <v>3268</v>
      </c>
      <c r="B3231">
        <v>69</v>
      </c>
      <c r="C3231" t="s">
        <v>12</v>
      </c>
      <c r="D3231" t="s">
        <v>21</v>
      </c>
      <c r="E3231">
        <v>43</v>
      </c>
      <c r="F3231" t="s">
        <v>33</v>
      </c>
      <c r="G3231" t="s">
        <v>23</v>
      </c>
      <c r="H3231" s="1">
        <v>91.41</v>
      </c>
      <c r="I3231" t="s">
        <v>24</v>
      </c>
      <c r="J3231">
        <v>3</v>
      </c>
      <c r="K3231">
        <v>2</v>
      </c>
    </row>
    <row r="3232" spans="1:11" x14ac:dyDescent="0.35">
      <c r="A3232" t="s">
        <v>3269</v>
      </c>
      <c r="B3232">
        <v>32</v>
      </c>
      <c r="C3232" t="s">
        <v>18</v>
      </c>
      <c r="D3232" t="s">
        <v>120</v>
      </c>
      <c r="E3232">
        <v>26</v>
      </c>
      <c r="F3232" t="s">
        <v>14</v>
      </c>
      <c r="G3232" t="s">
        <v>37</v>
      </c>
      <c r="H3232" s="1">
        <v>0</v>
      </c>
      <c r="I3232" t="s">
        <v>16</v>
      </c>
      <c r="J3232">
        <v>4</v>
      </c>
      <c r="K3232">
        <v>1</v>
      </c>
    </row>
    <row r="3233" spans="1:11" x14ac:dyDescent="0.35">
      <c r="A3233" t="s">
        <v>3270</v>
      </c>
      <c r="B3233">
        <v>28</v>
      </c>
      <c r="C3233" t="s">
        <v>18</v>
      </c>
      <c r="D3233" t="s">
        <v>21</v>
      </c>
      <c r="E3233">
        <v>46</v>
      </c>
      <c r="F3233" t="s">
        <v>33</v>
      </c>
      <c r="G3233" t="s">
        <v>15</v>
      </c>
      <c r="H3233" s="1">
        <v>220.4</v>
      </c>
      <c r="I3233" t="s">
        <v>24</v>
      </c>
      <c r="J3233">
        <v>2</v>
      </c>
      <c r="K3233">
        <v>3</v>
      </c>
    </row>
    <row r="3234" spans="1:11" x14ac:dyDescent="0.35">
      <c r="A3234" t="s">
        <v>3271</v>
      </c>
      <c r="B3234">
        <v>19</v>
      </c>
      <c r="C3234" t="s">
        <v>12</v>
      </c>
      <c r="D3234" t="s">
        <v>19</v>
      </c>
      <c r="E3234">
        <v>23</v>
      </c>
      <c r="F3234" t="s">
        <v>26</v>
      </c>
      <c r="G3234" t="s">
        <v>37</v>
      </c>
      <c r="H3234" s="1">
        <v>174.9</v>
      </c>
      <c r="I3234" t="s">
        <v>24</v>
      </c>
      <c r="J3234">
        <v>3</v>
      </c>
      <c r="K3234">
        <v>3</v>
      </c>
    </row>
    <row r="3235" spans="1:11" x14ac:dyDescent="0.35">
      <c r="A3235" t="s">
        <v>3272</v>
      </c>
      <c r="B3235">
        <v>29</v>
      </c>
      <c r="C3235" t="s">
        <v>18</v>
      </c>
      <c r="D3235" t="s">
        <v>19</v>
      </c>
      <c r="E3235">
        <v>20</v>
      </c>
      <c r="F3235" t="s">
        <v>22</v>
      </c>
      <c r="G3235" t="s">
        <v>27</v>
      </c>
      <c r="H3235" s="1">
        <v>129.94999999999999</v>
      </c>
      <c r="I3235" t="s">
        <v>24</v>
      </c>
      <c r="J3235">
        <v>3</v>
      </c>
      <c r="K3235">
        <v>2</v>
      </c>
    </row>
    <row r="3236" spans="1:11" x14ac:dyDescent="0.35">
      <c r="A3236" t="s">
        <v>3273</v>
      </c>
      <c r="B3236">
        <v>29</v>
      </c>
      <c r="C3236" t="s">
        <v>18</v>
      </c>
      <c r="D3236" t="s">
        <v>21</v>
      </c>
      <c r="E3236">
        <v>39</v>
      </c>
      <c r="F3236" t="s">
        <v>22</v>
      </c>
      <c r="G3236" t="s">
        <v>34</v>
      </c>
      <c r="H3236" s="1">
        <v>130.66999999999999</v>
      </c>
      <c r="I3236" t="s">
        <v>24</v>
      </c>
      <c r="J3236">
        <v>2</v>
      </c>
      <c r="K3236">
        <v>5</v>
      </c>
    </row>
    <row r="3237" spans="1:11" x14ac:dyDescent="0.35">
      <c r="A3237" t="s">
        <v>3274</v>
      </c>
      <c r="B3237">
        <v>50</v>
      </c>
      <c r="C3237" t="s">
        <v>12</v>
      </c>
      <c r="D3237" t="s">
        <v>13</v>
      </c>
      <c r="E3237">
        <v>18</v>
      </c>
      <c r="F3237" t="s">
        <v>33</v>
      </c>
      <c r="G3237" t="s">
        <v>27</v>
      </c>
      <c r="H3237" s="1">
        <v>91.28</v>
      </c>
      <c r="I3237" t="s">
        <v>24</v>
      </c>
      <c r="J3237">
        <v>3</v>
      </c>
      <c r="K3237">
        <v>7</v>
      </c>
    </row>
    <row r="3238" spans="1:11" x14ac:dyDescent="0.35">
      <c r="A3238" t="s">
        <v>3275</v>
      </c>
      <c r="B3238">
        <v>80</v>
      </c>
      <c r="C3238" t="s">
        <v>18</v>
      </c>
      <c r="D3238" t="s">
        <v>13</v>
      </c>
      <c r="E3238">
        <v>24</v>
      </c>
      <c r="F3238" t="s">
        <v>22</v>
      </c>
      <c r="G3238" t="s">
        <v>23</v>
      </c>
      <c r="H3238" s="1">
        <v>508.03</v>
      </c>
      <c r="I3238" t="s">
        <v>24</v>
      </c>
      <c r="J3238">
        <v>2</v>
      </c>
      <c r="K3238">
        <v>5</v>
      </c>
    </row>
    <row r="3239" spans="1:11" x14ac:dyDescent="0.35">
      <c r="A3239" t="s">
        <v>3276</v>
      </c>
      <c r="B3239">
        <v>26</v>
      </c>
      <c r="C3239" t="s">
        <v>12</v>
      </c>
      <c r="D3239" t="s">
        <v>13</v>
      </c>
      <c r="E3239">
        <v>6</v>
      </c>
      <c r="F3239" t="s">
        <v>33</v>
      </c>
      <c r="G3239" t="s">
        <v>37</v>
      </c>
      <c r="H3239" s="1">
        <v>106.7</v>
      </c>
      <c r="I3239" t="s">
        <v>24</v>
      </c>
      <c r="J3239">
        <v>1</v>
      </c>
      <c r="K3239">
        <v>7</v>
      </c>
    </row>
    <row r="3240" spans="1:11" x14ac:dyDescent="0.35">
      <c r="A3240" t="s">
        <v>3277</v>
      </c>
      <c r="B3240">
        <v>35</v>
      </c>
      <c r="C3240" t="s">
        <v>18</v>
      </c>
      <c r="D3240" t="s">
        <v>21</v>
      </c>
      <c r="E3240">
        <v>33</v>
      </c>
      <c r="F3240" t="s">
        <v>26</v>
      </c>
      <c r="G3240" t="s">
        <v>37</v>
      </c>
      <c r="H3240" s="1">
        <v>207.12</v>
      </c>
      <c r="I3240" t="s">
        <v>24</v>
      </c>
      <c r="J3240">
        <v>4</v>
      </c>
      <c r="K3240">
        <v>2</v>
      </c>
    </row>
    <row r="3241" spans="1:11" x14ac:dyDescent="0.35">
      <c r="A3241" t="s">
        <v>3278</v>
      </c>
      <c r="B3241">
        <v>35</v>
      </c>
      <c r="C3241" t="s">
        <v>18</v>
      </c>
      <c r="D3241" t="s">
        <v>13</v>
      </c>
      <c r="E3241">
        <v>23</v>
      </c>
      <c r="F3241" t="s">
        <v>22</v>
      </c>
      <c r="G3241" t="s">
        <v>15</v>
      </c>
      <c r="H3241" s="1">
        <v>371.37</v>
      </c>
      <c r="I3241" t="s">
        <v>43</v>
      </c>
      <c r="J3241">
        <v>0</v>
      </c>
      <c r="K3241">
        <v>3</v>
      </c>
    </row>
    <row r="3242" spans="1:11" x14ac:dyDescent="0.35">
      <c r="A3242" t="s">
        <v>3279</v>
      </c>
      <c r="B3242">
        <v>33</v>
      </c>
      <c r="C3242" t="s">
        <v>12</v>
      </c>
      <c r="D3242" t="s">
        <v>47</v>
      </c>
      <c r="E3242">
        <v>14</v>
      </c>
      <c r="F3242" t="s">
        <v>33</v>
      </c>
      <c r="G3242" t="s">
        <v>15</v>
      </c>
      <c r="H3242" s="1">
        <v>129.84</v>
      </c>
      <c r="I3242" t="s">
        <v>24</v>
      </c>
      <c r="J3242">
        <v>1</v>
      </c>
      <c r="K3242">
        <v>6</v>
      </c>
    </row>
    <row r="3243" spans="1:11" x14ac:dyDescent="0.35">
      <c r="A3243" t="s">
        <v>3280</v>
      </c>
      <c r="B3243">
        <v>55</v>
      </c>
      <c r="C3243" t="s">
        <v>12</v>
      </c>
      <c r="D3243" t="s">
        <v>13</v>
      </c>
      <c r="E3243">
        <v>11</v>
      </c>
      <c r="F3243" t="s">
        <v>14</v>
      </c>
      <c r="G3243" t="s">
        <v>15</v>
      </c>
      <c r="H3243" s="1">
        <v>0</v>
      </c>
      <c r="I3243" t="s">
        <v>16</v>
      </c>
      <c r="J3243">
        <v>0</v>
      </c>
      <c r="K3243">
        <v>8</v>
      </c>
    </row>
    <row r="3244" spans="1:11" x14ac:dyDescent="0.35">
      <c r="A3244" t="s">
        <v>3281</v>
      </c>
      <c r="B3244">
        <v>29</v>
      </c>
      <c r="C3244" t="s">
        <v>12</v>
      </c>
      <c r="D3244" t="s">
        <v>41</v>
      </c>
      <c r="E3244">
        <v>3</v>
      </c>
      <c r="F3244" t="s">
        <v>22</v>
      </c>
      <c r="G3244" t="s">
        <v>27</v>
      </c>
      <c r="H3244" s="1">
        <v>153.25</v>
      </c>
      <c r="I3244" t="s">
        <v>24</v>
      </c>
      <c r="J3244">
        <v>2</v>
      </c>
      <c r="K3244">
        <v>9</v>
      </c>
    </row>
    <row r="3245" spans="1:11" x14ac:dyDescent="0.35">
      <c r="A3245" t="s">
        <v>3282</v>
      </c>
      <c r="B3245">
        <v>42</v>
      </c>
      <c r="C3245" t="s">
        <v>12</v>
      </c>
      <c r="D3245" t="s">
        <v>47</v>
      </c>
      <c r="E3245">
        <v>11</v>
      </c>
      <c r="F3245" t="s">
        <v>22</v>
      </c>
      <c r="G3245" t="s">
        <v>34</v>
      </c>
      <c r="H3245" s="1">
        <v>215.71</v>
      </c>
      <c r="I3245" t="s">
        <v>24</v>
      </c>
      <c r="J3245">
        <v>3</v>
      </c>
      <c r="K3245">
        <v>5</v>
      </c>
    </row>
    <row r="3246" spans="1:11" x14ac:dyDescent="0.35">
      <c r="A3246" t="s">
        <v>3283</v>
      </c>
      <c r="B3246">
        <v>33</v>
      </c>
      <c r="C3246" t="s">
        <v>18</v>
      </c>
      <c r="D3246" t="s">
        <v>41</v>
      </c>
      <c r="E3246">
        <v>12</v>
      </c>
      <c r="F3246" t="s">
        <v>22</v>
      </c>
      <c r="G3246" t="s">
        <v>23</v>
      </c>
      <c r="H3246" s="1">
        <v>543.70000000000005</v>
      </c>
      <c r="I3246" t="s">
        <v>24</v>
      </c>
      <c r="J3246">
        <v>3</v>
      </c>
      <c r="K3246">
        <v>4</v>
      </c>
    </row>
    <row r="3247" spans="1:11" x14ac:dyDescent="0.35">
      <c r="A3247" t="s">
        <v>3284</v>
      </c>
      <c r="B3247">
        <v>83</v>
      </c>
      <c r="C3247" t="s">
        <v>12</v>
      </c>
      <c r="D3247" t="s">
        <v>19</v>
      </c>
      <c r="E3247">
        <v>11</v>
      </c>
      <c r="F3247" t="s">
        <v>26</v>
      </c>
      <c r="G3247" t="s">
        <v>23</v>
      </c>
      <c r="H3247" s="1">
        <v>245.83</v>
      </c>
      <c r="I3247" t="s">
        <v>24</v>
      </c>
      <c r="J3247">
        <v>2</v>
      </c>
      <c r="K3247">
        <v>6</v>
      </c>
    </row>
    <row r="3248" spans="1:11" x14ac:dyDescent="0.35">
      <c r="A3248" t="s">
        <v>3285</v>
      </c>
      <c r="B3248">
        <v>30</v>
      </c>
      <c r="C3248" t="s">
        <v>12</v>
      </c>
      <c r="D3248" t="s">
        <v>19</v>
      </c>
      <c r="E3248">
        <v>13</v>
      </c>
      <c r="F3248" t="s">
        <v>26</v>
      </c>
      <c r="G3248" t="s">
        <v>27</v>
      </c>
      <c r="H3248" s="1">
        <v>160</v>
      </c>
      <c r="I3248" t="s">
        <v>24</v>
      </c>
      <c r="J3248">
        <v>1</v>
      </c>
      <c r="K3248">
        <v>4</v>
      </c>
    </row>
    <row r="3249" spans="1:11" x14ac:dyDescent="0.35">
      <c r="A3249" t="s">
        <v>3286</v>
      </c>
      <c r="B3249">
        <v>60</v>
      </c>
      <c r="C3249" t="s">
        <v>18</v>
      </c>
      <c r="D3249" t="s">
        <v>13</v>
      </c>
      <c r="E3249">
        <v>10</v>
      </c>
      <c r="F3249" t="s">
        <v>26</v>
      </c>
      <c r="G3249" t="s">
        <v>27</v>
      </c>
      <c r="H3249" s="1">
        <v>79.59</v>
      </c>
      <c r="I3249" t="s">
        <v>24</v>
      </c>
      <c r="J3249">
        <v>0</v>
      </c>
      <c r="K3249">
        <v>5</v>
      </c>
    </row>
    <row r="3250" spans="1:11" x14ac:dyDescent="0.35">
      <c r="A3250" t="s">
        <v>3287</v>
      </c>
      <c r="B3250">
        <v>84</v>
      </c>
      <c r="C3250" t="s">
        <v>12</v>
      </c>
      <c r="D3250" t="s">
        <v>19</v>
      </c>
      <c r="E3250">
        <v>24</v>
      </c>
      <c r="F3250" t="s">
        <v>22</v>
      </c>
      <c r="G3250" t="s">
        <v>34</v>
      </c>
      <c r="H3250" s="1">
        <v>131.16</v>
      </c>
      <c r="I3250" t="s">
        <v>24</v>
      </c>
      <c r="J3250">
        <v>1</v>
      </c>
      <c r="K3250">
        <v>5</v>
      </c>
    </row>
    <row r="3251" spans="1:11" x14ac:dyDescent="0.35">
      <c r="A3251" t="s">
        <v>3288</v>
      </c>
      <c r="B3251">
        <v>36</v>
      </c>
      <c r="C3251" t="s">
        <v>18</v>
      </c>
      <c r="D3251" t="s">
        <v>21</v>
      </c>
      <c r="E3251">
        <v>29</v>
      </c>
      <c r="F3251" t="s">
        <v>26</v>
      </c>
      <c r="G3251" t="s">
        <v>15</v>
      </c>
      <c r="H3251" s="1">
        <v>341.12</v>
      </c>
      <c r="I3251" t="s">
        <v>24</v>
      </c>
      <c r="J3251">
        <v>4</v>
      </c>
      <c r="K3251">
        <v>1</v>
      </c>
    </row>
    <row r="3252" spans="1:11" x14ac:dyDescent="0.35">
      <c r="A3252" t="s">
        <v>3289</v>
      </c>
      <c r="B3252">
        <v>82</v>
      </c>
      <c r="C3252" t="s">
        <v>18</v>
      </c>
      <c r="D3252" t="s">
        <v>30</v>
      </c>
      <c r="E3252">
        <v>7</v>
      </c>
      <c r="F3252" t="s">
        <v>33</v>
      </c>
      <c r="G3252" t="s">
        <v>27</v>
      </c>
      <c r="H3252" s="1">
        <v>107.68</v>
      </c>
      <c r="I3252" t="s">
        <v>28</v>
      </c>
      <c r="J3252">
        <v>2</v>
      </c>
      <c r="K3252">
        <v>8</v>
      </c>
    </row>
    <row r="3253" spans="1:11" x14ac:dyDescent="0.35">
      <c r="A3253" t="s">
        <v>3290</v>
      </c>
      <c r="B3253">
        <v>25</v>
      </c>
      <c r="C3253" t="s">
        <v>18</v>
      </c>
      <c r="D3253" t="s">
        <v>21</v>
      </c>
      <c r="E3253">
        <v>39</v>
      </c>
      <c r="F3253" t="s">
        <v>26</v>
      </c>
      <c r="G3253" t="s">
        <v>27</v>
      </c>
      <c r="H3253" s="1">
        <v>104.1</v>
      </c>
      <c r="I3253" t="s">
        <v>24</v>
      </c>
      <c r="J3253">
        <v>2</v>
      </c>
      <c r="K3253">
        <v>2</v>
      </c>
    </row>
    <row r="3254" spans="1:11" x14ac:dyDescent="0.35">
      <c r="A3254" t="s">
        <v>3291</v>
      </c>
      <c r="B3254">
        <v>46</v>
      </c>
      <c r="C3254" t="s">
        <v>12</v>
      </c>
      <c r="D3254" t="s">
        <v>47</v>
      </c>
      <c r="E3254">
        <v>5</v>
      </c>
      <c r="F3254" t="s">
        <v>33</v>
      </c>
      <c r="G3254" t="s">
        <v>34</v>
      </c>
      <c r="H3254" s="1">
        <v>169.3</v>
      </c>
      <c r="I3254" t="s">
        <v>28</v>
      </c>
      <c r="J3254">
        <v>1</v>
      </c>
      <c r="K3254">
        <v>8</v>
      </c>
    </row>
    <row r="3255" spans="1:11" x14ac:dyDescent="0.35">
      <c r="A3255" t="s">
        <v>3292</v>
      </c>
      <c r="B3255">
        <v>44</v>
      </c>
      <c r="C3255" t="s">
        <v>12</v>
      </c>
      <c r="D3255" t="s">
        <v>21</v>
      </c>
      <c r="E3255">
        <v>12</v>
      </c>
      <c r="F3255" t="s">
        <v>26</v>
      </c>
      <c r="G3255" t="s">
        <v>37</v>
      </c>
      <c r="H3255" s="1">
        <v>146.85</v>
      </c>
      <c r="I3255" t="s">
        <v>28</v>
      </c>
      <c r="J3255">
        <v>1</v>
      </c>
      <c r="K3255">
        <v>8</v>
      </c>
    </row>
    <row r="3256" spans="1:11" x14ac:dyDescent="0.35">
      <c r="A3256" t="s">
        <v>3293</v>
      </c>
      <c r="B3256">
        <v>51</v>
      </c>
      <c r="C3256" t="s">
        <v>12</v>
      </c>
      <c r="D3256" t="s">
        <v>19</v>
      </c>
      <c r="E3256">
        <v>22</v>
      </c>
      <c r="F3256" t="s">
        <v>33</v>
      </c>
      <c r="G3256" t="s">
        <v>34</v>
      </c>
      <c r="H3256" s="1">
        <v>194.03</v>
      </c>
      <c r="I3256" t="s">
        <v>24</v>
      </c>
      <c r="J3256">
        <v>4</v>
      </c>
      <c r="K3256">
        <v>3</v>
      </c>
    </row>
    <row r="3257" spans="1:11" x14ac:dyDescent="0.35">
      <c r="A3257" t="s">
        <v>3294</v>
      </c>
      <c r="B3257">
        <v>66</v>
      </c>
      <c r="C3257" t="s">
        <v>18</v>
      </c>
      <c r="D3257" t="s">
        <v>30</v>
      </c>
      <c r="E3257">
        <v>7</v>
      </c>
      <c r="F3257" t="s">
        <v>14</v>
      </c>
      <c r="G3257" t="s">
        <v>34</v>
      </c>
      <c r="H3257" s="1">
        <v>0</v>
      </c>
      <c r="I3257" t="s">
        <v>16</v>
      </c>
      <c r="J3257">
        <v>0</v>
      </c>
      <c r="K3257">
        <v>8</v>
      </c>
    </row>
    <row r="3258" spans="1:11" x14ac:dyDescent="0.35">
      <c r="A3258" t="s">
        <v>3295</v>
      </c>
      <c r="B3258">
        <v>63</v>
      </c>
      <c r="C3258" t="s">
        <v>12</v>
      </c>
      <c r="D3258" t="s">
        <v>19</v>
      </c>
      <c r="E3258">
        <v>13</v>
      </c>
      <c r="F3258" t="s">
        <v>31</v>
      </c>
      <c r="G3258" t="s">
        <v>15</v>
      </c>
      <c r="H3258" s="1">
        <v>222.21</v>
      </c>
      <c r="I3258" t="s">
        <v>24</v>
      </c>
      <c r="J3258">
        <v>1</v>
      </c>
      <c r="K3258">
        <v>7</v>
      </c>
    </row>
    <row r="3259" spans="1:11" x14ac:dyDescent="0.35">
      <c r="A3259" t="s">
        <v>3296</v>
      </c>
      <c r="B3259">
        <v>39</v>
      </c>
      <c r="C3259" t="s">
        <v>12</v>
      </c>
      <c r="D3259" t="s">
        <v>13</v>
      </c>
      <c r="E3259">
        <v>21</v>
      </c>
      <c r="F3259" t="s">
        <v>26</v>
      </c>
      <c r="G3259" t="s">
        <v>15</v>
      </c>
      <c r="H3259" s="1">
        <v>174.09</v>
      </c>
      <c r="I3259" t="s">
        <v>24</v>
      </c>
      <c r="J3259">
        <v>0</v>
      </c>
      <c r="K3259">
        <v>1</v>
      </c>
    </row>
    <row r="3260" spans="1:11" x14ac:dyDescent="0.35">
      <c r="A3260" t="s">
        <v>3297</v>
      </c>
      <c r="B3260">
        <v>64</v>
      </c>
      <c r="C3260" t="s">
        <v>18</v>
      </c>
      <c r="D3260" t="s">
        <v>19</v>
      </c>
      <c r="E3260">
        <v>24</v>
      </c>
      <c r="F3260" t="s">
        <v>31</v>
      </c>
      <c r="G3260" t="s">
        <v>34</v>
      </c>
      <c r="H3260" s="1">
        <v>198.39</v>
      </c>
      <c r="I3260" t="s">
        <v>24</v>
      </c>
      <c r="J3260">
        <v>1</v>
      </c>
      <c r="K3260">
        <v>5</v>
      </c>
    </row>
    <row r="3261" spans="1:11" x14ac:dyDescent="0.35">
      <c r="A3261" t="s">
        <v>3298</v>
      </c>
      <c r="B3261">
        <v>35</v>
      </c>
      <c r="C3261" t="s">
        <v>18</v>
      </c>
      <c r="D3261" t="s">
        <v>19</v>
      </c>
      <c r="E3261">
        <v>6</v>
      </c>
      <c r="F3261" t="s">
        <v>26</v>
      </c>
      <c r="G3261" t="s">
        <v>23</v>
      </c>
      <c r="H3261" s="1">
        <v>216.58</v>
      </c>
      <c r="I3261" t="s">
        <v>24</v>
      </c>
      <c r="J3261">
        <v>0</v>
      </c>
      <c r="K3261">
        <v>8</v>
      </c>
    </row>
    <row r="3262" spans="1:11" x14ac:dyDescent="0.35">
      <c r="A3262" t="s">
        <v>3299</v>
      </c>
      <c r="B3262">
        <v>27</v>
      </c>
      <c r="C3262" t="s">
        <v>18</v>
      </c>
      <c r="D3262" t="s">
        <v>21</v>
      </c>
      <c r="E3262">
        <v>32</v>
      </c>
      <c r="F3262" t="s">
        <v>33</v>
      </c>
      <c r="G3262" t="s">
        <v>15</v>
      </c>
      <c r="H3262" s="1">
        <v>190.77</v>
      </c>
      <c r="I3262" t="s">
        <v>24</v>
      </c>
      <c r="J3262">
        <v>0</v>
      </c>
      <c r="K3262">
        <v>2</v>
      </c>
    </row>
    <row r="3263" spans="1:11" x14ac:dyDescent="0.35">
      <c r="A3263" t="s">
        <v>3300</v>
      </c>
      <c r="B3263">
        <v>54</v>
      </c>
      <c r="C3263" t="s">
        <v>12</v>
      </c>
      <c r="D3263" t="s">
        <v>19</v>
      </c>
      <c r="E3263">
        <v>24</v>
      </c>
      <c r="F3263" t="s">
        <v>22</v>
      </c>
      <c r="G3263" t="s">
        <v>34</v>
      </c>
      <c r="H3263" s="1">
        <v>210.61</v>
      </c>
      <c r="I3263" t="s">
        <v>43</v>
      </c>
      <c r="J3263">
        <v>2</v>
      </c>
      <c r="K3263">
        <v>3</v>
      </c>
    </row>
    <row r="3264" spans="1:11" x14ac:dyDescent="0.35">
      <c r="A3264" t="s">
        <v>3301</v>
      </c>
      <c r="B3264">
        <v>72</v>
      </c>
      <c r="C3264" t="s">
        <v>12</v>
      </c>
      <c r="D3264" t="s">
        <v>21</v>
      </c>
      <c r="E3264">
        <v>48</v>
      </c>
      <c r="F3264" t="s">
        <v>14</v>
      </c>
      <c r="G3264" t="s">
        <v>27</v>
      </c>
      <c r="H3264" s="1">
        <v>0</v>
      </c>
      <c r="I3264" t="s">
        <v>16</v>
      </c>
      <c r="J3264">
        <v>1</v>
      </c>
      <c r="K3264">
        <v>2</v>
      </c>
    </row>
    <row r="3265" spans="1:11" x14ac:dyDescent="0.35">
      <c r="A3265" t="s">
        <v>3302</v>
      </c>
      <c r="B3265">
        <v>23</v>
      </c>
      <c r="C3265" t="s">
        <v>12</v>
      </c>
      <c r="D3265" t="s">
        <v>13</v>
      </c>
      <c r="E3265">
        <v>8</v>
      </c>
      <c r="F3265" t="s">
        <v>22</v>
      </c>
      <c r="G3265" t="s">
        <v>23</v>
      </c>
      <c r="H3265" s="1">
        <v>227.26</v>
      </c>
      <c r="I3265" t="s">
        <v>24</v>
      </c>
      <c r="J3265">
        <v>0</v>
      </c>
      <c r="K3265">
        <v>8</v>
      </c>
    </row>
    <row r="3266" spans="1:11" x14ac:dyDescent="0.35">
      <c r="A3266" t="s">
        <v>3303</v>
      </c>
      <c r="B3266">
        <v>18</v>
      </c>
      <c r="C3266" t="s">
        <v>12</v>
      </c>
      <c r="D3266" t="s">
        <v>19</v>
      </c>
      <c r="E3266">
        <v>24</v>
      </c>
      <c r="F3266" t="s">
        <v>33</v>
      </c>
      <c r="G3266" t="s">
        <v>27</v>
      </c>
      <c r="H3266" s="1">
        <v>171.9</v>
      </c>
      <c r="I3266" t="s">
        <v>28</v>
      </c>
      <c r="J3266">
        <v>3</v>
      </c>
      <c r="K3266">
        <v>2</v>
      </c>
    </row>
    <row r="3267" spans="1:11" x14ac:dyDescent="0.35">
      <c r="A3267" t="s">
        <v>3304</v>
      </c>
      <c r="B3267">
        <v>23</v>
      </c>
      <c r="C3267" t="s">
        <v>12</v>
      </c>
      <c r="D3267" t="s">
        <v>21</v>
      </c>
      <c r="E3267">
        <v>44</v>
      </c>
      <c r="F3267" t="s">
        <v>31</v>
      </c>
      <c r="G3267" t="s">
        <v>23</v>
      </c>
      <c r="H3267" s="1">
        <v>562.26</v>
      </c>
      <c r="I3267" t="s">
        <v>24</v>
      </c>
      <c r="J3267">
        <v>1</v>
      </c>
      <c r="K3267">
        <v>3</v>
      </c>
    </row>
    <row r="3268" spans="1:11" x14ac:dyDescent="0.35">
      <c r="A3268" t="s">
        <v>3305</v>
      </c>
      <c r="B3268">
        <v>83</v>
      </c>
      <c r="C3268" t="s">
        <v>12</v>
      </c>
      <c r="D3268" t="s">
        <v>30</v>
      </c>
      <c r="E3268">
        <v>4</v>
      </c>
      <c r="F3268" t="s">
        <v>31</v>
      </c>
      <c r="G3268" t="s">
        <v>27</v>
      </c>
      <c r="H3268" s="1">
        <v>167.89</v>
      </c>
      <c r="I3268" t="s">
        <v>24</v>
      </c>
      <c r="J3268">
        <v>2</v>
      </c>
      <c r="K3268">
        <v>8</v>
      </c>
    </row>
    <row r="3269" spans="1:11" x14ac:dyDescent="0.35">
      <c r="A3269" t="s">
        <v>3306</v>
      </c>
      <c r="B3269">
        <v>51</v>
      </c>
      <c r="C3269" t="s">
        <v>12</v>
      </c>
      <c r="D3269" t="s">
        <v>21</v>
      </c>
      <c r="E3269">
        <v>26</v>
      </c>
      <c r="F3269" t="s">
        <v>22</v>
      </c>
      <c r="G3269" t="s">
        <v>34</v>
      </c>
      <c r="H3269" s="1">
        <v>164.45</v>
      </c>
      <c r="I3269" t="s">
        <v>24</v>
      </c>
      <c r="J3269">
        <v>2</v>
      </c>
      <c r="K3269">
        <v>4</v>
      </c>
    </row>
    <row r="3270" spans="1:11" x14ac:dyDescent="0.35">
      <c r="A3270" t="s">
        <v>3307</v>
      </c>
      <c r="B3270">
        <v>36</v>
      </c>
      <c r="C3270" t="s">
        <v>12</v>
      </c>
      <c r="D3270" t="s">
        <v>30</v>
      </c>
      <c r="E3270">
        <v>11</v>
      </c>
      <c r="F3270" t="s">
        <v>22</v>
      </c>
      <c r="G3270" t="s">
        <v>37</v>
      </c>
      <c r="H3270" s="1">
        <v>152.72999999999999</v>
      </c>
      <c r="I3270" t="s">
        <v>28</v>
      </c>
      <c r="J3270">
        <v>0</v>
      </c>
      <c r="K3270">
        <v>4</v>
      </c>
    </row>
    <row r="3271" spans="1:11" x14ac:dyDescent="0.35">
      <c r="A3271" t="s">
        <v>3308</v>
      </c>
      <c r="B3271">
        <v>27</v>
      </c>
      <c r="C3271" t="s">
        <v>18</v>
      </c>
      <c r="D3271" t="s">
        <v>21</v>
      </c>
      <c r="E3271">
        <v>44</v>
      </c>
      <c r="F3271" t="s">
        <v>33</v>
      </c>
      <c r="G3271" t="s">
        <v>27</v>
      </c>
      <c r="H3271" s="1">
        <v>152.04</v>
      </c>
      <c r="I3271" t="s">
        <v>28</v>
      </c>
      <c r="J3271">
        <v>2</v>
      </c>
      <c r="K3271">
        <v>4</v>
      </c>
    </row>
    <row r="3272" spans="1:11" x14ac:dyDescent="0.35">
      <c r="A3272" t="s">
        <v>3309</v>
      </c>
      <c r="B3272">
        <v>70</v>
      </c>
      <c r="C3272" t="s">
        <v>18</v>
      </c>
      <c r="D3272" t="s">
        <v>19</v>
      </c>
      <c r="E3272">
        <v>20</v>
      </c>
      <c r="F3272" t="s">
        <v>31</v>
      </c>
      <c r="G3272" t="s">
        <v>27</v>
      </c>
      <c r="H3272" s="1">
        <v>17.71</v>
      </c>
      <c r="I3272" t="s">
        <v>24</v>
      </c>
      <c r="J3272">
        <v>2</v>
      </c>
      <c r="K3272">
        <v>2</v>
      </c>
    </row>
    <row r="3273" spans="1:11" x14ac:dyDescent="0.35">
      <c r="A3273" t="s">
        <v>3310</v>
      </c>
      <c r="B3273">
        <v>55</v>
      </c>
      <c r="C3273" t="s">
        <v>12</v>
      </c>
      <c r="D3273" t="s">
        <v>19</v>
      </c>
      <c r="E3273">
        <v>6</v>
      </c>
      <c r="F3273" t="s">
        <v>31</v>
      </c>
      <c r="G3273" t="s">
        <v>27</v>
      </c>
      <c r="H3273" s="1">
        <v>83</v>
      </c>
      <c r="I3273" t="s">
        <v>24</v>
      </c>
      <c r="J3273">
        <v>2</v>
      </c>
      <c r="K3273">
        <v>8</v>
      </c>
    </row>
    <row r="3274" spans="1:11" x14ac:dyDescent="0.35">
      <c r="A3274" t="s">
        <v>3311</v>
      </c>
      <c r="B3274">
        <v>57</v>
      </c>
      <c r="C3274" t="s">
        <v>18</v>
      </c>
      <c r="D3274" t="s">
        <v>41</v>
      </c>
      <c r="E3274">
        <v>2</v>
      </c>
      <c r="F3274" t="s">
        <v>22</v>
      </c>
      <c r="G3274" t="s">
        <v>27</v>
      </c>
      <c r="H3274" s="1">
        <v>61.11</v>
      </c>
      <c r="I3274" t="s">
        <v>28</v>
      </c>
      <c r="J3274">
        <v>2</v>
      </c>
      <c r="K3274">
        <v>10</v>
      </c>
    </row>
    <row r="3275" spans="1:11" x14ac:dyDescent="0.35">
      <c r="A3275" t="s">
        <v>3312</v>
      </c>
      <c r="B3275">
        <v>62</v>
      </c>
      <c r="C3275" t="s">
        <v>18</v>
      </c>
      <c r="D3275" t="s">
        <v>57</v>
      </c>
      <c r="E3275">
        <v>42</v>
      </c>
      <c r="F3275" t="s">
        <v>26</v>
      </c>
      <c r="G3275" t="s">
        <v>37</v>
      </c>
      <c r="H3275" s="1">
        <v>192.75</v>
      </c>
      <c r="I3275" t="s">
        <v>24</v>
      </c>
      <c r="J3275">
        <v>4</v>
      </c>
      <c r="K3275">
        <v>4</v>
      </c>
    </row>
    <row r="3276" spans="1:11" x14ac:dyDescent="0.35">
      <c r="A3276" t="s">
        <v>3313</v>
      </c>
      <c r="B3276">
        <v>26</v>
      </c>
      <c r="C3276" t="s">
        <v>18</v>
      </c>
      <c r="D3276" t="s">
        <v>19</v>
      </c>
      <c r="E3276">
        <v>6</v>
      </c>
      <c r="F3276" t="s">
        <v>26</v>
      </c>
      <c r="G3276" t="s">
        <v>27</v>
      </c>
      <c r="H3276" s="1">
        <v>171.42</v>
      </c>
      <c r="I3276" t="s">
        <v>24</v>
      </c>
      <c r="J3276">
        <v>1</v>
      </c>
      <c r="K3276">
        <v>10</v>
      </c>
    </row>
    <row r="3277" spans="1:11" x14ac:dyDescent="0.35">
      <c r="A3277" t="s">
        <v>3314</v>
      </c>
      <c r="B3277">
        <v>36</v>
      </c>
      <c r="C3277" t="s">
        <v>12</v>
      </c>
      <c r="D3277" t="s">
        <v>21</v>
      </c>
      <c r="E3277">
        <v>21</v>
      </c>
      <c r="F3277" t="s">
        <v>14</v>
      </c>
      <c r="G3277" t="s">
        <v>37</v>
      </c>
      <c r="H3277" s="1">
        <v>0</v>
      </c>
      <c r="I3277" t="s">
        <v>16</v>
      </c>
      <c r="J3277">
        <v>4</v>
      </c>
      <c r="K3277">
        <v>4</v>
      </c>
    </row>
    <row r="3278" spans="1:11" x14ac:dyDescent="0.35">
      <c r="A3278" t="s">
        <v>3315</v>
      </c>
      <c r="B3278">
        <v>83</v>
      </c>
      <c r="C3278" t="s">
        <v>12</v>
      </c>
      <c r="D3278" t="s">
        <v>19</v>
      </c>
      <c r="E3278">
        <v>22</v>
      </c>
      <c r="F3278" t="s">
        <v>22</v>
      </c>
      <c r="G3278" t="s">
        <v>23</v>
      </c>
      <c r="H3278" s="1">
        <v>578.16</v>
      </c>
      <c r="I3278" t="s">
        <v>28</v>
      </c>
      <c r="J3278">
        <v>1</v>
      </c>
      <c r="K3278">
        <v>5</v>
      </c>
    </row>
    <row r="3279" spans="1:11" x14ac:dyDescent="0.35">
      <c r="A3279" t="s">
        <v>3316</v>
      </c>
      <c r="B3279">
        <v>60</v>
      </c>
      <c r="C3279" t="s">
        <v>18</v>
      </c>
      <c r="D3279" t="s">
        <v>19</v>
      </c>
      <c r="E3279">
        <v>20</v>
      </c>
      <c r="F3279" t="s">
        <v>22</v>
      </c>
      <c r="G3279" t="s">
        <v>15</v>
      </c>
      <c r="H3279" s="1">
        <v>299.08999999999997</v>
      </c>
      <c r="I3279" t="s">
        <v>28</v>
      </c>
      <c r="J3279">
        <v>0</v>
      </c>
      <c r="K3279">
        <v>2</v>
      </c>
    </row>
    <row r="3280" spans="1:11" x14ac:dyDescent="0.35">
      <c r="A3280" t="s">
        <v>3317</v>
      </c>
      <c r="B3280">
        <v>59</v>
      </c>
      <c r="C3280" t="s">
        <v>18</v>
      </c>
      <c r="D3280" t="s">
        <v>21</v>
      </c>
      <c r="E3280">
        <v>22</v>
      </c>
      <c r="F3280" t="s">
        <v>26</v>
      </c>
      <c r="G3280" t="s">
        <v>27</v>
      </c>
      <c r="H3280" s="1">
        <v>60.97</v>
      </c>
      <c r="I3280" t="s">
        <v>24</v>
      </c>
      <c r="J3280">
        <v>3</v>
      </c>
      <c r="K3280">
        <v>2</v>
      </c>
    </row>
    <row r="3281" spans="1:11" x14ac:dyDescent="0.35">
      <c r="A3281" t="s">
        <v>3318</v>
      </c>
      <c r="B3281">
        <v>48</v>
      </c>
      <c r="C3281" t="s">
        <v>18</v>
      </c>
      <c r="D3281" t="s">
        <v>13</v>
      </c>
      <c r="E3281">
        <v>24</v>
      </c>
      <c r="F3281" t="s">
        <v>33</v>
      </c>
      <c r="G3281" t="s">
        <v>34</v>
      </c>
      <c r="H3281" s="1">
        <v>187.78</v>
      </c>
      <c r="I3281" t="s">
        <v>43</v>
      </c>
      <c r="J3281">
        <v>2</v>
      </c>
      <c r="K3281">
        <v>5</v>
      </c>
    </row>
    <row r="3282" spans="1:11" x14ac:dyDescent="0.35">
      <c r="A3282" t="s">
        <v>3319</v>
      </c>
      <c r="B3282">
        <v>60</v>
      </c>
      <c r="C3282" t="s">
        <v>12</v>
      </c>
      <c r="D3282" t="s">
        <v>21</v>
      </c>
      <c r="E3282">
        <v>16</v>
      </c>
      <c r="F3282" t="s">
        <v>14</v>
      </c>
      <c r="G3282" t="s">
        <v>15</v>
      </c>
      <c r="H3282" s="1">
        <v>0</v>
      </c>
      <c r="I3282" t="s">
        <v>16</v>
      </c>
      <c r="J3282">
        <v>0</v>
      </c>
      <c r="K3282">
        <v>5</v>
      </c>
    </row>
    <row r="3283" spans="1:11" x14ac:dyDescent="0.35">
      <c r="A3283" t="s">
        <v>3320</v>
      </c>
      <c r="B3283">
        <v>70</v>
      </c>
      <c r="C3283" t="s">
        <v>18</v>
      </c>
      <c r="D3283" t="s">
        <v>19</v>
      </c>
      <c r="E3283">
        <v>11</v>
      </c>
      <c r="F3283" t="s">
        <v>33</v>
      </c>
      <c r="G3283" t="s">
        <v>27</v>
      </c>
      <c r="H3283" s="1">
        <v>115.35</v>
      </c>
      <c r="I3283" t="s">
        <v>24</v>
      </c>
      <c r="J3283">
        <v>3</v>
      </c>
      <c r="K3283">
        <v>4</v>
      </c>
    </row>
    <row r="3284" spans="1:11" x14ac:dyDescent="0.35">
      <c r="A3284" t="s">
        <v>3321</v>
      </c>
      <c r="B3284">
        <v>53</v>
      </c>
      <c r="C3284" t="s">
        <v>18</v>
      </c>
      <c r="D3284" t="s">
        <v>19</v>
      </c>
      <c r="E3284">
        <v>7</v>
      </c>
      <c r="F3284" t="s">
        <v>31</v>
      </c>
      <c r="G3284" t="s">
        <v>23</v>
      </c>
      <c r="H3284" s="1">
        <v>212.69</v>
      </c>
      <c r="I3284" t="s">
        <v>43</v>
      </c>
      <c r="J3284">
        <v>0</v>
      </c>
      <c r="K3284">
        <v>9</v>
      </c>
    </row>
    <row r="3285" spans="1:11" x14ac:dyDescent="0.35">
      <c r="A3285" t="s">
        <v>3322</v>
      </c>
      <c r="B3285">
        <v>32</v>
      </c>
      <c r="C3285" t="s">
        <v>12</v>
      </c>
      <c r="D3285" t="s">
        <v>30</v>
      </c>
      <c r="E3285">
        <v>14</v>
      </c>
      <c r="F3285" t="s">
        <v>33</v>
      </c>
      <c r="G3285" t="s">
        <v>23</v>
      </c>
      <c r="H3285" s="1">
        <v>421.65</v>
      </c>
      <c r="I3285" t="s">
        <v>24</v>
      </c>
      <c r="J3285">
        <v>3</v>
      </c>
      <c r="K3285">
        <v>6</v>
      </c>
    </row>
    <row r="3286" spans="1:11" x14ac:dyDescent="0.35">
      <c r="A3286" t="s">
        <v>3323</v>
      </c>
      <c r="B3286">
        <v>65</v>
      </c>
      <c r="C3286" t="s">
        <v>18</v>
      </c>
      <c r="D3286" t="s">
        <v>30</v>
      </c>
      <c r="E3286">
        <v>7</v>
      </c>
      <c r="F3286" t="s">
        <v>33</v>
      </c>
      <c r="G3286" t="s">
        <v>27</v>
      </c>
      <c r="H3286" s="1">
        <v>45.01</v>
      </c>
      <c r="I3286" t="s">
        <v>28</v>
      </c>
      <c r="J3286">
        <v>1</v>
      </c>
      <c r="K3286">
        <v>7</v>
      </c>
    </row>
    <row r="3287" spans="1:11" x14ac:dyDescent="0.35">
      <c r="A3287" t="s">
        <v>3324</v>
      </c>
      <c r="B3287">
        <v>81</v>
      </c>
      <c r="C3287" t="s">
        <v>18</v>
      </c>
      <c r="D3287" t="s">
        <v>19</v>
      </c>
      <c r="E3287">
        <v>6</v>
      </c>
      <c r="F3287" t="s">
        <v>33</v>
      </c>
      <c r="G3287" t="s">
        <v>15</v>
      </c>
      <c r="H3287" s="1">
        <v>227.36</v>
      </c>
      <c r="I3287" t="s">
        <v>43</v>
      </c>
      <c r="J3287">
        <v>1</v>
      </c>
      <c r="K3287">
        <v>7</v>
      </c>
    </row>
    <row r="3288" spans="1:11" x14ac:dyDescent="0.35">
      <c r="A3288" t="s">
        <v>3325</v>
      </c>
      <c r="B3288">
        <v>19</v>
      </c>
      <c r="C3288" t="s">
        <v>18</v>
      </c>
      <c r="D3288" t="s">
        <v>41</v>
      </c>
      <c r="E3288">
        <v>9</v>
      </c>
      <c r="F3288" t="s">
        <v>31</v>
      </c>
      <c r="G3288" t="s">
        <v>37</v>
      </c>
      <c r="H3288" s="1">
        <v>143.94999999999999</v>
      </c>
      <c r="I3288" t="s">
        <v>24</v>
      </c>
      <c r="J3288">
        <v>3</v>
      </c>
      <c r="K3288">
        <v>5</v>
      </c>
    </row>
    <row r="3289" spans="1:11" x14ac:dyDescent="0.35">
      <c r="A3289" t="s">
        <v>3326</v>
      </c>
      <c r="B3289">
        <v>82</v>
      </c>
      <c r="C3289" t="s">
        <v>18</v>
      </c>
      <c r="D3289" t="s">
        <v>19</v>
      </c>
      <c r="E3289">
        <v>8</v>
      </c>
      <c r="F3289" t="s">
        <v>33</v>
      </c>
      <c r="G3289" t="s">
        <v>37</v>
      </c>
      <c r="H3289" s="1">
        <v>193.38</v>
      </c>
      <c r="I3289" t="s">
        <v>24</v>
      </c>
      <c r="J3289">
        <v>0</v>
      </c>
      <c r="K3289">
        <v>7</v>
      </c>
    </row>
    <row r="3290" spans="1:11" x14ac:dyDescent="0.35">
      <c r="A3290" t="s">
        <v>3327</v>
      </c>
      <c r="B3290">
        <v>35</v>
      </c>
      <c r="C3290" t="s">
        <v>12</v>
      </c>
      <c r="D3290" t="s">
        <v>19</v>
      </c>
      <c r="E3290">
        <v>8</v>
      </c>
      <c r="F3290" t="s">
        <v>14</v>
      </c>
      <c r="G3290" t="s">
        <v>27</v>
      </c>
      <c r="H3290" s="1">
        <v>0</v>
      </c>
      <c r="I3290" t="s">
        <v>16</v>
      </c>
      <c r="J3290">
        <v>0</v>
      </c>
      <c r="K3290">
        <v>10</v>
      </c>
    </row>
    <row r="3291" spans="1:11" x14ac:dyDescent="0.35">
      <c r="A3291" t="s">
        <v>3328</v>
      </c>
      <c r="B3291">
        <v>24</v>
      </c>
      <c r="C3291" t="s">
        <v>12</v>
      </c>
      <c r="D3291" t="s">
        <v>120</v>
      </c>
      <c r="E3291">
        <v>19</v>
      </c>
      <c r="F3291" t="s">
        <v>33</v>
      </c>
      <c r="G3291" t="s">
        <v>37</v>
      </c>
      <c r="H3291" s="1">
        <v>174.14</v>
      </c>
      <c r="I3291" t="s">
        <v>28</v>
      </c>
      <c r="J3291">
        <v>2</v>
      </c>
      <c r="K3291">
        <v>3</v>
      </c>
    </row>
    <row r="3292" spans="1:11" x14ac:dyDescent="0.35">
      <c r="A3292" t="s">
        <v>3329</v>
      </c>
      <c r="B3292">
        <v>33</v>
      </c>
      <c r="C3292" t="s">
        <v>18</v>
      </c>
      <c r="D3292" t="s">
        <v>19</v>
      </c>
      <c r="E3292">
        <v>6</v>
      </c>
      <c r="F3292" t="s">
        <v>14</v>
      </c>
      <c r="G3292" t="s">
        <v>15</v>
      </c>
      <c r="H3292" s="1">
        <v>0</v>
      </c>
      <c r="I3292" t="s">
        <v>16</v>
      </c>
      <c r="J3292">
        <v>2</v>
      </c>
      <c r="K3292">
        <v>9</v>
      </c>
    </row>
    <row r="3293" spans="1:11" x14ac:dyDescent="0.35">
      <c r="A3293" t="s">
        <v>3330</v>
      </c>
      <c r="B3293">
        <v>75</v>
      </c>
      <c r="C3293" t="s">
        <v>18</v>
      </c>
      <c r="D3293" t="s">
        <v>21</v>
      </c>
      <c r="E3293">
        <v>36</v>
      </c>
      <c r="F3293" t="s">
        <v>22</v>
      </c>
      <c r="G3293" t="s">
        <v>23</v>
      </c>
      <c r="H3293" s="1">
        <v>71.37</v>
      </c>
      <c r="I3293" t="s">
        <v>24</v>
      </c>
      <c r="J3293">
        <v>1</v>
      </c>
      <c r="K3293">
        <v>5</v>
      </c>
    </row>
    <row r="3294" spans="1:11" x14ac:dyDescent="0.35">
      <c r="A3294" t="s">
        <v>3331</v>
      </c>
      <c r="B3294">
        <v>66</v>
      </c>
      <c r="C3294" t="s">
        <v>12</v>
      </c>
      <c r="D3294" t="s">
        <v>21</v>
      </c>
      <c r="E3294">
        <v>40</v>
      </c>
      <c r="F3294" t="s">
        <v>33</v>
      </c>
      <c r="G3294" t="s">
        <v>15</v>
      </c>
      <c r="H3294" s="1">
        <v>317.16000000000003</v>
      </c>
      <c r="I3294" t="s">
        <v>24</v>
      </c>
      <c r="J3294">
        <v>2</v>
      </c>
      <c r="K3294">
        <v>4</v>
      </c>
    </row>
    <row r="3295" spans="1:11" x14ac:dyDescent="0.35">
      <c r="A3295" t="s">
        <v>3332</v>
      </c>
      <c r="B3295">
        <v>26</v>
      </c>
      <c r="C3295" t="s">
        <v>12</v>
      </c>
      <c r="D3295" t="s">
        <v>41</v>
      </c>
      <c r="E3295">
        <v>3</v>
      </c>
      <c r="F3295" t="s">
        <v>26</v>
      </c>
      <c r="G3295" t="s">
        <v>15</v>
      </c>
      <c r="H3295" s="1">
        <v>431.78</v>
      </c>
      <c r="I3295" t="s">
        <v>43</v>
      </c>
      <c r="J3295">
        <v>1</v>
      </c>
      <c r="K3295">
        <v>10</v>
      </c>
    </row>
    <row r="3296" spans="1:11" x14ac:dyDescent="0.35">
      <c r="A3296" t="s">
        <v>3333</v>
      </c>
      <c r="B3296">
        <v>76</v>
      </c>
      <c r="C3296" t="s">
        <v>12</v>
      </c>
      <c r="D3296" t="s">
        <v>19</v>
      </c>
      <c r="E3296">
        <v>15</v>
      </c>
      <c r="F3296" t="s">
        <v>26</v>
      </c>
      <c r="G3296" t="s">
        <v>23</v>
      </c>
      <c r="H3296" s="1">
        <v>207.32</v>
      </c>
      <c r="I3296" t="s">
        <v>24</v>
      </c>
      <c r="J3296">
        <v>2</v>
      </c>
      <c r="K3296">
        <v>5</v>
      </c>
    </row>
    <row r="3297" spans="1:11" x14ac:dyDescent="0.35">
      <c r="A3297" t="s">
        <v>3334</v>
      </c>
      <c r="B3297">
        <v>45</v>
      </c>
      <c r="C3297" t="s">
        <v>12</v>
      </c>
      <c r="D3297" t="s">
        <v>19</v>
      </c>
      <c r="E3297">
        <v>6</v>
      </c>
      <c r="F3297" t="s">
        <v>26</v>
      </c>
      <c r="G3297" t="s">
        <v>37</v>
      </c>
      <c r="H3297" s="1">
        <v>131.84</v>
      </c>
      <c r="I3297" t="s">
        <v>43</v>
      </c>
      <c r="J3297">
        <v>0</v>
      </c>
      <c r="K3297">
        <v>9</v>
      </c>
    </row>
    <row r="3298" spans="1:11" x14ac:dyDescent="0.35">
      <c r="A3298" t="s">
        <v>3335</v>
      </c>
      <c r="B3298">
        <v>18</v>
      </c>
      <c r="C3298" t="s">
        <v>18</v>
      </c>
      <c r="D3298" t="s">
        <v>19</v>
      </c>
      <c r="E3298">
        <v>17</v>
      </c>
      <c r="F3298" t="s">
        <v>22</v>
      </c>
      <c r="G3298" t="s">
        <v>27</v>
      </c>
      <c r="H3298" s="1">
        <v>120.05</v>
      </c>
      <c r="I3298" t="s">
        <v>24</v>
      </c>
      <c r="J3298">
        <v>1</v>
      </c>
      <c r="K3298">
        <v>5</v>
      </c>
    </row>
    <row r="3299" spans="1:11" x14ac:dyDescent="0.35">
      <c r="A3299" t="s">
        <v>3336</v>
      </c>
      <c r="B3299">
        <v>41</v>
      </c>
      <c r="C3299" t="s">
        <v>12</v>
      </c>
      <c r="D3299" t="s">
        <v>30</v>
      </c>
      <c r="E3299">
        <v>6</v>
      </c>
      <c r="F3299" t="s">
        <v>33</v>
      </c>
      <c r="G3299" t="s">
        <v>27</v>
      </c>
      <c r="H3299" s="1">
        <v>66.42</v>
      </c>
      <c r="I3299" t="s">
        <v>28</v>
      </c>
      <c r="J3299">
        <v>0</v>
      </c>
      <c r="K3299">
        <v>8</v>
      </c>
    </row>
    <row r="3300" spans="1:11" x14ac:dyDescent="0.35">
      <c r="A3300" t="s">
        <v>3337</v>
      </c>
      <c r="B3300">
        <v>31</v>
      </c>
      <c r="C3300" t="s">
        <v>12</v>
      </c>
      <c r="D3300" t="s">
        <v>21</v>
      </c>
      <c r="E3300">
        <v>17</v>
      </c>
      <c r="F3300" t="s">
        <v>22</v>
      </c>
      <c r="G3300" t="s">
        <v>15</v>
      </c>
      <c r="H3300" s="1">
        <v>134.85</v>
      </c>
      <c r="I3300" t="s">
        <v>28</v>
      </c>
      <c r="J3300">
        <v>3</v>
      </c>
      <c r="K3300">
        <v>4</v>
      </c>
    </row>
    <row r="3301" spans="1:11" x14ac:dyDescent="0.35">
      <c r="A3301" t="s">
        <v>3338</v>
      </c>
      <c r="B3301">
        <v>82</v>
      </c>
      <c r="C3301" t="s">
        <v>12</v>
      </c>
      <c r="D3301" t="s">
        <v>47</v>
      </c>
      <c r="E3301">
        <v>12</v>
      </c>
      <c r="F3301" t="s">
        <v>31</v>
      </c>
      <c r="G3301" t="s">
        <v>15</v>
      </c>
      <c r="H3301" s="1">
        <v>200.53</v>
      </c>
      <c r="I3301" t="s">
        <v>24</v>
      </c>
      <c r="J3301">
        <v>2</v>
      </c>
      <c r="K3301">
        <v>6</v>
      </c>
    </row>
    <row r="3302" spans="1:11" x14ac:dyDescent="0.35">
      <c r="A3302" t="s">
        <v>3339</v>
      </c>
      <c r="B3302">
        <v>39</v>
      </c>
      <c r="C3302" t="s">
        <v>12</v>
      </c>
      <c r="D3302" t="s">
        <v>120</v>
      </c>
      <c r="E3302">
        <v>27</v>
      </c>
      <c r="F3302" t="s">
        <v>22</v>
      </c>
      <c r="G3302" t="s">
        <v>37</v>
      </c>
      <c r="H3302" s="1">
        <v>182.22</v>
      </c>
      <c r="I3302" t="s">
        <v>24</v>
      </c>
      <c r="J3302">
        <v>0</v>
      </c>
      <c r="K3302">
        <v>2</v>
      </c>
    </row>
    <row r="3303" spans="1:11" x14ac:dyDescent="0.35">
      <c r="A3303" t="s">
        <v>3340</v>
      </c>
      <c r="B3303">
        <v>31</v>
      </c>
      <c r="C3303" t="s">
        <v>12</v>
      </c>
      <c r="D3303" t="s">
        <v>21</v>
      </c>
      <c r="E3303">
        <v>47</v>
      </c>
      <c r="F3303" t="s">
        <v>33</v>
      </c>
      <c r="G3303" t="s">
        <v>34</v>
      </c>
      <c r="H3303" s="1">
        <v>213.48</v>
      </c>
      <c r="I3303" t="s">
        <v>24</v>
      </c>
      <c r="J3303">
        <v>2</v>
      </c>
      <c r="K3303">
        <v>5</v>
      </c>
    </row>
    <row r="3304" spans="1:11" x14ac:dyDescent="0.35">
      <c r="A3304" t="s">
        <v>3341</v>
      </c>
      <c r="B3304">
        <v>56</v>
      </c>
      <c r="C3304" t="s">
        <v>18</v>
      </c>
      <c r="D3304" t="s">
        <v>19</v>
      </c>
      <c r="E3304">
        <v>7</v>
      </c>
      <c r="F3304" t="s">
        <v>26</v>
      </c>
      <c r="G3304" t="s">
        <v>34</v>
      </c>
      <c r="H3304" s="1">
        <v>200.96</v>
      </c>
      <c r="I3304" t="s">
        <v>28</v>
      </c>
      <c r="J3304">
        <v>1</v>
      </c>
      <c r="K3304">
        <v>7</v>
      </c>
    </row>
    <row r="3305" spans="1:11" x14ac:dyDescent="0.35">
      <c r="A3305" t="s">
        <v>3342</v>
      </c>
      <c r="B3305">
        <v>68</v>
      </c>
      <c r="C3305" t="s">
        <v>12</v>
      </c>
      <c r="D3305" t="s">
        <v>19</v>
      </c>
      <c r="E3305">
        <v>8</v>
      </c>
      <c r="F3305" t="s">
        <v>31</v>
      </c>
      <c r="G3305" t="s">
        <v>37</v>
      </c>
      <c r="H3305" s="1">
        <v>121.65</v>
      </c>
      <c r="I3305" t="s">
        <v>28</v>
      </c>
      <c r="J3305">
        <v>0</v>
      </c>
      <c r="K3305">
        <v>9</v>
      </c>
    </row>
    <row r="3306" spans="1:11" x14ac:dyDescent="0.35">
      <c r="A3306" t="s">
        <v>3343</v>
      </c>
      <c r="B3306">
        <v>43</v>
      </c>
      <c r="C3306" t="s">
        <v>12</v>
      </c>
      <c r="D3306" t="s">
        <v>19</v>
      </c>
      <c r="E3306">
        <v>16</v>
      </c>
      <c r="F3306" t="s">
        <v>33</v>
      </c>
      <c r="G3306" t="s">
        <v>23</v>
      </c>
      <c r="H3306" s="1">
        <v>74.569999999999993</v>
      </c>
      <c r="I3306" t="s">
        <v>24</v>
      </c>
      <c r="J3306">
        <v>2</v>
      </c>
      <c r="K3306">
        <v>4</v>
      </c>
    </row>
    <row r="3307" spans="1:11" x14ac:dyDescent="0.35">
      <c r="A3307" t="s">
        <v>3344</v>
      </c>
      <c r="B3307">
        <v>40</v>
      </c>
      <c r="C3307" t="s">
        <v>12</v>
      </c>
      <c r="D3307" t="s">
        <v>19</v>
      </c>
      <c r="E3307">
        <v>11</v>
      </c>
      <c r="F3307" t="s">
        <v>26</v>
      </c>
      <c r="G3307" t="s">
        <v>23</v>
      </c>
      <c r="H3307" s="1">
        <v>213.48</v>
      </c>
      <c r="I3307" t="s">
        <v>24</v>
      </c>
      <c r="J3307">
        <v>0</v>
      </c>
      <c r="K3307">
        <v>7</v>
      </c>
    </row>
    <row r="3308" spans="1:11" x14ac:dyDescent="0.35">
      <c r="A3308" t="s">
        <v>3345</v>
      </c>
      <c r="B3308">
        <v>45</v>
      </c>
      <c r="C3308" t="s">
        <v>12</v>
      </c>
      <c r="D3308" t="s">
        <v>19</v>
      </c>
      <c r="E3308">
        <v>10</v>
      </c>
      <c r="F3308" t="s">
        <v>26</v>
      </c>
      <c r="G3308" t="s">
        <v>37</v>
      </c>
      <c r="H3308" s="1">
        <v>134.69999999999999</v>
      </c>
      <c r="I3308" t="s">
        <v>24</v>
      </c>
      <c r="J3308">
        <v>0</v>
      </c>
      <c r="K3308">
        <v>5</v>
      </c>
    </row>
    <row r="3309" spans="1:11" x14ac:dyDescent="0.35">
      <c r="A3309" t="s">
        <v>3346</v>
      </c>
      <c r="B3309">
        <v>58</v>
      </c>
      <c r="C3309" t="s">
        <v>12</v>
      </c>
      <c r="D3309" t="s">
        <v>19</v>
      </c>
      <c r="E3309">
        <v>8</v>
      </c>
      <c r="F3309" t="s">
        <v>26</v>
      </c>
      <c r="G3309" t="s">
        <v>27</v>
      </c>
      <c r="H3309" s="1">
        <v>89.35</v>
      </c>
      <c r="I3309" t="s">
        <v>24</v>
      </c>
      <c r="J3309">
        <v>0</v>
      </c>
      <c r="K3309">
        <v>10</v>
      </c>
    </row>
    <row r="3310" spans="1:11" x14ac:dyDescent="0.35">
      <c r="A3310" t="s">
        <v>3347</v>
      </c>
      <c r="B3310">
        <v>23</v>
      </c>
      <c r="C3310" t="s">
        <v>18</v>
      </c>
      <c r="D3310" t="s">
        <v>13</v>
      </c>
      <c r="E3310">
        <v>12</v>
      </c>
      <c r="F3310" t="s">
        <v>31</v>
      </c>
      <c r="G3310" t="s">
        <v>37</v>
      </c>
      <c r="H3310" s="1">
        <v>95.09</v>
      </c>
      <c r="I3310" t="s">
        <v>24</v>
      </c>
      <c r="J3310">
        <v>3</v>
      </c>
      <c r="K3310">
        <v>5</v>
      </c>
    </row>
    <row r="3311" spans="1:11" x14ac:dyDescent="0.35">
      <c r="A3311" t="s">
        <v>3348</v>
      </c>
      <c r="B3311">
        <v>77</v>
      </c>
      <c r="C3311" t="s">
        <v>18</v>
      </c>
      <c r="D3311" t="s">
        <v>120</v>
      </c>
      <c r="E3311">
        <v>39</v>
      </c>
      <c r="F3311" t="s">
        <v>33</v>
      </c>
      <c r="G3311" t="s">
        <v>37</v>
      </c>
      <c r="H3311" s="1">
        <v>192.24</v>
      </c>
      <c r="I3311" t="s">
        <v>24</v>
      </c>
      <c r="J3311">
        <v>2</v>
      </c>
      <c r="K3311">
        <v>5</v>
      </c>
    </row>
    <row r="3312" spans="1:11" x14ac:dyDescent="0.35">
      <c r="A3312" t="s">
        <v>3349</v>
      </c>
      <c r="B3312">
        <v>19</v>
      </c>
      <c r="C3312" t="s">
        <v>12</v>
      </c>
      <c r="D3312" t="s">
        <v>21</v>
      </c>
      <c r="E3312">
        <v>47</v>
      </c>
      <c r="F3312" t="s">
        <v>22</v>
      </c>
      <c r="G3312" t="s">
        <v>34</v>
      </c>
      <c r="H3312" s="1">
        <v>107.44</v>
      </c>
      <c r="I3312" t="s">
        <v>24</v>
      </c>
      <c r="J3312">
        <v>4</v>
      </c>
      <c r="K3312">
        <v>2</v>
      </c>
    </row>
    <row r="3313" spans="1:11" x14ac:dyDescent="0.35">
      <c r="A3313" t="s">
        <v>3350</v>
      </c>
      <c r="B3313">
        <v>73</v>
      </c>
      <c r="C3313" t="s">
        <v>12</v>
      </c>
      <c r="D3313" t="s">
        <v>19</v>
      </c>
      <c r="E3313">
        <v>9</v>
      </c>
      <c r="F3313" t="s">
        <v>26</v>
      </c>
      <c r="G3313" t="s">
        <v>27</v>
      </c>
      <c r="H3313" s="1">
        <v>52.35</v>
      </c>
      <c r="I3313" t="s">
        <v>24</v>
      </c>
      <c r="J3313">
        <v>0</v>
      </c>
      <c r="K3313">
        <v>4</v>
      </c>
    </row>
    <row r="3314" spans="1:11" x14ac:dyDescent="0.35">
      <c r="A3314" t="s">
        <v>3351</v>
      </c>
      <c r="B3314">
        <v>56</v>
      </c>
      <c r="C3314" t="s">
        <v>18</v>
      </c>
      <c r="D3314" t="s">
        <v>19</v>
      </c>
      <c r="E3314">
        <v>22</v>
      </c>
      <c r="F3314" t="s">
        <v>26</v>
      </c>
      <c r="G3314" t="s">
        <v>23</v>
      </c>
      <c r="H3314" s="1">
        <v>144.55000000000001</v>
      </c>
      <c r="I3314" t="s">
        <v>24</v>
      </c>
      <c r="J3314">
        <v>0</v>
      </c>
      <c r="K3314">
        <v>4</v>
      </c>
    </row>
    <row r="3315" spans="1:11" x14ac:dyDescent="0.35">
      <c r="A3315" t="s">
        <v>3352</v>
      </c>
      <c r="B3315">
        <v>78</v>
      </c>
      <c r="C3315" t="s">
        <v>12</v>
      </c>
      <c r="D3315" t="s">
        <v>19</v>
      </c>
      <c r="E3315">
        <v>7</v>
      </c>
      <c r="F3315" t="s">
        <v>22</v>
      </c>
      <c r="G3315" t="s">
        <v>37</v>
      </c>
      <c r="H3315" s="1">
        <v>148.55000000000001</v>
      </c>
      <c r="I3315" t="s">
        <v>28</v>
      </c>
      <c r="J3315">
        <v>1</v>
      </c>
      <c r="K3315">
        <v>9</v>
      </c>
    </row>
    <row r="3316" spans="1:11" x14ac:dyDescent="0.35">
      <c r="A3316" t="s">
        <v>3353</v>
      </c>
      <c r="B3316">
        <v>78</v>
      </c>
      <c r="C3316" t="s">
        <v>18</v>
      </c>
      <c r="D3316" t="s">
        <v>19</v>
      </c>
      <c r="E3316">
        <v>6</v>
      </c>
      <c r="F3316" t="s">
        <v>14</v>
      </c>
      <c r="G3316" t="s">
        <v>34</v>
      </c>
      <c r="H3316" s="1">
        <v>0</v>
      </c>
      <c r="I3316" t="s">
        <v>16</v>
      </c>
      <c r="J3316">
        <v>0</v>
      </c>
      <c r="K3316">
        <v>10</v>
      </c>
    </row>
    <row r="3317" spans="1:11" x14ac:dyDescent="0.35">
      <c r="A3317" t="s">
        <v>3354</v>
      </c>
      <c r="B3317">
        <v>23</v>
      </c>
      <c r="C3317" t="s">
        <v>18</v>
      </c>
      <c r="D3317" t="s">
        <v>13</v>
      </c>
      <c r="E3317">
        <v>23</v>
      </c>
      <c r="F3317" t="s">
        <v>22</v>
      </c>
      <c r="G3317" t="s">
        <v>27</v>
      </c>
      <c r="H3317" s="1">
        <v>31.36</v>
      </c>
      <c r="I3317" t="s">
        <v>24</v>
      </c>
      <c r="J3317">
        <v>2</v>
      </c>
      <c r="K3317">
        <v>5</v>
      </c>
    </row>
    <row r="3318" spans="1:11" x14ac:dyDescent="0.35">
      <c r="A3318" t="s">
        <v>3355</v>
      </c>
      <c r="B3318">
        <v>19</v>
      </c>
      <c r="C3318" t="s">
        <v>18</v>
      </c>
      <c r="D3318" t="s">
        <v>120</v>
      </c>
      <c r="E3318">
        <v>31</v>
      </c>
      <c r="F3318" t="s">
        <v>31</v>
      </c>
      <c r="G3318" t="s">
        <v>37</v>
      </c>
      <c r="H3318" s="1">
        <v>155.37</v>
      </c>
      <c r="I3318" t="s">
        <v>28</v>
      </c>
      <c r="J3318">
        <v>1</v>
      </c>
      <c r="K3318">
        <v>5</v>
      </c>
    </row>
    <row r="3319" spans="1:11" x14ac:dyDescent="0.35">
      <c r="A3319" t="s">
        <v>3356</v>
      </c>
      <c r="B3319">
        <v>24</v>
      </c>
      <c r="C3319" t="s">
        <v>12</v>
      </c>
      <c r="D3319" t="s">
        <v>30</v>
      </c>
      <c r="E3319">
        <v>2</v>
      </c>
      <c r="F3319" t="s">
        <v>33</v>
      </c>
      <c r="G3319" t="s">
        <v>23</v>
      </c>
      <c r="H3319" s="1">
        <v>464.46</v>
      </c>
      <c r="I3319" t="s">
        <v>28</v>
      </c>
      <c r="J3319">
        <v>0</v>
      </c>
      <c r="K3319">
        <v>7</v>
      </c>
    </row>
    <row r="3320" spans="1:11" x14ac:dyDescent="0.35">
      <c r="A3320" t="s">
        <v>3357</v>
      </c>
      <c r="B3320">
        <v>26</v>
      </c>
      <c r="C3320" t="s">
        <v>18</v>
      </c>
      <c r="D3320" t="s">
        <v>30</v>
      </c>
      <c r="E3320">
        <v>2</v>
      </c>
      <c r="F3320" t="s">
        <v>33</v>
      </c>
      <c r="G3320" t="s">
        <v>34</v>
      </c>
      <c r="H3320" s="1">
        <v>184.89</v>
      </c>
      <c r="I3320" t="s">
        <v>24</v>
      </c>
      <c r="J3320">
        <v>2</v>
      </c>
      <c r="K3320">
        <v>7</v>
      </c>
    </row>
    <row r="3321" spans="1:11" x14ac:dyDescent="0.35">
      <c r="A3321" t="s">
        <v>3358</v>
      </c>
      <c r="B3321">
        <v>48</v>
      </c>
      <c r="C3321" t="s">
        <v>18</v>
      </c>
      <c r="D3321" t="s">
        <v>41</v>
      </c>
      <c r="E3321">
        <v>3</v>
      </c>
      <c r="F3321" t="s">
        <v>22</v>
      </c>
      <c r="G3321" t="s">
        <v>23</v>
      </c>
      <c r="H3321" s="1">
        <v>184.35</v>
      </c>
      <c r="I3321" t="s">
        <v>24</v>
      </c>
      <c r="J3321">
        <v>0</v>
      </c>
      <c r="K3321">
        <v>8</v>
      </c>
    </row>
    <row r="3322" spans="1:11" x14ac:dyDescent="0.35">
      <c r="A3322" t="s">
        <v>3359</v>
      </c>
      <c r="B3322">
        <v>61</v>
      </c>
      <c r="C3322" t="s">
        <v>12</v>
      </c>
      <c r="D3322" t="s">
        <v>21</v>
      </c>
      <c r="E3322">
        <v>45</v>
      </c>
      <c r="F3322" t="s">
        <v>14</v>
      </c>
      <c r="G3322" t="s">
        <v>15</v>
      </c>
      <c r="H3322" s="1">
        <v>0</v>
      </c>
      <c r="I3322" t="s">
        <v>16</v>
      </c>
      <c r="J3322">
        <v>3</v>
      </c>
      <c r="K3322">
        <v>3</v>
      </c>
    </row>
    <row r="3323" spans="1:11" x14ac:dyDescent="0.35">
      <c r="A3323" t="s">
        <v>3360</v>
      </c>
      <c r="B3323">
        <v>21</v>
      </c>
      <c r="C3323" t="s">
        <v>18</v>
      </c>
      <c r="D3323" t="s">
        <v>13</v>
      </c>
      <c r="E3323">
        <v>15</v>
      </c>
      <c r="F3323" t="s">
        <v>14</v>
      </c>
      <c r="G3323" t="s">
        <v>34</v>
      </c>
      <c r="H3323" s="1">
        <v>0</v>
      </c>
      <c r="I3323" t="s">
        <v>16</v>
      </c>
      <c r="J3323">
        <v>1</v>
      </c>
      <c r="K3323">
        <v>6</v>
      </c>
    </row>
    <row r="3324" spans="1:11" x14ac:dyDescent="0.35">
      <c r="A3324" t="s">
        <v>3361</v>
      </c>
      <c r="B3324">
        <v>21</v>
      </c>
      <c r="C3324" t="s">
        <v>18</v>
      </c>
      <c r="D3324" t="s">
        <v>19</v>
      </c>
      <c r="E3324">
        <v>20</v>
      </c>
      <c r="F3324" t="s">
        <v>33</v>
      </c>
      <c r="G3324" t="s">
        <v>27</v>
      </c>
      <c r="H3324" s="1">
        <v>30.16</v>
      </c>
      <c r="I3324" t="s">
        <v>24</v>
      </c>
      <c r="J3324">
        <v>4</v>
      </c>
      <c r="K3324">
        <v>3</v>
      </c>
    </row>
    <row r="3325" spans="1:11" x14ac:dyDescent="0.35">
      <c r="A3325" t="s">
        <v>3362</v>
      </c>
      <c r="B3325">
        <v>26</v>
      </c>
      <c r="C3325" t="s">
        <v>12</v>
      </c>
      <c r="D3325" t="s">
        <v>13</v>
      </c>
      <c r="E3325">
        <v>18</v>
      </c>
      <c r="F3325" t="s">
        <v>31</v>
      </c>
      <c r="G3325" t="s">
        <v>23</v>
      </c>
      <c r="H3325" s="1">
        <v>218.93</v>
      </c>
      <c r="I3325" t="s">
        <v>24</v>
      </c>
      <c r="J3325">
        <v>0</v>
      </c>
      <c r="K3325">
        <v>7</v>
      </c>
    </row>
    <row r="3326" spans="1:11" x14ac:dyDescent="0.35">
      <c r="A3326" t="s">
        <v>3363</v>
      </c>
      <c r="B3326">
        <v>38</v>
      </c>
      <c r="C3326" t="s">
        <v>18</v>
      </c>
      <c r="D3326" t="s">
        <v>21</v>
      </c>
      <c r="E3326">
        <v>19</v>
      </c>
      <c r="F3326" t="s">
        <v>26</v>
      </c>
      <c r="G3326" t="s">
        <v>23</v>
      </c>
      <c r="H3326" s="1">
        <v>108.82</v>
      </c>
      <c r="I3326" t="s">
        <v>28</v>
      </c>
      <c r="J3326">
        <v>0</v>
      </c>
      <c r="K3326">
        <v>1</v>
      </c>
    </row>
    <row r="3327" spans="1:11" x14ac:dyDescent="0.35">
      <c r="A3327" t="s">
        <v>3364</v>
      </c>
      <c r="B3327">
        <v>44</v>
      </c>
      <c r="C3327" t="s">
        <v>12</v>
      </c>
      <c r="D3327" t="s">
        <v>30</v>
      </c>
      <c r="E3327">
        <v>3</v>
      </c>
      <c r="F3327" t="s">
        <v>33</v>
      </c>
      <c r="G3327" t="s">
        <v>15</v>
      </c>
      <c r="H3327" s="1">
        <v>410.88</v>
      </c>
      <c r="I3327" t="s">
        <v>24</v>
      </c>
      <c r="J3327">
        <v>0</v>
      </c>
      <c r="K3327">
        <v>9</v>
      </c>
    </row>
    <row r="3328" spans="1:11" x14ac:dyDescent="0.35">
      <c r="A3328" t="s">
        <v>3365</v>
      </c>
      <c r="B3328">
        <v>72</v>
      </c>
      <c r="C3328" t="s">
        <v>12</v>
      </c>
      <c r="D3328" t="s">
        <v>30</v>
      </c>
      <c r="E3328">
        <v>4</v>
      </c>
      <c r="F3328" t="s">
        <v>33</v>
      </c>
      <c r="G3328" t="s">
        <v>27</v>
      </c>
      <c r="H3328" s="1">
        <v>64.260000000000005</v>
      </c>
      <c r="I3328" t="s">
        <v>43</v>
      </c>
      <c r="J3328">
        <v>0</v>
      </c>
      <c r="K3328">
        <v>9</v>
      </c>
    </row>
    <row r="3329" spans="1:11" x14ac:dyDescent="0.35">
      <c r="A3329" t="s">
        <v>3366</v>
      </c>
      <c r="B3329">
        <v>24</v>
      </c>
      <c r="C3329" t="s">
        <v>12</v>
      </c>
      <c r="D3329" t="s">
        <v>19</v>
      </c>
      <c r="E3329">
        <v>6</v>
      </c>
      <c r="F3329" t="s">
        <v>31</v>
      </c>
      <c r="G3329" t="s">
        <v>27</v>
      </c>
      <c r="H3329" s="1">
        <v>106.97</v>
      </c>
      <c r="I3329" t="s">
        <v>24</v>
      </c>
      <c r="J3329">
        <v>2</v>
      </c>
      <c r="K3329">
        <v>8</v>
      </c>
    </row>
    <row r="3330" spans="1:11" x14ac:dyDescent="0.35">
      <c r="A3330" t="s">
        <v>3367</v>
      </c>
      <c r="B3330">
        <v>22</v>
      </c>
      <c r="C3330" t="s">
        <v>18</v>
      </c>
      <c r="D3330" t="s">
        <v>30</v>
      </c>
      <c r="E3330">
        <v>7</v>
      </c>
      <c r="F3330" t="s">
        <v>14</v>
      </c>
      <c r="G3330" t="s">
        <v>23</v>
      </c>
      <c r="H3330" s="1">
        <v>0</v>
      </c>
      <c r="I3330" t="s">
        <v>16</v>
      </c>
      <c r="J3330">
        <v>0</v>
      </c>
      <c r="K3330">
        <v>8</v>
      </c>
    </row>
    <row r="3331" spans="1:11" x14ac:dyDescent="0.35">
      <c r="A3331" t="s">
        <v>3368</v>
      </c>
      <c r="B3331">
        <v>36</v>
      </c>
      <c r="C3331" t="s">
        <v>12</v>
      </c>
      <c r="D3331" t="s">
        <v>13</v>
      </c>
      <c r="E3331">
        <v>10</v>
      </c>
      <c r="F3331" t="s">
        <v>14</v>
      </c>
      <c r="G3331" t="s">
        <v>15</v>
      </c>
      <c r="H3331" s="1">
        <v>0</v>
      </c>
      <c r="I3331" t="s">
        <v>16</v>
      </c>
      <c r="J3331">
        <v>0</v>
      </c>
      <c r="K3331">
        <v>6</v>
      </c>
    </row>
    <row r="3332" spans="1:11" x14ac:dyDescent="0.35">
      <c r="A3332" t="s">
        <v>3369</v>
      </c>
      <c r="B3332">
        <v>46</v>
      </c>
      <c r="C3332" t="s">
        <v>12</v>
      </c>
      <c r="D3332" t="s">
        <v>19</v>
      </c>
      <c r="E3332">
        <v>21</v>
      </c>
      <c r="F3332" t="s">
        <v>14</v>
      </c>
      <c r="G3332" t="s">
        <v>23</v>
      </c>
      <c r="H3332" s="1">
        <v>0</v>
      </c>
      <c r="I3332" t="s">
        <v>16</v>
      </c>
      <c r="J3332">
        <v>0</v>
      </c>
      <c r="K3332">
        <v>2</v>
      </c>
    </row>
    <row r="3333" spans="1:11" x14ac:dyDescent="0.35">
      <c r="A3333" t="s">
        <v>3370</v>
      </c>
      <c r="B3333">
        <v>30</v>
      </c>
      <c r="C3333" t="s">
        <v>18</v>
      </c>
      <c r="D3333" t="s">
        <v>19</v>
      </c>
      <c r="E3333">
        <v>18</v>
      </c>
      <c r="F3333" t="s">
        <v>14</v>
      </c>
      <c r="G3333" t="s">
        <v>27</v>
      </c>
      <c r="H3333" s="1">
        <v>0</v>
      </c>
      <c r="I3333" t="s">
        <v>16</v>
      </c>
      <c r="J3333">
        <v>1</v>
      </c>
      <c r="K3333">
        <v>4</v>
      </c>
    </row>
    <row r="3334" spans="1:11" x14ac:dyDescent="0.35">
      <c r="A3334" t="s">
        <v>3371</v>
      </c>
      <c r="B3334">
        <v>19</v>
      </c>
      <c r="C3334" t="s">
        <v>18</v>
      </c>
      <c r="D3334" t="s">
        <v>21</v>
      </c>
      <c r="E3334">
        <v>33</v>
      </c>
      <c r="F3334" t="s">
        <v>22</v>
      </c>
      <c r="G3334" t="s">
        <v>23</v>
      </c>
      <c r="H3334" s="1">
        <v>313.33999999999997</v>
      </c>
      <c r="I3334" t="s">
        <v>24</v>
      </c>
      <c r="J3334">
        <v>0</v>
      </c>
      <c r="K3334">
        <v>5</v>
      </c>
    </row>
    <row r="3335" spans="1:11" x14ac:dyDescent="0.35">
      <c r="A3335" t="s">
        <v>3372</v>
      </c>
      <c r="B3335">
        <v>57</v>
      </c>
      <c r="C3335" t="s">
        <v>12</v>
      </c>
      <c r="D3335" t="s">
        <v>21</v>
      </c>
      <c r="E3335">
        <v>20</v>
      </c>
      <c r="F3335" t="s">
        <v>33</v>
      </c>
      <c r="G3335" t="s">
        <v>27</v>
      </c>
      <c r="H3335" s="1">
        <v>39.43</v>
      </c>
      <c r="I3335" t="s">
        <v>24</v>
      </c>
      <c r="J3335">
        <v>2</v>
      </c>
      <c r="K3335">
        <v>1</v>
      </c>
    </row>
    <row r="3336" spans="1:11" x14ac:dyDescent="0.35">
      <c r="A3336" t="s">
        <v>3373</v>
      </c>
      <c r="B3336">
        <v>44</v>
      </c>
      <c r="C3336" t="s">
        <v>12</v>
      </c>
      <c r="D3336" t="s">
        <v>47</v>
      </c>
      <c r="E3336">
        <v>10</v>
      </c>
      <c r="F3336" t="s">
        <v>31</v>
      </c>
      <c r="G3336" t="s">
        <v>23</v>
      </c>
      <c r="H3336" s="1">
        <v>164.78</v>
      </c>
      <c r="I3336" t="s">
        <v>24</v>
      </c>
      <c r="J3336">
        <v>3</v>
      </c>
      <c r="K3336">
        <v>7</v>
      </c>
    </row>
    <row r="3337" spans="1:11" x14ac:dyDescent="0.35">
      <c r="A3337" t="s">
        <v>3374</v>
      </c>
      <c r="B3337">
        <v>58</v>
      </c>
      <c r="C3337" t="s">
        <v>12</v>
      </c>
      <c r="D3337" t="s">
        <v>30</v>
      </c>
      <c r="E3337">
        <v>3</v>
      </c>
      <c r="F3337" t="s">
        <v>31</v>
      </c>
      <c r="G3337" t="s">
        <v>34</v>
      </c>
      <c r="H3337" s="1">
        <v>162.33000000000001</v>
      </c>
      <c r="I3337" t="s">
        <v>24</v>
      </c>
      <c r="J3337">
        <v>1</v>
      </c>
      <c r="K3337">
        <v>10</v>
      </c>
    </row>
    <row r="3338" spans="1:11" x14ac:dyDescent="0.35">
      <c r="A3338" t="s">
        <v>3375</v>
      </c>
      <c r="B3338">
        <v>76</v>
      </c>
      <c r="C3338" t="s">
        <v>18</v>
      </c>
      <c r="D3338" t="s">
        <v>19</v>
      </c>
      <c r="E3338">
        <v>7</v>
      </c>
      <c r="F3338" t="s">
        <v>33</v>
      </c>
      <c r="G3338" t="s">
        <v>23</v>
      </c>
      <c r="H3338" s="1">
        <v>116.98</v>
      </c>
      <c r="I3338" t="s">
        <v>24</v>
      </c>
      <c r="J3338">
        <v>1</v>
      </c>
      <c r="K3338">
        <v>9</v>
      </c>
    </row>
    <row r="3339" spans="1:11" x14ac:dyDescent="0.35">
      <c r="A3339" t="s">
        <v>3376</v>
      </c>
      <c r="B3339">
        <v>61</v>
      </c>
      <c r="C3339" t="s">
        <v>18</v>
      </c>
      <c r="D3339" t="s">
        <v>19</v>
      </c>
      <c r="E3339">
        <v>12</v>
      </c>
      <c r="F3339" t="s">
        <v>22</v>
      </c>
      <c r="G3339" t="s">
        <v>27</v>
      </c>
      <c r="H3339" s="1">
        <v>106.16</v>
      </c>
      <c r="I3339" t="s">
        <v>28</v>
      </c>
      <c r="J3339">
        <v>2</v>
      </c>
      <c r="K3339">
        <v>5</v>
      </c>
    </row>
    <row r="3340" spans="1:11" x14ac:dyDescent="0.35">
      <c r="A3340" t="s">
        <v>3377</v>
      </c>
      <c r="B3340">
        <v>48</v>
      </c>
      <c r="C3340" t="s">
        <v>12</v>
      </c>
      <c r="D3340" t="s">
        <v>30</v>
      </c>
      <c r="E3340">
        <v>3</v>
      </c>
      <c r="F3340" t="s">
        <v>26</v>
      </c>
      <c r="G3340" t="s">
        <v>34</v>
      </c>
      <c r="H3340" s="1">
        <v>129.13999999999999</v>
      </c>
      <c r="I3340" t="s">
        <v>43</v>
      </c>
      <c r="J3340">
        <v>0</v>
      </c>
      <c r="K3340">
        <v>7</v>
      </c>
    </row>
    <row r="3341" spans="1:11" x14ac:dyDescent="0.35">
      <c r="A3341" t="s">
        <v>3378</v>
      </c>
      <c r="B3341">
        <v>56</v>
      </c>
      <c r="C3341" t="s">
        <v>18</v>
      </c>
      <c r="D3341" t="s">
        <v>30</v>
      </c>
      <c r="E3341">
        <v>3</v>
      </c>
      <c r="F3341" t="s">
        <v>22</v>
      </c>
      <c r="G3341" t="s">
        <v>15</v>
      </c>
      <c r="H3341" s="1">
        <v>262.27999999999997</v>
      </c>
      <c r="I3341" t="s">
        <v>24</v>
      </c>
      <c r="J3341">
        <v>2</v>
      </c>
      <c r="K3341">
        <v>9</v>
      </c>
    </row>
    <row r="3342" spans="1:11" x14ac:dyDescent="0.35">
      <c r="A3342" t="s">
        <v>3379</v>
      </c>
      <c r="B3342">
        <v>27</v>
      </c>
      <c r="C3342" t="s">
        <v>12</v>
      </c>
      <c r="D3342" t="s">
        <v>19</v>
      </c>
      <c r="E3342">
        <v>21</v>
      </c>
      <c r="F3342" t="s">
        <v>22</v>
      </c>
      <c r="G3342" t="s">
        <v>23</v>
      </c>
      <c r="H3342" s="1">
        <v>75.16</v>
      </c>
      <c r="I3342" t="s">
        <v>24</v>
      </c>
      <c r="J3342">
        <v>0</v>
      </c>
      <c r="K3342">
        <v>4</v>
      </c>
    </row>
    <row r="3343" spans="1:11" x14ac:dyDescent="0.35">
      <c r="A3343" t="s">
        <v>3380</v>
      </c>
      <c r="B3343">
        <v>24</v>
      </c>
      <c r="C3343" t="s">
        <v>12</v>
      </c>
      <c r="D3343" t="s">
        <v>19</v>
      </c>
      <c r="E3343">
        <v>15</v>
      </c>
      <c r="F3343" t="s">
        <v>31</v>
      </c>
      <c r="G3343" t="s">
        <v>27</v>
      </c>
      <c r="H3343" s="1">
        <v>134.9</v>
      </c>
      <c r="I3343" t="s">
        <v>24</v>
      </c>
      <c r="J3343">
        <v>2</v>
      </c>
      <c r="K3343">
        <v>4</v>
      </c>
    </row>
    <row r="3344" spans="1:11" x14ac:dyDescent="0.35">
      <c r="A3344" t="s">
        <v>3381</v>
      </c>
      <c r="B3344">
        <v>68</v>
      </c>
      <c r="C3344" t="s">
        <v>18</v>
      </c>
      <c r="D3344" t="s">
        <v>19</v>
      </c>
      <c r="E3344">
        <v>17</v>
      </c>
      <c r="F3344" t="s">
        <v>33</v>
      </c>
      <c r="G3344" t="s">
        <v>37</v>
      </c>
      <c r="H3344" s="1">
        <v>203.25</v>
      </c>
      <c r="I3344" t="s">
        <v>24</v>
      </c>
      <c r="J3344">
        <v>2</v>
      </c>
      <c r="K3344">
        <v>6</v>
      </c>
    </row>
    <row r="3345" spans="1:11" x14ac:dyDescent="0.35">
      <c r="A3345" t="s">
        <v>3382</v>
      </c>
      <c r="B3345">
        <v>23</v>
      </c>
      <c r="C3345" t="s">
        <v>18</v>
      </c>
      <c r="D3345" t="s">
        <v>21</v>
      </c>
      <c r="E3345">
        <v>23</v>
      </c>
      <c r="F3345" t="s">
        <v>31</v>
      </c>
      <c r="G3345" t="s">
        <v>37</v>
      </c>
      <c r="H3345" s="1">
        <v>146.11000000000001</v>
      </c>
      <c r="I3345" t="s">
        <v>24</v>
      </c>
      <c r="J3345">
        <v>4</v>
      </c>
      <c r="K3345">
        <v>1</v>
      </c>
    </row>
    <row r="3346" spans="1:11" x14ac:dyDescent="0.35">
      <c r="A3346" t="s">
        <v>3383</v>
      </c>
      <c r="B3346">
        <v>67</v>
      </c>
      <c r="C3346" t="s">
        <v>18</v>
      </c>
      <c r="D3346" t="s">
        <v>19</v>
      </c>
      <c r="E3346">
        <v>22</v>
      </c>
      <c r="F3346" t="s">
        <v>26</v>
      </c>
      <c r="G3346" t="s">
        <v>27</v>
      </c>
      <c r="H3346" s="1">
        <v>34.26</v>
      </c>
      <c r="I3346" t="s">
        <v>24</v>
      </c>
      <c r="J3346">
        <v>3</v>
      </c>
      <c r="K3346">
        <v>4</v>
      </c>
    </row>
    <row r="3347" spans="1:11" x14ac:dyDescent="0.35">
      <c r="A3347" t="s">
        <v>3384</v>
      </c>
      <c r="B3347">
        <v>59</v>
      </c>
      <c r="C3347" t="s">
        <v>18</v>
      </c>
      <c r="D3347" t="s">
        <v>19</v>
      </c>
      <c r="E3347">
        <v>21</v>
      </c>
      <c r="F3347" t="s">
        <v>31</v>
      </c>
      <c r="G3347" t="s">
        <v>23</v>
      </c>
      <c r="H3347" s="1">
        <v>233.12</v>
      </c>
      <c r="I3347" t="s">
        <v>24</v>
      </c>
      <c r="J3347">
        <v>1</v>
      </c>
      <c r="K3347">
        <v>5</v>
      </c>
    </row>
    <row r="3348" spans="1:11" x14ac:dyDescent="0.35">
      <c r="A3348" t="s">
        <v>3385</v>
      </c>
      <c r="B3348">
        <v>73</v>
      </c>
      <c r="C3348" t="s">
        <v>18</v>
      </c>
      <c r="D3348" t="s">
        <v>200</v>
      </c>
      <c r="E3348">
        <v>13</v>
      </c>
      <c r="F3348" t="s">
        <v>33</v>
      </c>
      <c r="G3348" t="s">
        <v>15</v>
      </c>
      <c r="H3348" s="1">
        <v>359.43</v>
      </c>
      <c r="I3348" t="s">
        <v>24</v>
      </c>
      <c r="J3348">
        <v>1</v>
      </c>
      <c r="K3348">
        <v>6</v>
      </c>
    </row>
    <row r="3349" spans="1:11" x14ac:dyDescent="0.35">
      <c r="A3349" t="s">
        <v>3386</v>
      </c>
      <c r="B3349">
        <v>47</v>
      </c>
      <c r="C3349" t="s">
        <v>12</v>
      </c>
      <c r="D3349" t="s">
        <v>19</v>
      </c>
      <c r="E3349">
        <v>13</v>
      </c>
      <c r="F3349" t="s">
        <v>31</v>
      </c>
      <c r="G3349" t="s">
        <v>27</v>
      </c>
      <c r="H3349" s="1">
        <v>26.87</v>
      </c>
      <c r="I3349" t="s">
        <v>24</v>
      </c>
      <c r="J3349">
        <v>2</v>
      </c>
      <c r="K3349">
        <v>4</v>
      </c>
    </row>
    <row r="3350" spans="1:11" x14ac:dyDescent="0.35">
      <c r="A3350" t="s">
        <v>3387</v>
      </c>
      <c r="B3350">
        <v>28</v>
      </c>
      <c r="C3350" t="s">
        <v>12</v>
      </c>
      <c r="D3350" t="s">
        <v>19</v>
      </c>
      <c r="E3350">
        <v>7</v>
      </c>
      <c r="F3350" t="s">
        <v>26</v>
      </c>
      <c r="G3350" t="s">
        <v>34</v>
      </c>
      <c r="H3350" s="1">
        <v>113.99</v>
      </c>
      <c r="I3350" t="s">
        <v>24</v>
      </c>
      <c r="J3350">
        <v>0</v>
      </c>
      <c r="K3350">
        <v>8</v>
      </c>
    </row>
    <row r="3351" spans="1:11" x14ac:dyDescent="0.35">
      <c r="A3351" t="s">
        <v>3388</v>
      </c>
      <c r="B3351">
        <v>37</v>
      </c>
      <c r="C3351" t="s">
        <v>18</v>
      </c>
      <c r="D3351" t="s">
        <v>30</v>
      </c>
      <c r="E3351">
        <v>9</v>
      </c>
      <c r="F3351" t="s">
        <v>31</v>
      </c>
      <c r="G3351" t="s">
        <v>23</v>
      </c>
      <c r="H3351" s="1">
        <v>125.84</v>
      </c>
      <c r="I3351" t="s">
        <v>24</v>
      </c>
      <c r="J3351">
        <v>1</v>
      </c>
      <c r="K3351">
        <v>7</v>
      </c>
    </row>
    <row r="3352" spans="1:11" x14ac:dyDescent="0.35">
      <c r="A3352" t="s">
        <v>3389</v>
      </c>
      <c r="B3352">
        <v>77</v>
      </c>
      <c r="C3352" t="s">
        <v>18</v>
      </c>
      <c r="D3352" t="s">
        <v>21</v>
      </c>
      <c r="E3352">
        <v>39</v>
      </c>
      <c r="F3352" t="s">
        <v>33</v>
      </c>
      <c r="G3352" t="s">
        <v>15</v>
      </c>
      <c r="H3352" s="1">
        <v>86.52</v>
      </c>
      <c r="I3352" t="s">
        <v>24</v>
      </c>
      <c r="J3352">
        <v>1</v>
      </c>
      <c r="K3352">
        <v>1</v>
      </c>
    </row>
    <row r="3353" spans="1:11" x14ac:dyDescent="0.35">
      <c r="A3353" t="s">
        <v>3390</v>
      </c>
      <c r="B3353">
        <v>19</v>
      </c>
      <c r="C3353" t="s">
        <v>12</v>
      </c>
      <c r="D3353" t="s">
        <v>120</v>
      </c>
      <c r="E3353">
        <v>32</v>
      </c>
      <c r="F3353" t="s">
        <v>31</v>
      </c>
      <c r="G3353" t="s">
        <v>34</v>
      </c>
      <c r="H3353" s="1">
        <v>197.96</v>
      </c>
      <c r="I3353" t="s">
        <v>43</v>
      </c>
      <c r="J3353">
        <v>2</v>
      </c>
      <c r="K3353">
        <v>5</v>
      </c>
    </row>
    <row r="3354" spans="1:11" x14ac:dyDescent="0.35">
      <c r="A3354" t="s">
        <v>3391</v>
      </c>
      <c r="B3354">
        <v>30</v>
      </c>
      <c r="C3354" t="s">
        <v>18</v>
      </c>
      <c r="D3354" t="s">
        <v>19</v>
      </c>
      <c r="E3354">
        <v>12</v>
      </c>
      <c r="F3354" t="s">
        <v>31</v>
      </c>
      <c r="G3354" t="s">
        <v>27</v>
      </c>
      <c r="H3354" s="1">
        <v>166.15</v>
      </c>
      <c r="I3354" t="s">
        <v>24</v>
      </c>
      <c r="J3354">
        <v>3</v>
      </c>
      <c r="K3354">
        <v>6</v>
      </c>
    </row>
    <row r="3355" spans="1:11" x14ac:dyDescent="0.35">
      <c r="A3355" t="s">
        <v>3392</v>
      </c>
      <c r="B3355">
        <v>67</v>
      </c>
      <c r="C3355" t="s">
        <v>12</v>
      </c>
      <c r="D3355" t="s">
        <v>19</v>
      </c>
      <c r="E3355">
        <v>9</v>
      </c>
      <c r="F3355" t="s">
        <v>33</v>
      </c>
      <c r="G3355" t="s">
        <v>23</v>
      </c>
      <c r="H3355" s="1">
        <v>485.89</v>
      </c>
      <c r="I3355" t="s">
        <v>24</v>
      </c>
      <c r="J3355">
        <v>0</v>
      </c>
      <c r="K3355">
        <v>7</v>
      </c>
    </row>
    <row r="3356" spans="1:11" x14ac:dyDescent="0.35">
      <c r="A3356" t="s">
        <v>3393</v>
      </c>
      <c r="B3356">
        <v>56</v>
      </c>
      <c r="C3356" t="s">
        <v>12</v>
      </c>
      <c r="D3356" t="s">
        <v>13</v>
      </c>
      <c r="E3356">
        <v>7</v>
      </c>
      <c r="F3356" t="s">
        <v>22</v>
      </c>
      <c r="G3356" t="s">
        <v>34</v>
      </c>
      <c r="H3356" s="1">
        <v>212.6</v>
      </c>
      <c r="I3356" t="s">
        <v>43</v>
      </c>
      <c r="J3356">
        <v>2</v>
      </c>
      <c r="K3356">
        <v>8</v>
      </c>
    </row>
    <row r="3357" spans="1:11" x14ac:dyDescent="0.35">
      <c r="A3357" t="s">
        <v>3394</v>
      </c>
      <c r="B3357">
        <v>67</v>
      </c>
      <c r="C3357" t="s">
        <v>18</v>
      </c>
      <c r="D3357" t="s">
        <v>19</v>
      </c>
      <c r="E3357">
        <v>21</v>
      </c>
      <c r="F3357" t="s">
        <v>33</v>
      </c>
      <c r="G3357" t="s">
        <v>34</v>
      </c>
      <c r="H3357" s="1">
        <v>205.54</v>
      </c>
      <c r="I3357" t="s">
        <v>43</v>
      </c>
      <c r="J3357">
        <v>4</v>
      </c>
      <c r="K3357">
        <v>4</v>
      </c>
    </row>
    <row r="3358" spans="1:11" x14ac:dyDescent="0.35">
      <c r="A3358" t="s">
        <v>3395</v>
      </c>
      <c r="B3358">
        <v>41</v>
      </c>
      <c r="C3358" t="s">
        <v>18</v>
      </c>
      <c r="D3358" t="s">
        <v>19</v>
      </c>
      <c r="E3358">
        <v>12</v>
      </c>
      <c r="F3358" t="s">
        <v>31</v>
      </c>
      <c r="G3358" t="s">
        <v>15</v>
      </c>
      <c r="H3358" s="1">
        <v>374.03</v>
      </c>
      <c r="I3358" t="s">
        <v>24</v>
      </c>
      <c r="J3358">
        <v>0</v>
      </c>
      <c r="K3358">
        <v>7</v>
      </c>
    </row>
    <row r="3359" spans="1:11" x14ac:dyDescent="0.35">
      <c r="A3359" t="s">
        <v>3396</v>
      </c>
      <c r="B3359">
        <v>19</v>
      </c>
      <c r="C3359" t="s">
        <v>12</v>
      </c>
      <c r="D3359" t="s">
        <v>19</v>
      </c>
      <c r="E3359">
        <v>22</v>
      </c>
      <c r="F3359" t="s">
        <v>33</v>
      </c>
      <c r="G3359" t="s">
        <v>34</v>
      </c>
      <c r="H3359" s="1">
        <v>104.1</v>
      </c>
      <c r="I3359" t="s">
        <v>24</v>
      </c>
      <c r="J3359">
        <v>1</v>
      </c>
      <c r="K3359">
        <v>3</v>
      </c>
    </row>
    <row r="3360" spans="1:11" x14ac:dyDescent="0.35">
      <c r="A3360" t="s">
        <v>3397</v>
      </c>
      <c r="B3360">
        <v>27</v>
      </c>
      <c r="C3360" t="s">
        <v>18</v>
      </c>
      <c r="D3360" t="s">
        <v>19</v>
      </c>
      <c r="E3360">
        <v>14</v>
      </c>
      <c r="F3360" t="s">
        <v>22</v>
      </c>
      <c r="G3360" t="s">
        <v>23</v>
      </c>
      <c r="H3360" s="1">
        <v>100.98</v>
      </c>
      <c r="I3360" t="s">
        <v>24</v>
      </c>
      <c r="J3360">
        <v>0</v>
      </c>
      <c r="K3360">
        <v>6</v>
      </c>
    </row>
    <row r="3361" spans="1:11" x14ac:dyDescent="0.35">
      <c r="A3361" t="s">
        <v>3398</v>
      </c>
      <c r="B3361">
        <v>69</v>
      </c>
      <c r="C3361" t="s">
        <v>18</v>
      </c>
      <c r="D3361" t="s">
        <v>13</v>
      </c>
      <c r="E3361">
        <v>13</v>
      </c>
      <c r="F3361" t="s">
        <v>22</v>
      </c>
      <c r="G3361" t="s">
        <v>15</v>
      </c>
      <c r="H3361" s="1">
        <v>213.92</v>
      </c>
      <c r="I3361" t="s">
        <v>24</v>
      </c>
      <c r="J3361">
        <v>2</v>
      </c>
      <c r="K3361">
        <v>6</v>
      </c>
    </row>
    <row r="3362" spans="1:11" x14ac:dyDescent="0.35">
      <c r="A3362" t="s">
        <v>3399</v>
      </c>
      <c r="B3362">
        <v>29</v>
      </c>
      <c r="C3362" t="s">
        <v>18</v>
      </c>
      <c r="D3362" t="s">
        <v>30</v>
      </c>
      <c r="E3362">
        <v>4</v>
      </c>
      <c r="F3362" t="s">
        <v>31</v>
      </c>
      <c r="G3362" t="s">
        <v>34</v>
      </c>
      <c r="H3362" s="1">
        <v>123.19</v>
      </c>
      <c r="I3362" t="s">
        <v>28</v>
      </c>
      <c r="J3362">
        <v>0</v>
      </c>
      <c r="K3362">
        <v>8</v>
      </c>
    </row>
    <row r="3363" spans="1:11" x14ac:dyDescent="0.35">
      <c r="A3363" t="s">
        <v>3400</v>
      </c>
      <c r="B3363">
        <v>27</v>
      </c>
      <c r="C3363" t="s">
        <v>12</v>
      </c>
      <c r="D3363" t="s">
        <v>19</v>
      </c>
      <c r="E3363">
        <v>8</v>
      </c>
      <c r="F3363" t="s">
        <v>31</v>
      </c>
      <c r="G3363" t="s">
        <v>34</v>
      </c>
      <c r="H3363" s="1">
        <v>171.83</v>
      </c>
      <c r="I3363" t="s">
        <v>24</v>
      </c>
      <c r="J3363">
        <v>0</v>
      </c>
      <c r="K3363">
        <v>7</v>
      </c>
    </row>
    <row r="3364" spans="1:11" x14ac:dyDescent="0.35">
      <c r="A3364" t="s">
        <v>3401</v>
      </c>
      <c r="B3364">
        <v>80</v>
      </c>
      <c r="C3364" t="s">
        <v>18</v>
      </c>
      <c r="D3364" t="s">
        <v>19</v>
      </c>
      <c r="E3364">
        <v>14</v>
      </c>
      <c r="F3364" t="s">
        <v>22</v>
      </c>
      <c r="G3364" t="s">
        <v>23</v>
      </c>
      <c r="H3364" s="1">
        <v>539.61</v>
      </c>
      <c r="I3364" t="s">
        <v>24</v>
      </c>
      <c r="J3364">
        <v>2</v>
      </c>
      <c r="K3364">
        <v>5</v>
      </c>
    </row>
    <row r="3365" spans="1:11" x14ac:dyDescent="0.35">
      <c r="A3365" t="s">
        <v>3402</v>
      </c>
      <c r="B3365">
        <v>72</v>
      </c>
      <c r="C3365" t="s">
        <v>18</v>
      </c>
      <c r="D3365" t="s">
        <v>13</v>
      </c>
      <c r="E3365">
        <v>8</v>
      </c>
      <c r="F3365" t="s">
        <v>33</v>
      </c>
      <c r="G3365" t="s">
        <v>34</v>
      </c>
      <c r="H3365" s="1">
        <v>205.64</v>
      </c>
      <c r="I3365" t="s">
        <v>24</v>
      </c>
      <c r="J3365">
        <v>0</v>
      </c>
      <c r="K3365">
        <v>10</v>
      </c>
    </row>
    <row r="3366" spans="1:11" x14ac:dyDescent="0.35">
      <c r="A3366" t="s">
        <v>3403</v>
      </c>
      <c r="B3366">
        <v>53</v>
      </c>
      <c r="C3366" t="s">
        <v>12</v>
      </c>
      <c r="D3366" t="s">
        <v>13</v>
      </c>
      <c r="E3366">
        <v>23</v>
      </c>
      <c r="F3366" t="s">
        <v>26</v>
      </c>
      <c r="G3366" t="s">
        <v>15</v>
      </c>
      <c r="H3366" s="1">
        <v>334.15</v>
      </c>
      <c r="I3366" t="s">
        <v>24</v>
      </c>
      <c r="J3366">
        <v>1</v>
      </c>
      <c r="K3366">
        <v>3</v>
      </c>
    </row>
    <row r="3367" spans="1:11" x14ac:dyDescent="0.35">
      <c r="A3367" t="s">
        <v>3404</v>
      </c>
      <c r="B3367">
        <v>65</v>
      </c>
      <c r="C3367" t="s">
        <v>12</v>
      </c>
      <c r="D3367" t="s">
        <v>21</v>
      </c>
      <c r="E3367">
        <v>32</v>
      </c>
      <c r="F3367" t="s">
        <v>22</v>
      </c>
      <c r="G3367" t="s">
        <v>23</v>
      </c>
      <c r="H3367" s="1">
        <v>500.31</v>
      </c>
      <c r="I3367" t="s">
        <v>24</v>
      </c>
      <c r="J3367">
        <v>1</v>
      </c>
      <c r="K3367">
        <v>3</v>
      </c>
    </row>
    <row r="3368" spans="1:11" x14ac:dyDescent="0.35">
      <c r="A3368" t="s">
        <v>3405</v>
      </c>
      <c r="B3368">
        <v>74</v>
      </c>
      <c r="C3368" t="s">
        <v>18</v>
      </c>
      <c r="D3368" t="s">
        <v>47</v>
      </c>
      <c r="E3368">
        <v>9</v>
      </c>
      <c r="F3368" t="s">
        <v>22</v>
      </c>
      <c r="G3368" t="s">
        <v>34</v>
      </c>
      <c r="H3368" s="1">
        <v>178.72</v>
      </c>
      <c r="I3368" t="s">
        <v>24</v>
      </c>
      <c r="J3368">
        <v>1</v>
      </c>
      <c r="K3368">
        <v>6</v>
      </c>
    </row>
    <row r="3369" spans="1:11" x14ac:dyDescent="0.35">
      <c r="A3369" t="s">
        <v>3406</v>
      </c>
      <c r="B3369">
        <v>75</v>
      </c>
      <c r="C3369" t="s">
        <v>18</v>
      </c>
      <c r="D3369" t="s">
        <v>21</v>
      </c>
      <c r="E3369">
        <v>47</v>
      </c>
      <c r="F3369" t="s">
        <v>31</v>
      </c>
      <c r="G3369" t="s">
        <v>23</v>
      </c>
      <c r="H3369" s="1">
        <v>121.29</v>
      </c>
      <c r="I3369" t="s">
        <v>24</v>
      </c>
      <c r="J3369">
        <v>2</v>
      </c>
      <c r="K3369">
        <v>5</v>
      </c>
    </row>
    <row r="3370" spans="1:11" x14ac:dyDescent="0.35">
      <c r="A3370" t="s">
        <v>3407</v>
      </c>
      <c r="B3370">
        <v>48</v>
      </c>
      <c r="C3370" t="s">
        <v>18</v>
      </c>
      <c r="D3370" t="s">
        <v>57</v>
      </c>
      <c r="E3370">
        <v>21</v>
      </c>
      <c r="F3370" t="s">
        <v>14</v>
      </c>
      <c r="G3370" t="s">
        <v>23</v>
      </c>
      <c r="H3370" s="1">
        <v>0</v>
      </c>
      <c r="I3370" t="s">
        <v>16</v>
      </c>
      <c r="J3370">
        <v>2</v>
      </c>
      <c r="K3370">
        <v>5</v>
      </c>
    </row>
    <row r="3371" spans="1:11" x14ac:dyDescent="0.35">
      <c r="A3371" t="s">
        <v>3408</v>
      </c>
      <c r="B3371">
        <v>65</v>
      </c>
      <c r="C3371" t="s">
        <v>12</v>
      </c>
      <c r="D3371" t="s">
        <v>30</v>
      </c>
      <c r="E3371">
        <v>12</v>
      </c>
      <c r="F3371" t="s">
        <v>14</v>
      </c>
      <c r="G3371" t="s">
        <v>37</v>
      </c>
      <c r="H3371" s="1">
        <v>0</v>
      </c>
      <c r="I3371" t="s">
        <v>16</v>
      </c>
      <c r="J3371">
        <v>0</v>
      </c>
      <c r="K3371">
        <v>4</v>
      </c>
    </row>
    <row r="3372" spans="1:11" x14ac:dyDescent="0.35">
      <c r="A3372" t="s">
        <v>3409</v>
      </c>
      <c r="B3372">
        <v>72</v>
      </c>
      <c r="C3372" t="s">
        <v>18</v>
      </c>
      <c r="D3372" t="s">
        <v>19</v>
      </c>
      <c r="E3372">
        <v>20</v>
      </c>
      <c r="F3372" t="s">
        <v>26</v>
      </c>
      <c r="G3372" t="s">
        <v>34</v>
      </c>
      <c r="H3372" s="1">
        <v>137.16999999999999</v>
      </c>
      <c r="I3372" t="s">
        <v>24</v>
      </c>
      <c r="J3372">
        <v>3</v>
      </c>
      <c r="K3372">
        <v>4</v>
      </c>
    </row>
    <row r="3373" spans="1:11" x14ac:dyDescent="0.35">
      <c r="A3373" t="s">
        <v>3410</v>
      </c>
      <c r="B3373">
        <v>80</v>
      </c>
      <c r="C3373" t="s">
        <v>12</v>
      </c>
      <c r="D3373" t="s">
        <v>21</v>
      </c>
      <c r="E3373">
        <v>14</v>
      </c>
      <c r="F3373" t="s">
        <v>22</v>
      </c>
      <c r="G3373" t="s">
        <v>15</v>
      </c>
      <c r="H3373" s="1">
        <v>96.05</v>
      </c>
      <c r="I3373" t="s">
        <v>24</v>
      </c>
      <c r="J3373">
        <v>1</v>
      </c>
      <c r="K3373">
        <v>8</v>
      </c>
    </row>
    <row r="3374" spans="1:11" x14ac:dyDescent="0.35">
      <c r="A3374" t="s">
        <v>3411</v>
      </c>
      <c r="B3374">
        <v>18</v>
      </c>
      <c r="C3374" t="s">
        <v>18</v>
      </c>
      <c r="D3374" t="s">
        <v>21</v>
      </c>
      <c r="E3374">
        <v>24</v>
      </c>
      <c r="F3374" t="s">
        <v>33</v>
      </c>
      <c r="G3374" t="s">
        <v>27</v>
      </c>
      <c r="H3374" s="1">
        <v>45.49</v>
      </c>
      <c r="I3374" t="s">
        <v>24</v>
      </c>
      <c r="J3374">
        <v>4</v>
      </c>
      <c r="K3374">
        <v>4</v>
      </c>
    </row>
    <row r="3375" spans="1:11" x14ac:dyDescent="0.35">
      <c r="A3375" t="s">
        <v>3412</v>
      </c>
      <c r="B3375">
        <v>83</v>
      </c>
      <c r="C3375" t="s">
        <v>12</v>
      </c>
      <c r="D3375" t="s">
        <v>19</v>
      </c>
      <c r="E3375">
        <v>15</v>
      </c>
      <c r="F3375" t="s">
        <v>33</v>
      </c>
      <c r="G3375" t="s">
        <v>37</v>
      </c>
      <c r="H3375" s="1">
        <v>105.02</v>
      </c>
      <c r="I3375" t="s">
        <v>28</v>
      </c>
      <c r="J3375">
        <v>3</v>
      </c>
      <c r="K3375">
        <v>8</v>
      </c>
    </row>
    <row r="3376" spans="1:11" x14ac:dyDescent="0.35">
      <c r="A3376" t="s">
        <v>3413</v>
      </c>
      <c r="B3376">
        <v>74</v>
      </c>
      <c r="C3376" t="s">
        <v>18</v>
      </c>
      <c r="D3376" t="s">
        <v>13</v>
      </c>
      <c r="E3376">
        <v>14</v>
      </c>
      <c r="F3376" t="s">
        <v>31</v>
      </c>
      <c r="G3376" t="s">
        <v>23</v>
      </c>
      <c r="H3376" s="1">
        <v>89.19</v>
      </c>
      <c r="I3376" t="s">
        <v>24</v>
      </c>
      <c r="J3376">
        <v>1</v>
      </c>
      <c r="K3376">
        <v>4</v>
      </c>
    </row>
    <row r="3377" spans="1:11" x14ac:dyDescent="0.35">
      <c r="A3377" t="s">
        <v>3414</v>
      </c>
      <c r="B3377">
        <v>23</v>
      </c>
      <c r="C3377" t="s">
        <v>12</v>
      </c>
      <c r="D3377" t="s">
        <v>21</v>
      </c>
      <c r="E3377">
        <v>23</v>
      </c>
      <c r="F3377" t="s">
        <v>31</v>
      </c>
      <c r="G3377" t="s">
        <v>37</v>
      </c>
      <c r="H3377" s="1">
        <v>132.77000000000001</v>
      </c>
      <c r="I3377" t="s">
        <v>24</v>
      </c>
      <c r="J3377">
        <v>0</v>
      </c>
      <c r="K3377">
        <v>5</v>
      </c>
    </row>
    <row r="3378" spans="1:11" x14ac:dyDescent="0.35">
      <c r="A3378" t="s">
        <v>3415</v>
      </c>
      <c r="B3378">
        <v>58</v>
      </c>
      <c r="C3378" t="s">
        <v>18</v>
      </c>
      <c r="D3378" t="s">
        <v>120</v>
      </c>
      <c r="E3378">
        <v>33</v>
      </c>
      <c r="F3378" t="s">
        <v>22</v>
      </c>
      <c r="G3378" t="s">
        <v>27</v>
      </c>
      <c r="H3378" s="1">
        <v>173.45</v>
      </c>
      <c r="I3378" t="s">
        <v>24</v>
      </c>
      <c r="J3378">
        <v>2</v>
      </c>
      <c r="K3378">
        <v>4</v>
      </c>
    </row>
    <row r="3379" spans="1:11" x14ac:dyDescent="0.35">
      <c r="A3379" t="s">
        <v>3416</v>
      </c>
      <c r="B3379">
        <v>54</v>
      </c>
      <c r="C3379" t="s">
        <v>18</v>
      </c>
      <c r="D3379" t="s">
        <v>30</v>
      </c>
      <c r="E3379">
        <v>3</v>
      </c>
      <c r="F3379" t="s">
        <v>31</v>
      </c>
      <c r="G3379" t="s">
        <v>37</v>
      </c>
      <c r="H3379" s="1">
        <v>162.13</v>
      </c>
      <c r="I3379" t="s">
        <v>24</v>
      </c>
      <c r="J3379">
        <v>2</v>
      </c>
      <c r="K3379">
        <v>10</v>
      </c>
    </row>
    <row r="3380" spans="1:11" x14ac:dyDescent="0.35">
      <c r="A3380" t="s">
        <v>3417</v>
      </c>
      <c r="B3380">
        <v>69</v>
      </c>
      <c r="C3380" t="s">
        <v>18</v>
      </c>
      <c r="D3380" t="s">
        <v>21</v>
      </c>
      <c r="E3380">
        <v>17</v>
      </c>
      <c r="F3380" t="s">
        <v>22</v>
      </c>
      <c r="G3380" t="s">
        <v>23</v>
      </c>
      <c r="H3380" s="1">
        <v>102.13</v>
      </c>
      <c r="I3380" t="s">
        <v>24</v>
      </c>
      <c r="J3380">
        <v>3</v>
      </c>
      <c r="K3380">
        <v>7</v>
      </c>
    </row>
    <row r="3381" spans="1:11" x14ac:dyDescent="0.35">
      <c r="A3381" t="s">
        <v>3418</v>
      </c>
      <c r="B3381">
        <v>28</v>
      </c>
      <c r="C3381" t="s">
        <v>18</v>
      </c>
      <c r="D3381" t="s">
        <v>19</v>
      </c>
      <c r="E3381">
        <v>17</v>
      </c>
      <c r="F3381" t="s">
        <v>33</v>
      </c>
      <c r="G3381" t="s">
        <v>15</v>
      </c>
      <c r="H3381" s="1">
        <v>377</v>
      </c>
      <c r="I3381" t="s">
        <v>43</v>
      </c>
      <c r="J3381">
        <v>1</v>
      </c>
      <c r="K3381">
        <v>5</v>
      </c>
    </row>
    <row r="3382" spans="1:11" x14ac:dyDescent="0.35">
      <c r="A3382" t="s">
        <v>3419</v>
      </c>
      <c r="B3382">
        <v>58</v>
      </c>
      <c r="C3382" t="s">
        <v>18</v>
      </c>
      <c r="D3382" t="s">
        <v>21</v>
      </c>
      <c r="E3382">
        <v>27</v>
      </c>
      <c r="F3382" t="s">
        <v>22</v>
      </c>
      <c r="G3382" t="s">
        <v>15</v>
      </c>
      <c r="H3382" s="1">
        <v>220.67</v>
      </c>
      <c r="I3382" t="s">
        <v>24</v>
      </c>
      <c r="J3382">
        <v>2</v>
      </c>
      <c r="K3382">
        <v>1</v>
      </c>
    </row>
    <row r="3383" spans="1:11" x14ac:dyDescent="0.35">
      <c r="A3383" t="s">
        <v>3420</v>
      </c>
      <c r="B3383">
        <v>27</v>
      </c>
      <c r="C3383" t="s">
        <v>12</v>
      </c>
      <c r="D3383" t="s">
        <v>19</v>
      </c>
      <c r="E3383">
        <v>16</v>
      </c>
      <c r="F3383" t="s">
        <v>33</v>
      </c>
      <c r="G3383" t="s">
        <v>15</v>
      </c>
      <c r="H3383" s="1">
        <v>428.52</v>
      </c>
      <c r="I3383" t="s">
        <v>24</v>
      </c>
      <c r="J3383">
        <v>1</v>
      </c>
      <c r="K3383">
        <v>8</v>
      </c>
    </row>
    <row r="3384" spans="1:11" x14ac:dyDescent="0.35">
      <c r="A3384" t="s">
        <v>3421</v>
      </c>
      <c r="B3384">
        <v>83</v>
      </c>
      <c r="C3384" t="s">
        <v>18</v>
      </c>
      <c r="D3384" t="s">
        <v>47</v>
      </c>
      <c r="E3384">
        <v>4</v>
      </c>
      <c r="F3384" t="s">
        <v>31</v>
      </c>
      <c r="G3384" t="s">
        <v>23</v>
      </c>
      <c r="H3384" s="1">
        <v>399.55</v>
      </c>
      <c r="I3384" t="s">
        <v>24</v>
      </c>
      <c r="J3384">
        <v>2</v>
      </c>
      <c r="K3384">
        <v>8</v>
      </c>
    </row>
    <row r="3385" spans="1:11" x14ac:dyDescent="0.35">
      <c r="A3385" t="s">
        <v>3422</v>
      </c>
      <c r="B3385">
        <v>42</v>
      </c>
      <c r="C3385" t="s">
        <v>12</v>
      </c>
      <c r="D3385" t="s">
        <v>21</v>
      </c>
      <c r="E3385">
        <v>39</v>
      </c>
      <c r="F3385" t="s">
        <v>26</v>
      </c>
      <c r="G3385" t="s">
        <v>15</v>
      </c>
      <c r="H3385" s="1">
        <v>95.99</v>
      </c>
      <c r="I3385" t="s">
        <v>24</v>
      </c>
      <c r="J3385">
        <v>2</v>
      </c>
      <c r="K3385">
        <v>1</v>
      </c>
    </row>
    <row r="3386" spans="1:11" x14ac:dyDescent="0.35">
      <c r="A3386" t="s">
        <v>3423</v>
      </c>
      <c r="B3386">
        <v>65</v>
      </c>
      <c r="C3386" t="s">
        <v>12</v>
      </c>
      <c r="D3386" t="s">
        <v>47</v>
      </c>
      <c r="E3386">
        <v>5</v>
      </c>
      <c r="F3386" t="s">
        <v>22</v>
      </c>
      <c r="G3386" t="s">
        <v>34</v>
      </c>
      <c r="H3386" s="1">
        <v>112.89</v>
      </c>
      <c r="I3386" t="s">
        <v>24</v>
      </c>
      <c r="J3386">
        <v>0</v>
      </c>
      <c r="K3386">
        <v>7</v>
      </c>
    </row>
    <row r="3387" spans="1:11" x14ac:dyDescent="0.35">
      <c r="A3387" t="s">
        <v>3424</v>
      </c>
      <c r="B3387">
        <v>61</v>
      </c>
      <c r="C3387" t="s">
        <v>12</v>
      </c>
      <c r="D3387" t="s">
        <v>19</v>
      </c>
      <c r="E3387">
        <v>19</v>
      </c>
      <c r="F3387" t="s">
        <v>14</v>
      </c>
      <c r="G3387" t="s">
        <v>15</v>
      </c>
      <c r="H3387" s="1">
        <v>0</v>
      </c>
      <c r="I3387" t="s">
        <v>16</v>
      </c>
      <c r="J3387">
        <v>1</v>
      </c>
      <c r="K3387">
        <v>4</v>
      </c>
    </row>
    <row r="3388" spans="1:11" x14ac:dyDescent="0.35">
      <c r="A3388" t="s">
        <v>3425</v>
      </c>
      <c r="B3388">
        <v>68</v>
      </c>
      <c r="C3388" t="s">
        <v>12</v>
      </c>
      <c r="D3388" t="s">
        <v>19</v>
      </c>
      <c r="E3388">
        <v>23</v>
      </c>
      <c r="F3388" t="s">
        <v>31</v>
      </c>
      <c r="G3388" t="s">
        <v>15</v>
      </c>
      <c r="H3388" s="1">
        <v>98.44</v>
      </c>
      <c r="I3388" t="s">
        <v>28</v>
      </c>
      <c r="J3388">
        <v>3</v>
      </c>
      <c r="K3388">
        <v>1</v>
      </c>
    </row>
    <row r="3389" spans="1:11" x14ac:dyDescent="0.35">
      <c r="A3389" t="s">
        <v>3426</v>
      </c>
      <c r="B3389">
        <v>47</v>
      </c>
      <c r="C3389" t="s">
        <v>12</v>
      </c>
      <c r="D3389" t="s">
        <v>21</v>
      </c>
      <c r="E3389">
        <v>24</v>
      </c>
      <c r="F3389" t="s">
        <v>22</v>
      </c>
      <c r="G3389" t="s">
        <v>27</v>
      </c>
      <c r="H3389" s="1">
        <v>87.07</v>
      </c>
      <c r="I3389" t="s">
        <v>28</v>
      </c>
      <c r="J3389">
        <v>2</v>
      </c>
      <c r="K3389">
        <v>2</v>
      </c>
    </row>
    <row r="3390" spans="1:11" x14ac:dyDescent="0.35">
      <c r="A3390" t="s">
        <v>3427</v>
      </c>
      <c r="B3390">
        <v>22</v>
      </c>
      <c r="C3390" t="s">
        <v>12</v>
      </c>
      <c r="D3390" t="s">
        <v>19</v>
      </c>
      <c r="E3390">
        <v>12</v>
      </c>
      <c r="F3390" t="s">
        <v>26</v>
      </c>
      <c r="G3390" t="s">
        <v>23</v>
      </c>
      <c r="H3390" s="1">
        <v>483.46</v>
      </c>
      <c r="I3390" t="s">
        <v>24</v>
      </c>
      <c r="J3390">
        <v>1</v>
      </c>
      <c r="K3390">
        <v>5</v>
      </c>
    </row>
    <row r="3391" spans="1:11" x14ac:dyDescent="0.35">
      <c r="A3391" t="s">
        <v>3428</v>
      </c>
      <c r="B3391">
        <v>69</v>
      </c>
      <c r="C3391" t="s">
        <v>18</v>
      </c>
      <c r="D3391" t="s">
        <v>19</v>
      </c>
      <c r="E3391">
        <v>6</v>
      </c>
      <c r="F3391" t="s">
        <v>22</v>
      </c>
      <c r="G3391" t="s">
        <v>15</v>
      </c>
      <c r="H3391" s="1">
        <v>182.44</v>
      </c>
      <c r="I3391" t="s">
        <v>28</v>
      </c>
      <c r="J3391">
        <v>0</v>
      </c>
      <c r="K3391">
        <v>9</v>
      </c>
    </row>
    <row r="3392" spans="1:11" x14ac:dyDescent="0.35">
      <c r="A3392" t="s">
        <v>3429</v>
      </c>
      <c r="B3392">
        <v>50</v>
      </c>
      <c r="C3392" t="s">
        <v>18</v>
      </c>
      <c r="D3392" t="s">
        <v>13</v>
      </c>
      <c r="E3392">
        <v>22</v>
      </c>
      <c r="F3392" t="s">
        <v>14</v>
      </c>
      <c r="G3392" t="s">
        <v>34</v>
      </c>
      <c r="H3392" s="1">
        <v>0</v>
      </c>
      <c r="I3392" t="s">
        <v>16</v>
      </c>
      <c r="J3392">
        <v>2</v>
      </c>
      <c r="K3392">
        <v>4</v>
      </c>
    </row>
    <row r="3393" spans="1:11" x14ac:dyDescent="0.35">
      <c r="A3393" t="s">
        <v>3430</v>
      </c>
      <c r="B3393">
        <v>41</v>
      </c>
      <c r="C3393" t="s">
        <v>18</v>
      </c>
      <c r="D3393" t="s">
        <v>200</v>
      </c>
      <c r="E3393">
        <v>7</v>
      </c>
      <c r="F3393" t="s">
        <v>22</v>
      </c>
      <c r="G3393" t="s">
        <v>37</v>
      </c>
      <c r="H3393" s="1">
        <v>134.46</v>
      </c>
      <c r="I3393" t="s">
        <v>24</v>
      </c>
      <c r="J3393">
        <v>0</v>
      </c>
      <c r="K3393">
        <v>9</v>
      </c>
    </row>
    <row r="3394" spans="1:11" x14ac:dyDescent="0.35">
      <c r="A3394" t="s">
        <v>3431</v>
      </c>
      <c r="B3394">
        <v>35</v>
      </c>
      <c r="C3394" t="s">
        <v>18</v>
      </c>
      <c r="D3394" t="s">
        <v>21</v>
      </c>
      <c r="E3394">
        <v>34</v>
      </c>
      <c r="F3394" t="s">
        <v>31</v>
      </c>
      <c r="G3394" t="s">
        <v>27</v>
      </c>
      <c r="H3394" s="1">
        <v>101.75</v>
      </c>
      <c r="I3394" t="s">
        <v>24</v>
      </c>
      <c r="J3394">
        <v>1</v>
      </c>
      <c r="K3394">
        <v>1</v>
      </c>
    </row>
    <row r="3395" spans="1:11" x14ac:dyDescent="0.35">
      <c r="A3395" t="s">
        <v>3432</v>
      </c>
      <c r="B3395">
        <v>42</v>
      </c>
      <c r="C3395" t="s">
        <v>18</v>
      </c>
      <c r="D3395" t="s">
        <v>120</v>
      </c>
      <c r="E3395">
        <v>33</v>
      </c>
      <c r="F3395" t="s">
        <v>14</v>
      </c>
      <c r="G3395" t="s">
        <v>34</v>
      </c>
      <c r="H3395" s="1">
        <v>0</v>
      </c>
      <c r="I3395" t="s">
        <v>16</v>
      </c>
      <c r="J3395">
        <v>2</v>
      </c>
      <c r="K3395">
        <v>3</v>
      </c>
    </row>
    <row r="3396" spans="1:11" x14ac:dyDescent="0.35">
      <c r="A3396" t="s">
        <v>3433</v>
      </c>
      <c r="B3396">
        <v>47</v>
      </c>
      <c r="C3396" t="s">
        <v>18</v>
      </c>
      <c r="D3396" t="s">
        <v>21</v>
      </c>
      <c r="E3396">
        <v>20</v>
      </c>
      <c r="F3396" t="s">
        <v>33</v>
      </c>
      <c r="G3396" t="s">
        <v>27</v>
      </c>
      <c r="H3396" s="1">
        <v>87.49</v>
      </c>
      <c r="I3396" t="s">
        <v>24</v>
      </c>
      <c r="J3396">
        <v>2</v>
      </c>
      <c r="K3396">
        <v>1</v>
      </c>
    </row>
    <row r="3397" spans="1:11" x14ac:dyDescent="0.35">
      <c r="A3397" t="s">
        <v>3434</v>
      </c>
      <c r="B3397">
        <v>48</v>
      </c>
      <c r="C3397" t="s">
        <v>12</v>
      </c>
      <c r="D3397" t="s">
        <v>19</v>
      </c>
      <c r="E3397">
        <v>6</v>
      </c>
      <c r="F3397" t="s">
        <v>22</v>
      </c>
      <c r="G3397" t="s">
        <v>15</v>
      </c>
      <c r="H3397" s="1">
        <v>82.33</v>
      </c>
      <c r="I3397" t="s">
        <v>24</v>
      </c>
      <c r="J3397">
        <v>0</v>
      </c>
      <c r="K3397">
        <v>10</v>
      </c>
    </row>
    <row r="3398" spans="1:11" x14ac:dyDescent="0.35">
      <c r="A3398" t="s">
        <v>3435</v>
      </c>
      <c r="B3398">
        <v>69</v>
      </c>
      <c r="C3398" t="s">
        <v>18</v>
      </c>
      <c r="D3398" t="s">
        <v>21</v>
      </c>
      <c r="E3398">
        <v>22</v>
      </c>
      <c r="F3398" t="s">
        <v>22</v>
      </c>
      <c r="G3398" t="s">
        <v>27</v>
      </c>
      <c r="H3398" s="1">
        <v>115.31</v>
      </c>
      <c r="I3398" t="s">
        <v>24</v>
      </c>
      <c r="J3398">
        <v>4</v>
      </c>
      <c r="K3398">
        <v>3</v>
      </c>
    </row>
    <row r="3399" spans="1:11" x14ac:dyDescent="0.35">
      <c r="A3399" t="s">
        <v>3436</v>
      </c>
      <c r="B3399">
        <v>19</v>
      </c>
      <c r="C3399" t="s">
        <v>12</v>
      </c>
      <c r="D3399" t="s">
        <v>19</v>
      </c>
      <c r="E3399">
        <v>8</v>
      </c>
      <c r="F3399" t="s">
        <v>33</v>
      </c>
      <c r="G3399" t="s">
        <v>27</v>
      </c>
      <c r="H3399" s="1">
        <v>121.14</v>
      </c>
      <c r="I3399" t="s">
        <v>43</v>
      </c>
      <c r="J3399">
        <v>0</v>
      </c>
      <c r="K3399">
        <v>9</v>
      </c>
    </row>
    <row r="3400" spans="1:11" x14ac:dyDescent="0.35">
      <c r="A3400" t="s">
        <v>3437</v>
      </c>
      <c r="B3400">
        <v>82</v>
      </c>
      <c r="C3400" t="s">
        <v>18</v>
      </c>
      <c r="D3400" t="s">
        <v>41</v>
      </c>
      <c r="E3400">
        <v>13</v>
      </c>
      <c r="F3400" t="s">
        <v>22</v>
      </c>
      <c r="G3400" t="s">
        <v>15</v>
      </c>
      <c r="H3400" s="1">
        <v>354.34</v>
      </c>
      <c r="I3400" t="s">
        <v>43</v>
      </c>
      <c r="J3400">
        <v>1</v>
      </c>
      <c r="K3400">
        <v>4</v>
      </c>
    </row>
    <row r="3401" spans="1:11" x14ac:dyDescent="0.35">
      <c r="A3401" t="s">
        <v>3438</v>
      </c>
      <c r="B3401">
        <v>54</v>
      </c>
      <c r="C3401" t="s">
        <v>18</v>
      </c>
      <c r="D3401" t="s">
        <v>30</v>
      </c>
      <c r="E3401">
        <v>7</v>
      </c>
      <c r="F3401" t="s">
        <v>14</v>
      </c>
      <c r="G3401" t="s">
        <v>15</v>
      </c>
      <c r="H3401" s="1">
        <v>0</v>
      </c>
      <c r="I3401" t="s">
        <v>16</v>
      </c>
      <c r="J3401">
        <v>2</v>
      </c>
      <c r="K3401">
        <v>10</v>
      </c>
    </row>
    <row r="3402" spans="1:11" x14ac:dyDescent="0.35">
      <c r="A3402" t="s">
        <v>3439</v>
      </c>
      <c r="B3402">
        <v>55</v>
      </c>
      <c r="C3402" t="s">
        <v>18</v>
      </c>
      <c r="D3402" t="s">
        <v>21</v>
      </c>
      <c r="E3402">
        <v>37</v>
      </c>
      <c r="F3402" t="s">
        <v>31</v>
      </c>
      <c r="G3402" t="s">
        <v>34</v>
      </c>
      <c r="H3402" s="1">
        <v>116.81</v>
      </c>
      <c r="I3402" t="s">
        <v>24</v>
      </c>
      <c r="J3402">
        <v>4</v>
      </c>
      <c r="K3402">
        <v>4</v>
      </c>
    </row>
    <row r="3403" spans="1:11" x14ac:dyDescent="0.35">
      <c r="A3403" t="s">
        <v>3440</v>
      </c>
      <c r="B3403">
        <v>23</v>
      </c>
      <c r="C3403" t="s">
        <v>12</v>
      </c>
      <c r="D3403" t="s">
        <v>57</v>
      </c>
      <c r="E3403">
        <v>44</v>
      </c>
      <c r="F3403" t="s">
        <v>26</v>
      </c>
      <c r="G3403" t="s">
        <v>37</v>
      </c>
      <c r="H3403" s="1">
        <v>126.12</v>
      </c>
      <c r="I3403" t="s">
        <v>24</v>
      </c>
      <c r="J3403">
        <v>3</v>
      </c>
      <c r="K3403">
        <v>1</v>
      </c>
    </row>
    <row r="3404" spans="1:11" x14ac:dyDescent="0.35">
      <c r="A3404" t="s">
        <v>3441</v>
      </c>
      <c r="B3404">
        <v>68</v>
      </c>
      <c r="C3404" t="s">
        <v>18</v>
      </c>
      <c r="D3404" t="s">
        <v>30</v>
      </c>
      <c r="E3404">
        <v>6</v>
      </c>
      <c r="F3404" t="s">
        <v>33</v>
      </c>
      <c r="G3404" t="s">
        <v>15</v>
      </c>
      <c r="H3404" s="1">
        <v>367.51</v>
      </c>
      <c r="I3404" t="s">
        <v>24</v>
      </c>
      <c r="J3404">
        <v>1</v>
      </c>
      <c r="K3404">
        <v>7</v>
      </c>
    </row>
    <row r="3405" spans="1:11" x14ac:dyDescent="0.35">
      <c r="A3405" t="s">
        <v>3442</v>
      </c>
      <c r="B3405">
        <v>33</v>
      </c>
      <c r="C3405" t="s">
        <v>12</v>
      </c>
      <c r="D3405" t="s">
        <v>21</v>
      </c>
      <c r="E3405">
        <v>23</v>
      </c>
      <c r="F3405" t="s">
        <v>26</v>
      </c>
      <c r="G3405" t="s">
        <v>27</v>
      </c>
      <c r="H3405" s="1">
        <v>51.44</v>
      </c>
      <c r="I3405" t="s">
        <v>24</v>
      </c>
      <c r="J3405">
        <v>3</v>
      </c>
      <c r="K3405">
        <v>4</v>
      </c>
    </row>
    <row r="3406" spans="1:11" x14ac:dyDescent="0.35">
      <c r="A3406" t="s">
        <v>3443</v>
      </c>
      <c r="B3406">
        <v>51</v>
      </c>
      <c r="C3406" t="s">
        <v>18</v>
      </c>
      <c r="D3406" t="s">
        <v>21</v>
      </c>
      <c r="E3406">
        <v>37</v>
      </c>
      <c r="F3406" t="s">
        <v>22</v>
      </c>
      <c r="G3406" t="s">
        <v>27</v>
      </c>
      <c r="H3406" s="1">
        <v>23.18</v>
      </c>
      <c r="I3406" t="s">
        <v>24</v>
      </c>
      <c r="J3406">
        <v>4</v>
      </c>
      <c r="K3406">
        <v>2</v>
      </c>
    </row>
    <row r="3407" spans="1:11" x14ac:dyDescent="0.35">
      <c r="A3407" t="s">
        <v>3444</v>
      </c>
      <c r="B3407">
        <v>20</v>
      </c>
      <c r="C3407" t="s">
        <v>18</v>
      </c>
      <c r="D3407" t="s">
        <v>13</v>
      </c>
      <c r="E3407">
        <v>6</v>
      </c>
      <c r="F3407" t="s">
        <v>31</v>
      </c>
      <c r="G3407" t="s">
        <v>23</v>
      </c>
      <c r="H3407" s="1">
        <v>64.989999999999995</v>
      </c>
      <c r="I3407" t="s">
        <v>24</v>
      </c>
      <c r="J3407">
        <v>0</v>
      </c>
      <c r="K3407">
        <v>7</v>
      </c>
    </row>
    <row r="3408" spans="1:11" x14ac:dyDescent="0.35">
      <c r="A3408" t="s">
        <v>3445</v>
      </c>
      <c r="B3408">
        <v>51</v>
      </c>
      <c r="C3408" t="s">
        <v>18</v>
      </c>
      <c r="D3408" t="s">
        <v>21</v>
      </c>
      <c r="E3408">
        <v>26</v>
      </c>
      <c r="F3408" t="s">
        <v>33</v>
      </c>
      <c r="G3408" t="s">
        <v>27</v>
      </c>
      <c r="H3408" s="1">
        <v>142.93</v>
      </c>
      <c r="I3408" t="s">
        <v>24</v>
      </c>
      <c r="J3408">
        <v>1</v>
      </c>
      <c r="K3408">
        <v>2</v>
      </c>
    </row>
    <row r="3409" spans="1:11" x14ac:dyDescent="0.35">
      <c r="A3409" t="s">
        <v>3446</v>
      </c>
      <c r="B3409">
        <v>66</v>
      </c>
      <c r="C3409" t="s">
        <v>12</v>
      </c>
      <c r="D3409" t="s">
        <v>41</v>
      </c>
      <c r="E3409">
        <v>10</v>
      </c>
      <c r="F3409" t="s">
        <v>33</v>
      </c>
      <c r="G3409" t="s">
        <v>27</v>
      </c>
      <c r="H3409" s="1">
        <v>134.76</v>
      </c>
      <c r="I3409" t="s">
        <v>43</v>
      </c>
      <c r="J3409">
        <v>1</v>
      </c>
      <c r="K3409">
        <v>8</v>
      </c>
    </row>
    <row r="3410" spans="1:11" x14ac:dyDescent="0.35">
      <c r="A3410" t="s">
        <v>3447</v>
      </c>
      <c r="B3410">
        <v>40</v>
      </c>
      <c r="C3410" t="s">
        <v>12</v>
      </c>
      <c r="D3410" t="s">
        <v>21</v>
      </c>
      <c r="E3410">
        <v>44</v>
      </c>
      <c r="F3410" t="s">
        <v>33</v>
      </c>
      <c r="G3410" t="s">
        <v>27</v>
      </c>
      <c r="H3410" s="1">
        <v>107.63</v>
      </c>
      <c r="I3410" t="s">
        <v>28</v>
      </c>
      <c r="J3410">
        <v>2</v>
      </c>
      <c r="K3410">
        <v>3</v>
      </c>
    </row>
    <row r="3411" spans="1:11" x14ac:dyDescent="0.35">
      <c r="A3411" t="s">
        <v>3448</v>
      </c>
      <c r="B3411">
        <v>74</v>
      </c>
      <c r="C3411" t="s">
        <v>12</v>
      </c>
      <c r="D3411" t="s">
        <v>47</v>
      </c>
      <c r="E3411">
        <v>12</v>
      </c>
      <c r="F3411" t="s">
        <v>33</v>
      </c>
      <c r="G3411" t="s">
        <v>23</v>
      </c>
      <c r="H3411" s="1">
        <v>405.57</v>
      </c>
      <c r="I3411" t="s">
        <v>24</v>
      </c>
      <c r="J3411">
        <v>1</v>
      </c>
      <c r="K3411">
        <v>6</v>
      </c>
    </row>
    <row r="3412" spans="1:11" x14ac:dyDescent="0.35">
      <c r="A3412" t="s">
        <v>3449</v>
      </c>
      <c r="B3412">
        <v>72</v>
      </c>
      <c r="C3412" t="s">
        <v>12</v>
      </c>
      <c r="D3412" t="s">
        <v>19</v>
      </c>
      <c r="E3412">
        <v>20</v>
      </c>
      <c r="F3412" t="s">
        <v>33</v>
      </c>
      <c r="G3412" t="s">
        <v>23</v>
      </c>
      <c r="H3412" s="1">
        <v>430.79</v>
      </c>
      <c r="I3412" t="s">
        <v>24</v>
      </c>
      <c r="J3412">
        <v>1</v>
      </c>
      <c r="K3412">
        <v>1</v>
      </c>
    </row>
    <row r="3413" spans="1:11" x14ac:dyDescent="0.35">
      <c r="A3413" t="s">
        <v>3450</v>
      </c>
      <c r="B3413">
        <v>19</v>
      </c>
      <c r="C3413" t="s">
        <v>18</v>
      </c>
      <c r="D3413" t="s">
        <v>41</v>
      </c>
      <c r="E3413">
        <v>3</v>
      </c>
      <c r="F3413" t="s">
        <v>22</v>
      </c>
      <c r="G3413" t="s">
        <v>23</v>
      </c>
      <c r="H3413" s="1">
        <v>291.37</v>
      </c>
      <c r="I3413" t="s">
        <v>24</v>
      </c>
      <c r="J3413">
        <v>1</v>
      </c>
      <c r="K3413">
        <v>7</v>
      </c>
    </row>
    <row r="3414" spans="1:11" x14ac:dyDescent="0.35">
      <c r="A3414" t="s">
        <v>3451</v>
      </c>
      <c r="B3414">
        <v>39</v>
      </c>
      <c r="C3414" t="s">
        <v>12</v>
      </c>
      <c r="D3414" t="s">
        <v>30</v>
      </c>
      <c r="E3414">
        <v>5</v>
      </c>
      <c r="F3414" t="s">
        <v>26</v>
      </c>
      <c r="G3414" t="s">
        <v>15</v>
      </c>
      <c r="H3414" s="1">
        <v>84.24</v>
      </c>
      <c r="I3414" t="s">
        <v>24</v>
      </c>
      <c r="J3414">
        <v>0</v>
      </c>
      <c r="K3414">
        <v>8</v>
      </c>
    </row>
    <row r="3415" spans="1:11" x14ac:dyDescent="0.35">
      <c r="A3415" t="s">
        <v>3452</v>
      </c>
      <c r="B3415">
        <v>56</v>
      </c>
      <c r="C3415" t="s">
        <v>12</v>
      </c>
      <c r="D3415" t="s">
        <v>21</v>
      </c>
      <c r="E3415">
        <v>15</v>
      </c>
      <c r="F3415" t="s">
        <v>31</v>
      </c>
      <c r="G3415" t="s">
        <v>37</v>
      </c>
      <c r="H3415" s="1">
        <v>162.58000000000001</v>
      </c>
      <c r="I3415" t="s">
        <v>24</v>
      </c>
      <c r="J3415">
        <v>1</v>
      </c>
      <c r="K3415">
        <v>4</v>
      </c>
    </row>
    <row r="3416" spans="1:11" x14ac:dyDescent="0.35">
      <c r="A3416" t="s">
        <v>3453</v>
      </c>
      <c r="B3416">
        <v>34</v>
      </c>
      <c r="C3416" t="s">
        <v>12</v>
      </c>
      <c r="D3416" t="s">
        <v>19</v>
      </c>
      <c r="E3416">
        <v>19</v>
      </c>
      <c r="F3416" t="s">
        <v>22</v>
      </c>
      <c r="G3416" t="s">
        <v>27</v>
      </c>
      <c r="H3416" s="1">
        <v>115.79</v>
      </c>
      <c r="I3416" t="s">
        <v>24</v>
      </c>
      <c r="J3416">
        <v>2</v>
      </c>
      <c r="K3416">
        <v>2</v>
      </c>
    </row>
    <row r="3417" spans="1:11" x14ac:dyDescent="0.35">
      <c r="A3417" t="s">
        <v>3454</v>
      </c>
      <c r="B3417">
        <v>78</v>
      </c>
      <c r="C3417" t="s">
        <v>18</v>
      </c>
      <c r="D3417" t="s">
        <v>19</v>
      </c>
      <c r="E3417">
        <v>11</v>
      </c>
      <c r="F3417" t="s">
        <v>31</v>
      </c>
      <c r="G3417" t="s">
        <v>23</v>
      </c>
      <c r="H3417" s="1">
        <v>529.91999999999996</v>
      </c>
      <c r="I3417" t="s">
        <v>24</v>
      </c>
      <c r="J3417">
        <v>1</v>
      </c>
      <c r="K3417">
        <v>5</v>
      </c>
    </row>
    <row r="3418" spans="1:11" x14ac:dyDescent="0.35">
      <c r="A3418" t="s">
        <v>3455</v>
      </c>
      <c r="B3418">
        <v>25</v>
      </c>
      <c r="C3418" t="s">
        <v>12</v>
      </c>
      <c r="D3418" t="s">
        <v>57</v>
      </c>
      <c r="E3418">
        <v>19</v>
      </c>
      <c r="F3418" t="s">
        <v>22</v>
      </c>
      <c r="G3418" t="s">
        <v>23</v>
      </c>
      <c r="H3418" s="1">
        <v>421.29</v>
      </c>
      <c r="I3418" t="s">
        <v>43</v>
      </c>
      <c r="J3418">
        <v>3</v>
      </c>
      <c r="K3418">
        <v>3</v>
      </c>
    </row>
    <row r="3419" spans="1:11" x14ac:dyDescent="0.35">
      <c r="A3419" t="s">
        <v>3456</v>
      </c>
      <c r="B3419">
        <v>35</v>
      </c>
      <c r="C3419" t="s">
        <v>18</v>
      </c>
      <c r="D3419" t="s">
        <v>19</v>
      </c>
      <c r="E3419">
        <v>13</v>
      </c>
      <c r="F3419" t="s">
        <v>31</v>
      </c>
      <c r="G3419" t="s">
        <v>15</v>
      </c>
      <c r="H3419" s="1">
        <v>259.77</v>
      </c>
      <c r="I3419" t="s">
        <v>24</v>
      </c>
      <c r="J3419">
        <v>0</v>
      </c>
      <c r="K3419">
        <v>5</v>
      </c>
    </row>
    <row r="3420" spans="1:11" x14ac:dyDescent="0.35">
      <c r="A3420" t="s">
        <v>3457</v>
      </c>
      <c r="B3420">
        <v>44</v>
      </c>
      <c r="C3420" t="s">
        <v>18</v>
      </c>
      <c r="D3420" t="s">
        <v>19</v>
      </c>
      <c r="E3420">
        <v>24</v>
      </c>
      <c r="F3420" t="s">
        <v>22</v>
      </c>
      <c r="G3420" t="s">
        <v>27</v>
      </c>
      <c r="H3420" s="1">
        <v>65.150000000000006</v>
      </c>
      <c r="I3420" t="s">
        <v>24</v>
      </c>
      <c r="J3420">
        <v>2</v>
      </c>
      <c r="K3420">
        <v>2</v>
      </c>
    </row>
    <row r="3421" spans="1:11" x14ac:dyDescent="0.35">
      <c r="A3421" t="s">
        <v>3458</v>
      </c>
      <c r="B3421">
        <v>40</v>
      </c>
      <c r="C3421" t="s">
        <v>18</v>
      </c>
      <c r="D3421" t="s">
        <v>19</v>
      </c>
      <c r="E3421">
        <v>13</v>
      </c>
      <c r="F3421" t="s">
        <v>22</v>
      </c>
      <c r="G3421" t="s">
        <v>37</v>
      </c>
      <c r="H3421" s="1">
        <v>166.4</v>
      </c>
      <c r="I3421" t="s">
        <v>24</v>
      </c>
      <c r="J3421">
        <v>0</v>
      </c>
      <c r="K3421">
        <v>8</v>
      </c>
    </row>
    <row r="3422" spans="1:11" x14ac:dyDescent="0.35">
      <c r="A3422" t="s">
        <v>3459</v>
      </c>
      <c r="B3422">
        <v>64</v>
      </c>
      <c r="C3422" t="s">
        <v>18</v>
      </c>
      <c r="D3422" t="s">
        <v>30</v>
      </c>
      <c r="E3422">
        <v>10</v>
      </c>
      <c r="F3422" t="s">
        <v>33</v>
      </c>
      <c r="G3422" t="s">
        <v>23</v>
      </c>
      <c r="H3422" s="1">
        <v>161.19999999999999</v>
      </c>
      <c r="I3422" t="s">
        <v>24</v>
      </c>
      <c r="J3422">
        <v>0</v>
      </c>
      <c r="K3422">
        <v>8</v>
      </c>
    </row>
    <row r="3423" spans="1:11" x14ac:dyDescent="0.35">
      <c r="A3423" t="s">
        <v>3460</v>
      </c>
      <c r="B3423">
        <v>40</v>
      </c>
      <c r="C3423" t="s">
        <v>18</v>
      </c>
      <c r="D3423" t="s">
        <v>13</v>
      </c>
      <c r="E3423">
        <v>23</v>
      </c>
      <c r="F3423" t="s">
        <v>33</v>
      </c>
      <c r="G3423" t="s">
        <v>27</v>
      </c>
      <c r="H3423" s="1">
        <v>117.52</v>
      </c>
      <c r="I3423" t="s">
        <v>24</v>
      </c>
      <c r="J3423">
        <v>2</v>
      </c>
      <c r="K3423">
        <v>2</v>
      </c>
    </row>
    <row r="3424" spans="1:11" x14ac:dyDescent="0.35">
      <c r="A3424" t="s">
        <v>3461</v>
      </c>
      <c r="B3424">
        <v>47</v>
      </c>
      <c r="C3424" t="s">
        <v>18</v>
      </c>
      <c r="D3424" t="s">
        <v>21</v>
      </c>
      <c r="E3424">
        <v>31</v>
      </c>
      <c r="F3424" t="s">
        <v>26</v>
      </c>
      <c r="G3424" t="s">
        <v>34</v>
      </c>
      <c r="H3424" s="1">
        <v>179.59</v>
      </c>
      <c r="I3424" t="s">
        <v>28</v>
      </c>
      <c r="J3424">
        <v>4</v>
      </c>
      <c r="K3424">
        <v>5</v>
      </c>
    </row>
    <row r="3425" spans="1:11" x14ac:dyDescent="0.35">
      <c r="A3425" t="s">
        <v>3462</v>
      </c>
      <c r="B3425">
        <v>76</v>
      </c>
      <c r="C3425" t="s">
        <v>18</v>
      </c>
      <c r="D3425" t="s">
        <v>21</v>
      </c>
      <c r="E3425">
        <v>36</v>
      </c>
      <c r="F3425" t="s">
        <v>14</v>
      </c>
      <c r="G3425" t="s">
        <v>15</v>
      </c>
      <c r="H3425" s="1">
        <v>0</v>
      </c>
      <c r="I3425" t="s">
        <v>16</v>
      </c>
      <c r="J3425">
        <v>1</v>
      </c>
      <c r="K3425">
        <v>4</v>
      </c>
    </row>
    <row r="3426" spans="1:11" x14ac:dyDescent="0.35">
      <c r="A3426" t="s">
        <v>3463</v>
      </c>
      <c r="B3426">
        <v>66</v>
      </c>
      <c r="C3426" t="s">
        <v>18</v>
      </c>
      <c r="D3426" t="s">
        <v>19</v>
      </c>
      <c r="E3426">
        <v>15</v>
      </c>
      <c r="F3426" t="s">
        <v>22</v>
      </c>
      <c r="G3426" t="s">
        <v>27</v>
      </c>
      <c r="H3426" s="1">
        <v>74.78</v>
      </c>
      <c r="I3426" t="s">
        <v>24</v>
      </c>
      <c r="J3426">
        <v>1</v>
      </c>
      <c r="K3426">
        <v>6</v>
      </c>
    </row>
    <row r="3427" spans="1:11" x14ac:dyDescent="0.35">
      <c r="A3427" t="s">
        <v>3464</v>
      </c>
      <c r="B3427">
        <v>41</v>
      </c>
      <c r="C3427" t="s">
        <v>18</v>
      </c>
      <c r="D3427" t="s">
        <v>21</v>
      </c>
      <c r="E3427">
        <v>14</v>
      </c>
      <c r="F3427" t="s">
        <v>14</v>
      </c>
      <c r="G3427" t="s">
        <v>37</v>
      </c>
      <c r="H3427" s="1">
        <v>0</v>
      </c>
      <c r="I3427" t="s">
        <v>16</v>
      </c>
      <c r="J3427">
        <v>1</v>
      </c>
      <c r="K3427">
        <v>8</v>
      </c>
    </row>
    <row r="3428" spans="1:11" x14ac:dyDescent="0.35">
      <c r="A3428" t="s">
        <v>3465</v>
      </c>
      <c r="B3428">
        <v>43</v>
      </c>
      <c r="C3428" t="s">
        <v>18</v>
      </c>
      <c r="D3428" t="s">
        <v>19</v>
      </c>
      <c r="E3428">
        <v>9</v>
      </c>
      <c r="F3428" t="s">
        <v>22</v>
      </c>
      <c r="G3428" t="s">
        <v>27</v>
      </c>
      <c r="H3428" s="1">
        <v>51.85</v>
      </c>
      <c r="I3428" t="s">
        <v>28</v>
      </c>
      <c r="J3428">
        <v>3</v>
      </c>
      <c r="K3428">
        <v>5</v>
      </c>
    </row>
    <row r="3429" spans="1:11" x14ac:dyDescent="0.35">
      <c r="A3429" t="s">
        <v>3466</v>
      </c>
      <c r="B3429">
        <v>66</v>
      </c>
      <c r="C3429" t="s">
        <v>18</v>
      </c>
      <c r="D3429" t="s">
        <v>19</v>
      </c>
      <c r="E3429">
        <v>12</v>
      </c>
      <c r="F3429" t="s">
        <v>33</v>
      </c>
      <c r="G3429" t="s">
        <v>15</v>
      </c>
      <c r="H3429" s="1">
        <v>449.6</v>
      </c>
      <c r="I3429" t="s">
        <v>24</v>
      </c>
      <c r="J3429">
        <v>1</v>
      </c>
      <c r="K3429">
        <v>4</v>
      </c>
    </row>
    <row r="3430" spans="1:11" x14ac:dyDescent="0.35">
      <c r="A3430" t="s">
        <v>3467</v>
      </c>
      <c r="B3430">
        <v>27</v>
      </c>
      <c r="C3430" t="s">
        <v>18</v>
      </c>
      <c r="D3430" t="s">
        <v>19</v>
      </c>
      <c r="E3430">
        <v>14</v>
      </c>
      <c r="F3430" t="s">
        <v>33</v>
      </c>
      <c r="G3430" t="s">
        <v>23</v>
      </c>
      <c r="H3430" s="1">
        <v>318.82</v>
      </c>
      <c r="I3430" t="s">
        <v>24</v>
      </c>
      <c r="J3430">
        <v>0</v>
      </c>
      <c r="K3430">
        <v>4</v>
      </c>
    </row>
    <row r="3431" spans="1:11" x14ac:dyDescent="0.35">
      <c r="A3431" t="s">
        <v>3468</v>
      </c>
      <c r="B3431">
        <v>75</v>
      </c>
      <c r="C3431" t="s">
        <v>12</v>
      </c>
      <c r="D3431" t="s">
        <v>13</v>
      </c>
      <c r="E3431">
        <v>19</v>
      </c>
      <c r="F3431" t="s">
        <v>26</v>
      </c>
      <c r="G3431" t="s">
        <v>27</v>
      </c>
      <c r="H3431" s="1">
        <v>166.64</v>
      </c>
      <c r="I3431" t="s">
        <v>43</v>
      </c>
      <c r="J3431">
        <v>3</v>
      </c>
      <c r="K3431">
        <v>2</v>
      </c>
    </row>
    <row r="3432" spans="1:11" x14ac:dyDescent="0.35">
      <c r="A3432" t="s">
        <v>3469</v>
      </c>
      <c r="B3432">
        <v>64</v>
      </c>
      <c r="C3432" t="s">
        <v>12</v>
      </c>
      <c r="D3432" t="s">
        <v>19</v>
      </c>
      <c r="E3432">
        <v>15</v>
      </c>
      <c r="F3432" t="s">
        <v>33</v>
      </c>
      <c r="G3432" t="s">
        <v>15</v>
      </c>
      <c r="H3432" s="1">
        <v>256.06</v>
      </c>
      <c r="I3432" t="s">
        <v>24</v>
      </c>
      <c r="J3432">
        <v>1</v>
      </c>
      <c r="K3432">
        <v>8</v>
      </c>
    </row>
    <row r="3433" spans="1:11" x14ac:dyDescent="0.35">
      <c r="A3433" t="s">
        <v>3470</v>
      </c>
      <c r="B3433">
        <v>84</v>
      </c>
      <c r="C3433" t="s">
        <v>18</v>
      </c>
      <c r="D3433" t="s">
        <v>19</v>
      </c>
      <c r="E3433">
        <v>24</v>
      </c>
      <c r="F3433" t="s">
        <v>22</v>
      </c>
      <c r="G3433" t="s">
        <v>37</v>
      </c>
      <c r="H3433" s="1">
        <v>116.97</v>
      </c>
      <c r="I3433" t="s">
        <v>28</v>
      </c>
      <c r="J3433">
        <v>2</v>
      </c>
      <c r="K3433">
        <v>4</v>
      </c>
    </row>
    <row r="3434" spans="1:11" x14ac:dyDescent="0.35">
      <c r="A3434" t="s">
        <v>3471</v>
      </c>
      <c r="B3434">
        <v>55</v>
      </c>
      <c r="C3434" t="s">
        <v>12</v>
      </c>
      <c r="D3434" t="s">
        <v>19</v>
      </c>
      <c r="E3434">
        <v>12</v>
      </c>
      <c r="F3434" t="s">
        <v>31</v>
      </c>
      <c r="G3434" t="s">
        <v>27</v>
      </c>
      <c r="H3434" s="1">
        <v>77.84</v>
      </c>
      <c r="I3434" t="s">
        <v>24</v>
      </c>
      <c r="J3434">
        <v>0</v>
      </c>
      <c r="K3434">
        <v>4</v>
      </c>
    </row>
    <row r="3435" spans="1:11" x14ac:dyDescent="0.35">
      <c r="A3435" t="s">
        <v>3472</v>
      </c>
      <c r="B3435">
        <v>63</v>
      </c>
      <c r="C3435" t="s">
        <v>12</v>
      </c>
      <c r="D3435" t="s">
        <v>21</v>
      </c>
      <c r="E3435">
        <v>14</v>
      </c>
      <c r="F3435" t="s">
        <v>33</v>
      </c>
      <c r="G3435" t="s">
        <v>27</v>
      </c>
      <c r="H3435" s="1">
        <v>140.26</v>
      </c>
      <c r="I3435" t="s">
        <v>24</v>
      </c>
      <c r="J3435">
        <v>3</v>
      </c>
      <c r="K3435">
        <v>7</v>
      </c>
    </row>
    <row r="3436" spans="1:11" x14ac:dyDescent="0.35">
      <c r="A3436" t="s">
        <v>3473</v>
      </c>
      <c r="B3436">
        <v>30</v>
      </c>
      <c r="C3436" t="s">
        <v>12</v>
      </c>
      <c r="D3436" t="s">
        <v>30</v>
      </c>
      <c r="E3436">
        <v>2</v>
      </c>
      <c r="F3436" t="s">
        <v>22</v>
      </c>
      <c r="G3436" t="s">
        <v>34</v>
      </c>
      <c r="H3436" s="1">
        <v>201.26</v>
      </c>
      <c r="I3436" t="s">
        <v>24</v>
      </c>
      <c r="J3436">
        <v>2</v>
      </c>
      <c r="K3436">
        <v>9</v>
      </c>
    </row>
    <row r="3437" spans="1:11" x14ac:dyDescent="0.35">
      <c r="A3437" t="s">
        <v>3474</v>
      </c>
      <c r="B3437">
        <v>66</v>
      </c>
      <c r="C3437" t="s">
        <v>12</v>
      </c>
      <c r="D3437" t="s">
        <v>19</v>
      </c>
      <c r="E3437">
        <v>22</v>
      </c>
      <c r="F3437" t="s">
        <v>31</v>
      </c>
      <c r="G3437" t="s">
        <v>27</v>
      </c>
      <c r="H3437" s="1">
        <v>124.86</v>
      </c>
      <c r="I3437" t="s">
        <v>24</v>
      </c>
      <c r="J3437">
        <v>2</v>
      </c>
      <c r="K3437">
        <v>5</v>
      </c>
    </row>
    <row r="3438" spans="1:11" x14ac:dyDescent="0.35">
      <c r="A3438" t="s">
        <v>3475</v>
      </c>
      <c r="B3438">
        <v>36</v>
      </c>
      <c r="C3438" t="s">
        <v>18</v>
      </c>
      <c r="D3438" t="s">
        <v>19</v>
      </c>
      <c r="E3438">
        <v>18</v>
      </c>
      <c r="F3438" t="s">
        <v>22</v>
      </c>
      <c r="G3438" t="s">
        <v>15</v>
      </c>
      <c r="H3438" s="1">
        <v>371.27</v>
      </c>
      <c r="I3438" t="s">
        <v>24</v>
      </c>
      <c r="J3438">
        <v>1</v>
      </c>
      <c r="K3438">
        <v>8</v>
      </c>
    </row>
    <row r="3439" spans="1:11" x14ac:dyDescent="0.35">
      <c r="A3439" t="s">
        <v>3476</v>
      </c>
      <c r="B3439">
        <v>43</v>
      </c>
      <c r="C3439" t="s">
        <v>18</v>
      </c>
      <c r="D3439" t="s">
        <v>19</v>
      </c>
      <c r="E3439">
        <v>17</v>
      </c>
      <c r="F3439" t="s">
        <v>26</v>
      </c>
      <c r="G3439" t="s">
        <v>15</v>
      </c>
      <c r="H3439" s="1">
        <v>345.94</v>
      </c>
      <c r="I3439" t="s">
        <v>24</v>
      </c>
      <c r="J3439">
        <v>3</v>
      </c>
      <c r="K3439">
        <v>6</v>
      </c>
    </row>
    <row r="3440" spans="1:11" x14ac:dyDescent="0.35">
      <c r="A3440" t="s">
        <v>3477</v>
      </c>
      <c r="B3440">
        <v>52</v>
      </c>
      <c r="C3440" t="s">
        <v>12</v>
      </c>
      <c r="D3440" t="s">
        <v>30</v>
      </c>
      <c r="E3440">
        <v>2</v>
      </c>
      <c r="F3440" t="s">
        <v>26</v>
      </c>
      <c r="G3440" t="s">
        <v>15</v>
      </c>
      <c r="H3440" s="1">
        <v>208</v>
      </c>
      <c r="I3440" t="s">
        <v>28</v>
      </c>
      <c r="J3440">
        <v>0</v>
      </c>
      <c r="K3440">
        <v>9</v>
      </c>
    </row>
    <row r="3441" spans="1:11" x14ac:dyDescent="0.35">
      <c r="A3441" t="s">
        <v>3478</v>
      </c>
      <c r="B3441">
        <v>19</v>
      </c>
      <c r="C3441" t="s">
        <v>12</v>
      </c>
      <c r="D3441" t="s">
        <v>21</v>
      </c>
      <c r="E3441">
        <v>12</v>
      </c>
      <c r="F3441" t="s">
        <v>26</v>
      </c>
      <c r="G3441" t="s">
        <v>27</v>
      </c>
      <c r="H3441" s="1">
        <v>22.23</v>
      </c>
      <c r="I3441" t="s">
        <v>24</v>
      </c>
      <c r="J3441">
        <v>1</v>
      </c>
      <c r="K3441">
        <v>7</v>
      </c>
    </row>
    <row r="3442" spans="1:11" x14ac:dyDescent="0.35">
      <c r="A3442" t="s">
        <v>3479</v>
      </c>
      <c r="B3442">
        <v>77</v>
      </c>
      <c r="C3442" t="s">
        <v>18</v>
      </c>
      <c r="D3442" t="s">
        <v>30</v>
      </c>
      <c r="E3442">
        <v>9</v>
      </c>
      <c r="F3442" t="s">
        <v>22</v>
      </c>
      <c r="G3442" t="s">
        <v>23</v>
      </c>
      <c r="H3442" s="1">
        <v>453.71</v>
      </c>
      <c r="I3442" t="s">
        <v>24</v>
      </c>
      <c r="J3442">
        <v>1</v>
      </c>
      <c r="K3442">
        <v>8</v>
      </c>
    </row>
    <row r="3443" spans="1:11" x14ac:dyDescent="0.35">
      <c r="A3443" t="s">
        <v>3480</v>
      </c>
      <c r="B3443">
        <v>70</v>
      </c>
      <c r="C3443" t="s">
        <v>18</v>
      </c>
      <c r="D3443" t="s">
        <v>30</v>
      </c>
      <c r="E3443">
        <v>11</v>
      </c>
      <c r="F3443" t="s">
        <v>22</v>
      </c>
      <c r="G3443" t="s">
        <v>37</v>
      </c>
      <c r="H3443" s="1">
        <v>165.47</v>
      </c>
      <c r="I3443" t="s">
        <v>24</v>
      </c>
      <c r="J3443">
        <v>1</v>
      </c>
      <c r="K3443">
        <v>8</v>
      </c>
    </row>
    <row r="3444" spans="1:11" x14ac:dyDescent="0.35">
      <c r="A3444" t="s">
        <v>3481</v>
      </c>
      <c r="B3444">
        <v>59</v>
      </c>
      <c r="C3444" t="s">
        <v>189</v>
      </c>
      <c r="D3444" t="s">
        <v>19</v>
      </c>
      <c r="E3444">
        <v>15</v>
      </c>
      <c r="F3444" t="s">
        <v>22</v>
      </c>
      <c r="G3444" t="s">
        <v>34</v>
      </c>
      <c r="H3444" s="1">
        <v>148.09</v>
      </c>
      <c r="I3444" t="s">
        <v>24</v>
      </c>
      <c r="J3444">
        <v>0</v>
      </c>
      <c r="K3444">
        <v>4</v>
      </c>
    </row>
    <row r="3445" spans="1:11" x14ac:dyDescent="0.35">
      <c r="A3445" t="s">
        <v>3482</v>
      </c>
      <c r="B3445">
        <v>36</v>
      </c>
      <c r="C3445" t="s">
        <v>18</v>
      </c>
      <c r="D3445" t="s">
        <v>21</v>
      </c>
      <c r="E3445">
        <v>43</v>
      </c>
      <c r="F3445" t="s">
        <v>31</v>
      </c>
      <c r="G3445" t="s">
        <v>34</v>
      </c>
      <c r="H3445" s="1">
        <v>206.95</v>
      </c>
      <c r="I3445" t="s">
        <v>24</v>
      </c>
      <c r="J3445">
        <v>1</v>
      </c>
      <c r="K3445">
        <v>1</v>
      </c>
    </row>
    <row r="3446" spans="1:11" x14ac:dyDescent="0.35">
      <c r="A3446" t="s">
        <v>3483</v>
      </c>
      <c r="B3446">
        <v>26</v>
      </c>
      <c r="C3446" t="s">
        <v>12</v>
      </c>
      <c r="D3446" t="s">
        <v>21</v>
      </c>
      <c r="E3446">
        <v>19</v>
      </c>
      <c r="F3446" t="s">
        <v>22</v>
      </c>
      <c r="G3446" t="s">
        <v>27</v>
      </c>
      <c r="H3446" s="1">
        <v>50.95</v>
      </c>
      <c r="I3446" t="s">
        <v>24</v>
      </c>
      <c r="J3446">
        <v>2</v>
      </c>
      <c r="K3446">
        <v>4</v>
      </c>
    </row>
    <row r="3447" spans="1:11" x14ac:dyDescent="0.35">
      <c r="A3447" t="s">
        <v>3484</v>
      </c>
      <c r="B3447">
        <v>82</v>
      </c>
      <c r="C3447" t="s">
        <v>18</v>
      </c>
      <c r="D3447" t="s">
        <v>13</v>
      </c>
      <c r="E3447">
        <v>14</v>
      </c>
      <c r="F3447" t="s">
        <v>22</v>
      </c>
      <c r="G3447" t="s">
        <v>15</v>
      </c>
      <c r="H3447" s="1">
        <v>395.83</v>
      </c>
      <c r="I3447" t="s">
        <v>24</v>
      </c>
      <c r="J3447">
        <v>3</v>
      </c>
      <c r="K3447">
        <v>7</v>
      </c>
    </row>
    <row r="3448" spans="1:11" x14ac:dyDescent="0.35">
      <c r="A3448" t="s">
        <v>3485</v>
      </c>
      <c r="B3448">
        <v>45</v>
      </c>
      <c r="C3448" t="s">
        <v>12</v>
      </c>
      <c r="D3448" t="s">
        <v>21</v>
      </c>
      <c r="E3448">
        <v>12</v>
      </c>
      <c r="F3448" t="s">
        <v>33</v>
      </c>
      <c r="G3448" t="s">
        <v>37</v>
      </c>
      <c r="H3448" s="1">
        <v>170.91</v>
      </c>
      <c r="I3448" t="s">
        <v>24</v>
      </c>
      <c r="J3448">
        <v>1</v>
      </c>
      <c r="K3448">
        <v>7</v>
      </c>
    </row>
    <row r="3449" spans="1:11" x14ac:dyDescent="0.35">
      <c r="A3449" t="s">
        <v>3486</v>
      </c>
      <c r="B3449">
        <v>52</v>
      </c>
      <c r="C3449" t="s">
        <v>12</v>
      </c>
      <c r="D3449" t="s">
        <v>19</v>
      </c>
      <c r="E3449">
        <v>14</v>
      </c>
      <c r="F3449" t="s">
        <v>26</v>
      </c>
      <c r="G3449" t="s">
        <v>15</v>
      </c>
      <c r="H3449" s="1">
        <v>357.25</v>
      </c>
      <c r="I3449" t="s">
        <v>28</v>
      </c>
      <c r="J3449">
        <v>0</v>
      </c>
      <c r="K3449">
        <v>4</v>
      </c>
    </row>
    <row r="3450" spans="1:11" x14ac:dyDescent="0.35">
      <c r="A3450" t="s">
        <v>3487</v>
      </c>
      <c r="B3450">
        <v>27</v>
      </c>
      <c r="C3450" t="s">
        <v>528</v>
      </c>
      <c r="D3450" t="s">
        <v>19</v>
      </c>
      <c r="E3450">
        <v>10</v>
      </c>
      <c r="F3450" t="s">
        <v>33</v>
      </c>
      <c r="G3450" t="s">
        <v>37</v>
      </c>
      <c r="H3450" s="1">
        <v>155.68</v>
      </c>
      <c r="I3450" t="s">
        <v>24</v>
      </c>
      <c r="J3450">
        <v>1</v>
      </c>
      <c r="K3450">
        <v>6</v>
      </c>
    </row>
    <row r="3451" spans="1:11" x14ac:dyDescent="0.35">
      <c r="A3451" t="s">
        <v>3488</v>
      </c>
      <c r="B3451">
        <v>79</v>
      </c>
      <c r="C3451" t="s">
        <v>12</v>
      </c>
      <c r="D3451" t="s">
        <v>13</v>
      </c>
      <c r="E3451">
        <v>23</v>
      </c>
      <c r="F3451" t="s">
        <v>31</v>
      </c>
      <c r="G3451" t="s">
        <v>27</v>
      </c>
      <c r="H3451" s="1">
        <v>134.19</v>
      </c>
      <c r="I3451" t="s">
        <v>24</v>
      </c>
      <c r="J3451">
        <v>1</v>
      </c>
      <c r="K3451">
        <v>2</v>
      </c>
    </row>
    <row r="3452" spans="1:11" x14ac:dyDescent="0.35">
      <c r="A3452" t="s">
        <v>3489</v>
      </c>
      <c r="B3452">
        <v>18</v>
      </c>
      <c r="C3452" t="s">
        <v>12</v>
      </c>
      <c r="D3452" t="s">
        <v>30</v>
      </c>
      <c r="E3452">
        <v>6</v>
      </c>
      <c r="F3452" t="s">
        <v>14</v>
      </c>
      <c r="G3452" t="s">
        <v>27</v>
      </c>
      <c r="H3452" s="1">
        <v>0</v>
      </c>
      <c r="I3452" t="s">
        <v>16</v>
      </c>
      <c r="J3452">
        <v>2</v>
      </c>
      <c r="K3452">
        <v>9</v>
      </c>
    </row>
    <row r="3453" spans="1:11" x14ac:dyDescent="0.35">
      <c r="A3453" t="s">
        <v>3490</v>
      </c>
      <c r="B3453">
        <v>51</v>
      </c>
      <c r="C3453" t="s">
        <v>18</v>
      </c>
      <c r="D3453" t="s">
        <v>120</v>
      </c>
      <c r="E3453">
        <v>36</v>
      </c>
      <c r="F3453" t="s">
        <v>22</v>
      </c>
      <c r="G3453" t="s">
        <v>34</v>
      </c>
      <c r="H3453" s="1">
        <v>152.91</v>
      </c>
      <c r="I3453" t="s">
        <v>24</v>
      </c>
      <c r="J3453">
        <v>0</v>
      </c>
      <c r="K3453">
        <v>3</v>
      </c>
    </row>
    <row r="3454" spans="1:11" x14ac:dyDescent="0.35">
      <c r="A3454" t="s">
        <v>3491</v>
      </c>
      <c r="B3454">
        <v>29</v>
      </c>
      <c r="C3454" t="s">
        <v>18</v>
      </c>
      <c r="D3454" t="s">
        <v>41</v>
      </c>
      <c r="E3454">
        <v>9</v>
      </c>
      <c r="F3454" t="s">
        <v>26</v>
      </c>
      <c r="G3454" t="s">
        <v>34</v>
      </c>
      <c r="H3454" s="1">
        <v>211.55</v>
      </c>
      <c r="I3454" t="s">
        <v>43</v>
      </c>
      <c r="J3454">
        <v>1</v>
      </c>
      <c r="K3454">
        <v>6</v>
      </c>
    </row>
    <row r="3455" spans="1:11" x14ac:dyDescent="0.35">
      <c r="A3455" t="s">
        <v>3492</v>
      </c>
      <c r="B3455">
        <v>67</v>
      </c>
      <c r="C3455" t="s">
        <v>12</v>
      </c>
      <c r="D3455" t="s">
        <v>30</v>
      </c>
      <c r="E3455">
        <v>4</v>
      </c>
      <c r="F3455" t="s">
        <v>33</v>
      </c>
      <c r="G3455" t="s">
        <v>15</v>
      </c>
      <c r="H3455" s="1">
        <v>342.84</v>
      </c>
      <c r="I3455" t="s">
        <v>24</v>
      </c>
      <c r="J3455">
        <v>0</v>
      </c>
      <c r="K3455">
        <v>10</v>
      </c>
    </row>
    <row r="3456" spans="1:11" x14ac:dyDescent="0.35">
      <c r="A3456" t="s">
        <v>3493</v>
      </c>
      <c r="B3456">
        <v>79</v>
      </c>
      <c r="C3456" t="s">
        <v>12</v>
      </c>
      <c r="D3456" t="s">
        <v>41</v>
      </c>
      <c r="E3456">
        <v>7</v>
      </c>
      <c r="F3456" t="s">
        <v>22</v>
      </c>
      <c r="G3456" t="s">
        <v>27</v>
      </c>
      <c r="H3456" s="1">
        <v>177.87</v>
      </c>
      <c r="I3456" t="s">
        <v>43</v>
      </c>
      <c r="J3456">
        <v>0</v>
      </c>
      <c r="K3456">
        <v>10</v>
      </c>
    </row>
    <row r="3457" spans="1:11" x14ac:dyDescent="0.35">
      <c r="A3457" t="s">
        <v>3494</v>
      </c>
      <c r="B3457">
        <v>71</v>
      </c>
      <c r="C3457" t="s">
        <v>12</v>
      </c>
      <c r="D3457" t="s">
        <v>19</v>
      </c>
      <c r="E3457">
        <v>6</v>
      </c>
      <c r="F3457" t="s">
        <v>22</v>
      </c>
      <c r="G3457" t="s">
        <v>34</v>
      </c>
      <c r="H3457" s="1">
        <v>202.54</v>
      </c>
      <c r="I3457" t="s">
        <v>28</v>
      </c>
      <c r="J3457">
        <v>0</v>
      </c>
      <c r="K3457">
        <v>10</v>
      </c>
    </row>
    <row r="3458" spans="1:11" x14ac:dyDescent="0.35">
      <c r="A3458" t="s">
        <v>3495</v>
      </c>
      <c r="B3458">
        <v>35</v>
      </c>
      <c r="C3458" t="s">
        <v>189</v>
      </c>
      <c r="D3458" t="s">
        <v>57</v>
      </c>
      <c r="E3458">
        <v>31</v>
      </c>
      <c r="F3458" t="s">
        <v>31</v>
      </c>
      <c r="G3458" t="s">
        <v>37</v>
      </c>
      <c r="H3458" s="1">
        <v>175.26</v>
      </c>
      <c r="I3458" t="s">
        <v>28</v>
      </c>
      <c r="J3458">
        <v>3</v>
      </c>
      <c r="K3458">
        <v>2</v>
      </c>
    </row>
    <row r="3459" spans="1:11" x14ac:dyDescent="0.35">
      <c r="A3459" t="s">
        <v>3496</v>
      </c>
      <c r="B3459">
        <v>62</v>
      </c>
      <c r="C3459" t="s">
        <v>12</v>
      </c>
      <c r="D3459" t="s">
        <v>30</v>
      </c>
      <c r="E3459">
        <v>4</v>
      </c>
      <c r="F3459" t="s">
        <v>14</v>
      </c>
      <c r="G3459" t="s">
        <v>23</v>
      </c>
      <c r="H3459" s="1">
        <v>0</v>
      </c>
      <c r="I3459" t="s">
        <v>16</v>
      </c>
      <c r="J3459">
        <v>1</v>
      </c>
      <c r="K3459">
        <v>7</v>
      </c>
    </row>
    <row r="3460" spans="1:11" x14ac:dyDescent="0.35">
      <c r="A3460" t="s">
        <v>3497</v>
      </c>
      <c r="B3460">
        <v>32</v>
      </c>
      <c r="C3460" t="s">
        <v>12</v>
      </c>
      <c r="D3460" t="s">
        <v>21</v>
      </c>
      <c r="E3460">
        <v>23</v>
      </c>
      <c r="F3460" t="s">
        <v>31</v>
      </c>
      <c r="G3460" t="s">
        <v>27</v>
      </c>
      <c r="H3460" s="1">
        <v>106.87</v>
      </c>
      <c r="I3460" t="s">
        <v>24</v>
      </c>
      <c r="J3460">
        <v>1</v>
      </c>
      <c r="K3460">
        <v>4</v>
      </c>
    </row>
    <row r="3461" spans="1:11" x14ac:dyDescent="0.35">
      <c r="A3461" t="s">
        <v>3498</v>
      </c>
      <c r="B3461">
        <v>45</v>
      </c>
      <c r="C3461" t="s">
        <v>12</v>
      </c>
      <c r="D3461" t="s">
        <v>19</v>
      </c>
      <c r="E3461">
        <v>15</v>
      </c>
      <c r="F3461" t="s">
        <v>14</v>
      </c>
      <c r="G3461" t="s">
        <v>27</v>
      </c>
      <c r="H3461" s="1">
        <v>0</v>
      </c>
      <c r="I3461" t="s">
        <v>16</v>
      </c>
      <c r="J3461">
        <v>1</v>
      </c>
      <c r="K3461">
        <v>8</v>
      </c>
    </row>
    <row r="3462" spans="1:11" x14ac:dyDescent="0.35">
      <c r="A3462" t="s">
        <v>3499</v>
      </c>
      <c r="B3462">
        <v>84</v>
      </c>
      <c r="C3462" t="s">
        <v>18</v>
      </c>
      <c r="D3462" t="s">
        <v>244</v>
      </c>
      <c r="E3462">
        <v>17</v>
      </c>
      <c r="F3462" t="s">
        <v>33</v>
      </c>
      <c r="G3462" t="s">
        <v>37</v>
      </c>
      <c r="H3462" s="1">
        <v>93.22</v>
      </c>
      <c r="I3462" t="s">
        <v>24</v>
      </c>
      <c r="J3462">
        <v>1</v>
      </c>
      <c r="K3462">
        <v>5</v>
      </c>
    </row>
    <row r="3463" spans="1:11" x14ac:dyDescent="0.35">
      <c r="A3463" t="s">
        <v>3500</v>
      </c>
      <c r="B3463">
        <v>63</v>
      </c>
      <c r="C3463" t="s">
        <v>18</v>
      </c>
      <c r="D3463" t="s">
        <v>21</v>
      </c>
      <c r="E3463">
        <v>13</v>
      </c>
      <c r="F3463" t="s">
        <v>31</v>
      </c>
      <c r="G3463" t="s">
        <v>23</v>
      </c>
      <c r="H3463" s="1">
        <v>126.82</v>
      </c>
      <c r="I3463" t="s">
        <v>24</v>
      </c>
      <c r="J3463">
        <v>3</v>
      </c>
      <c r="K3463">
        <v>6</v>
      </c>
    </row>
    <row r="3464" spans="1:11" x14ac:dyDescent="0.35">
      <c r="A3464" t="s">
        <v>3501</v>
      </c>
      <c r="B3464">
        <v>32</v>
      </c>
      <c r="C3464" t="s">
        <v>18</v>
      </c>
      <c r="D3464" t="s">
        <v>30</v>
      </c>
      <c r="E3464">
        <v>11</v>
      </c>
      <c r="F3464" t="s">
        <v>33</v>
      </c>
      <c r="G3464" t="s">
        <v>34</v>
      </c>
      <c r="H3464" s="1">
        <v>129.59</v>
      </c>
      <c r="I3464" t="s">
        <v>24</v>
      </c>
      <c r="J3464">
        <v>3</v>
      </c>
      <c r="K3464">
        <v>8</v>
      </c>
    </row>
    <row r="3465" spans="1:11" x14ac:dyDescent="0.35">
      <c r="A3465" t="s">
        <v>3502</v>
      </c>
      <c r="B3465">
        <v>35</v>
      </c>
      <c r="C3465" t="s">
        <v>18</v>
      </c>
      <c r="D3465" t="s">
        <v>19</v>
      </c>
      <c r="E3465">
        <v>16</v>
      </c>
      <c r="F3465" t="s">
        <v>31</v>
      </c>
      <c r="G3465" t="s">
        <v>23</v>
      </c>
      <c r="H3465" s="1">
        <v>262.26</v>
      </c>
      <c r="I3465" t="s">
        <v>24</v>
      </c>
      <c r="J3465">
        <v>0</v>
      </c>
      <c r="K3465">
        <v>5</v>
      </c>
    </row>
    <row r="3466" spans="1:11" x14ac:dyDescent="0.35">
      <c r="A3466" t="s">
        <v>3503</v>
      </c>
      <c r="B3466">
        <v>24</v>
      </c>
      <c r="C3466" t="s">
        <v>18</v>
      </c>
      <c r="D3466" t="s">
        <v>13</v>
      </c>
      <c r="E3466">
        <v>24</v>
      </c>
      <c r="F3466" t="s">
        <v>14</v>
      </c>
      <c r="G3466" t="s">
        <v>15</v>
      </c>
      <c r="H3466" s="1">
        <v>0</v>
      </c>
      <c r="I3466" t="s">
        <v>16</v>
      </c>
      <c r="J3466">
        <v>4</v>
      </c>
      <c r="K3466">
        <v>5</v>
      </c>
    </row>
    <row r="3467" spans="1:11" x14ac:dyDescent="0.35">
      <c r="A3467" t="s">
        <v>3504</v>
      </c>
      <c r="B3467">
        <v>52</v>
      </c>
      <c r="C3467" t="s">
        <v>12</v>
      </c>
      <c r="D3467" t="s">
        <v>19</v>
      </c>
      <c r="E3467">
        <v>7</v>
      </c>
      <c r="F3467" t="s">
        <v>33</v>
      </c>
      <c r="G3467" t="s">
        <v>27</v>
      </c>
      <c r="H3467" s="1">
        <v>120.62</v>
      </c>
      <c r="I3467" t="s">
        <v>24</v>
      </c>
      <c r="J3467">
        <v>0</v>
      </c>
      <c r="K3467">
        <v>7</v>
      </c>
    </row>
    <row r="3468" spans="1:11" x14ac:dyDescent="0.35">
      <c r="A3468" t="s">
        <v>3505</v>
      </c>
      <c r="B3468">
        <v>64</v>
      </c>
      <c r="C3468" t="s">
        <v>12</v>
      </c>
      <c r="D3468" t="s">
        <v>19</v>
      </c>
      <c r="E3468">
        <v>24</v>
      </c>
      <c r="F3468" t="s">
        <v>14</v>
      </c>
      <c r="G3468" t="s">
        <v>27</v>
      </c>
      <c r="H3468" s="1">
        <v>0</v>
      </c>
      <c r="I3468" t="s">
        <v>16</v>
      </c>
      <c r="J3468">
        <v>2</v>
      </c>
      <c r="K3468">
        <v>1</v>
      </c>
    </row>
    <row r="3469" spans="1:11" x14ac:dyDescent="0.35">
      <c r="A3469" t="s">
        <v>3506</v>
      </c>
      <c r="B3469">
        <v>42</v>
      </c>
      <c r="C3469" t="s">
        <v>18</v>
      </c>
      <c r="D3469" t="s">
        <v>21</v>
      </c>
      <c r="E3469">
        <v>36</v>
      </c>
      <c r="F3469" t="s">
        <v>26</v>
      </c>
      <c r="G3469" t="s">
        <v>23</v>
      </c>
      <c r="H3469" s="1">
        <v>323.89999999999998</v>
      </c>
      <c r="I3469" t="s">
        <v>24</v>
      </c>
      <c r="J3469">
        <v>3</v>
      </c>
      <c r="K3469">
        <v>3</v>
      </c>
    </row>
    <row r="3470" spans="1:11" x14ac:dyDescent="0.35">
      <c r="A3470" t="s">
        <v>3507</v>
      </c>
      <c r="B3470">
        <v>50</v>
      </c>
      <c r="C3470" t="s">
        <v>18</v>
      </c>
      <c r="D3470" t="s">
        <v>30</v>
      </c>
      <c r="E3470">
        <v>14</v>
      </c>
      <c r="F3470" t="s">
        <v>22</v>
      </c>
      <c r="G3470" t="s">
        <v>23</v>
      </c>
      <c r="H3470" s="1">
        <v>339.95</v>
      </c>
      <c r="I3470" t="s">
        <v>28</v>
      </c>
      <c r="J3470">
        <v>2</v>
      </c>
      <c r="K3470">
        <v>4</v>
      </c>
    </row>
    <row r="3471" spans="1:11" x14ac:dyDescent="0.35">
      <c r="A3471" t="s">
        <v>3508</v>
      </c>
      <c r="B3471">
        <v>26</v>
      </c>
      <c r="C3471" t="s">
        <v>12</v>
      </c>
      <c r="D3471" t="s">
        <v>21</v>
      </c>
      <c r="E3471">
        <v>24</v>
      </c>
      <c r="F3471" t="s">
        <v>31</v>
      </c>
      <c r="G3471" t="s">
        <v>27</v>
      </c>
      <c r="H3471" s="1">
        <v>109.39</v>
      </c>
      <c r="I3471" t="s">
        <v>24</v>
      </c>
      <c r="J3471">
        <v>4</v>
      </c>
      <c r="K3471">
        <v>2</v>
      </c>
    </row>
    <row r="3472" spans="1:11" x14ac:dyDescent="0.35">
      <c r="A3472" t="s">
        <v>3509</v>
      </c>
      <c r="B3472">
        <v>43</v>
      </c>
      <c r="C3472" t="s">
        <v>18</v>
      </c>
      <c r="D3472" t="s">
        <v>19</v>
      </c>
      <c r="E3472">
        <v>21</v>
      </c>
      <c r="F3472" t="s">
        <v>22</v>
      </c>
      <c r="G3472" t="s">
        <v>15</v>
      </c>
      <c r="H3472" s="1">
        <v>242.73</v>
      </c>
      <c r="I3472" t="s">
        <v>24</v>
      </c>
      <c r="J3472">
        <v>1</v>
      </c>
      <c r="K3472">
        <v>1</v>
      </c>
    </row>
    <row r="3473" spans="1:11" x14ac:dyDescent="0.35">
      <c r="A3473" t="s">
        <v>3510</v>
      </c>
      <c r="B3473">
        <v>73</v>
      </c>
      <c r="C3473" t="s">
        <v>12</v>
      </c>
      <c r="D3473" t="s">
        <v>13</v>
      </c>
      <c r="E3473">
        <v>16</v>
      </c>
      <c r="F3473" t="s">
        <v>33</v>
      </c>
      <c r="G3473" t="s">
        <v>37</v>
      </c>
      <c r="H3473" s="1">
        <v>113.92</v>
      </c>
      <c r="I3473" t="s">
        <v>24</v>
      </c>
      <c r="J3473">
        <v>0</v>
      </c>
      <c r="K3473">
        <v>4</v>
      </c>
    </row>
    <row r="3474" spans="1:11" x14ac:dyDescent="0.35">
      <c r="A3474" t="s">
        <v>3511</v>
      </c>
      <c r="B3474">
        <v>26</v>
      </c>
      <c r="C3474" t="s">
        <v>12</v>
      </c>
      <c r="D3474" t="s">
        <v>13</v>
      </c>
      <c r="E3474">
        <v>10</v>
      </c>
      <c r="F3474" t="s">
        <v>33</v>
      </c>
      <c r="G3474" t="s">
        <v>27</v>
      </c>
      <c r="H3474" s="1">
        <v>49.62</v>
      </c>
      <c r="I3474" t="s">
        <v>28</v>
      </c>
      <c r="J3474">
        <v>2</v>
      </c>
      <c r="K3474">
        <v>8</v>
      </c>
    </row>
    <row r="3475" spans="1:11" x14ac:dyDescent="0.35">
      <c r="A3475" t="s">
        <v>3512</v>
      </c>
      <c r="B3475">
        <v>50</v>
      </c>
      <c r="C3475" t="s">
        <v>12</v>
      </c>
      <c r="D3475" t="s">
        <v>13</v>
      </c>
      <c r="E3475">
        <v>14</v>
      </c>
      <c r="F3475" t="s">
        <v>33</v>
      </c>
      <c r="G3475" t="s">
        <v>34</v>
      </c>
      <c r="H3475" s="1">
        <v>175.23</v>
      </c>
      <c r="I3475" t="s">
        <v>24</v>
      </c>
      <c r="J3475">
        <v>3</v>
      </c>
      <c r="K3475">
        <v>4</v>
      </c>
    </row>
    <row r="3476" spans="1:11" x14ac:dyDescent="0.35">
      <c r="A3476" t="s">
        <v>3513</v>
      </c>
      <c r="B3476">
        <v>83</v>
      </c>
      <c r="C3476" t="s">
        <v>18</v>
      </c>
      <c r="D3476" t="s">
        <v>13</v>
      </c>
      <c r="E3476">
        <v>12</v>
      </c>
      <c r="F3476" t="s">
        <v>22</v>
      </c>
      <c r="G3476" t="s">
        <v>37</v>
      </c>
      <c r="H3476" s="1">
        <v>146.87</v>
      </c>
      <c r="I3476" t="s">
        <v>24</v>
      </c>
      <c r="J3476">
        <v>3</v>
      </c>
      <c r="K3476">
        <v>6</v>
      </c>
    </row>
    <row r="3477" spans="1:11" x14ac:dyDescent="0.35">
      <c r="A3477" t="s">
        <v>3514</v>
      </c>
      <c r="B3477">
        <v>45</v>
      </c>
      <c r="C3477" t="s">
        <v>18</v>
      </c>
      <c r="D3477" t="s">
        <v>19</v>
      </c>
      <c r="E3477">
        <v>13</v>
      </c>
      <c r="F3477" t="s">
        <v>33</v>
      </c>
      <c r="G3477" t="s">
        <v>34</v>
      </c>
      <c r="H3477" s="1">
        <v>153.36000000000001</v>
      </c>
      <c r="I3477" t="s">
        <v>24</v>
      </c>
      <c r="J3477">
        <v>0</v>
      </c>
      <c r="K3477">
        <v>6</v>
      </c>
    </row>
    <row r="3478" spans="1:11" x14ac:dyDescent="0.35">
      <c r="A3478" t="s">
        <v>3515</v>
      </c>
      <c r="B3478">
        <v>67</v>
      </c>
      <c r="C3478" t="s">
        <v>12</v>
      </c>
      <c r="D3478" t="s">
        <v>19</v>
      </c>
      <c r="E3478">
        <v>18</v>
      </c>
      <c r="F3478" t="s">
        <v>33</v>
      </c>
      <c r="G3478" t="s">
        <v>34</v>
      </c>
      <c r="H3478" s="1">
        <v>105.15</v>
      </c>
      <c r="I3478" t="s">
        <v>24</v>
      </c>
      <c r="J3478">
        <v>0</v>
      </c>
      <c r="K3478">
        <v>5</v>
      </c>
    </row>
    <row r="3479" spans="1:11" x14ac:dyDescent="0.35">
      <c r="A3479" t="s">
        <v>3516</v>
      </c>
      <c r="B3479">
        <v>83</v>
      </c>
      <c r="C3479" t="s">
        <v>12</v>
      </c>
      <c r="D3479" t="s">
        <v>19</v>
      </c>
      <c r="E3479">
        <v>23</v>
      </c>
      <c r="F3479" t="s">
        <v>22</v>
      </c>
      <c r="G3479" t="s">
        <v>37</v>
      </c>
      <c r="H3479" s="1">
        <v>96.19</v>
      </c>
      <c r="I3479" t="s">
        <v>43</v>
      </c>
      <c r="J3479">
        <v>0</v>
      </c>
      <c r="K3479">
        <v>5</v>
      </c>
    </row>
    <row r="3480" spans="1:11" x14ac:dyDescent="0.35">
      <c r="A3480" t="s">
        <v>3517</v>
      </c>
      <c r="B3480">
        <v>70</v>
      </c>
      <c r="C3480" t="s">
        <v>18</v>
      </c>
      <c r="D3480" t="s">
        <v>19</v>
      </c>
      <c r="E3480">
        <v>6</v>
      </c>
      <c r="F3480" t="s">
        <v>31</v>
      </c>
      <c r="G3480" t="s">
        <v>15</v>
      </c>
      <c r="H3480" s="1">
        <v>336.49</v>
      </c>
      <c r="I3480" t="s">
        <v>24</v>
      </c>
      <c r="J3480">
        <v>0</v>
      </c>
      <c r="K3480">
        <v>10</v>
      </c>
    </row>
    <row r="3481" spans="1:11" x14ac:dyDescent="0.35">
      <c r="A3481" t="s">
        <v>3518</v>
      </c>
      <c r="B3481">
        <v>77</v>
      </c>
      <c r="C3481" t="s">
        <v>12</v>
      </c>
      <c r="D3481" t="s">
        <v>19</v>
      </c>
      <c r="E3481">
        <v>6</v>
      </c>
      <c r="F3481" t="s">
        <v>22</v>
      </c>
      <c r="G3481" t="s">
        <v>34</v>
      </c>
      <c r="H3481" s="1">
        <v>173.58</v>
      </c>
      <c r="I3481" t="s">
        <v>24</v>
      </c>
      <c r="J3481">
        <v>0</v>
      </c>
      <c r="K3481">
        <v>7</v>
      </c>
    </row>
    <row r="3482" spans="1:11" x14ac:dyDescent="0.35">
      <c r="A3482" t="s">
        <v>3519</v>
      </c>
      <c r="B3482">
        <v>76</v>
      </c>
      <c r="C3482" t="s">
        <v>18</v>
      </c>
      <c r="D3482" t="s">
        <v>19</v>
      </c>
      <c r="E3482">
        <v>8</v>
      </c>
      <c r="F3482" t="s">
        <v>22</v>
      </c>
      <c r="G3482" t="s">
        <v>23</v>
      </c>
      <c r="H3482" s="1">
        <v>270.69</v>
      </c>
      <c r="I3482" t="s">
        <v>24</v>
      </c>
      <c r="J3482">
        <v>2</v>
      </c>
      <c r="K3482">
        <v>7</v>
      </c>
    </row>
    <row r="3483" spans="1:11" x14ac:dyDescent="0.35">
      <c r="A3483" t="s">
        <v>3520</v>
      </c>
      <c r="B3483">
        <v>29</v>
      </c>
      <c r="C3483" t="s">
        <v>18</v>
      </c>
      <c r="D3483" t="s">
        <v>19</v>
      </c>
      <c r="E3483">
        <v>10</v>
      </c>
      <c r="F3483" t="s">
        <v>14</v>
      </c>
      <c r="G3483" t="s">
        <v>15</v>
      </c>
      <c r="H3483" s="1">
        <v>0</v>
      </c>
      <c r="I3483" t="s">
        <v>16</v>
      </c>
      <c r="J3483">
        <v>2</v>
      </c>
      <c r="K3483">
        <v>5</v>
      </c>
    </row>
    <row r="3484" spans="1:11" x14ac:dyDescent="0.35">
      <c r="A3484" t="s">
        <v>3521</v>
      </c>
      <c r="B3484">
        <v>78</v>
      </c>
      <c r="C3484" t="s">
        <v>12</v>
      </c>
      <c r="D3484" t="s">
        <v>19</v>
      </c>
      <c r="E3484">
        <v>12</v>
      </c>
      <c r="F3484" t="s">
        <v>26</v>
      </c>
      <c r="G3484" t="s">
        <v>34</v>
      </c>
      <c r="H3484" s="1">
        <v>113.19</v>
      </c>
      <c r="I3484" t="s">
        <v>24</v>
      </c>
      <c r="J3484">
        <v>1</v>
      </c>
      <c r="K3484">
        <v>6</v>
      </c>
    </row>
    <row r="3485" spans="1:11" x14ac:dyDescent="0.35">
      <c r="A3485" t="s">
        <v>3522</v>
      </c>
      <c r="B3485">
        <v>35</v>
      </c>
      <c r="C3485" t="s">
        <v>12</v>
      </c>
      <c r="D3485" t="s">
        <v>47</v>
      </c>
      <c r="E3485">
        <v>13</v>
      </c>
      <c r="F3485" t="s">
        <v>26</v>
      </c>
      <c r="G3485" t="s">
        <v>34</v>
      </c>
      <c r="H3485" s="1">
        <v>143.5</v>
      </c>
      <c r="I3485" t="s">
        <v>24</v>
      </c>
      <c r="J3485">
        <v>1</v>
      </c>
      <c r="K3485">
        <v>7</v>
      </c>
    </row>
    <row r="3486" spans="1:11" x14ac:dyDescent="0.35">
      <c r="A3486" t="s">
        <v>3523</v>
      </c>
      <c r="B3486">
        <v>28</v>
      </c>
      <c r="C3486" t="s">
        <v>12</v>
      </c>
      <c r="D3486" t="s">
        <v>19</v>
      </c>
      <c r="E3486">
        <v>16</v>
      </c>
      <c r="F3486" t="s">
        <v>22</v>
      </c>
      <c r="G3486" t="s">
        <v>23</v>
      </c>
      <c r="H3486" s="1">
        <v>520.19000000000005</v>
      </c>
      <c r="I3486" t="s">
        <v>24</v>
      </c>
      <c r="J3486">
        <v>1</v>
      </c>
      <c r="K3486">
        <v>5</v>
      </c>
    </row>
    <row r="3487" spans="1:11" x14ac:dyDescent="0.35">
      <c r="A3487" t="s">
        <v>3524</v>
      </c>
      <c r="B3487">
        <v>57</v>
      </c>
      <c r="C3487" t="s">
        <v>18</v>
      </c>
      <c r="D3487" t="s">
        <v>21</v>
      </c>
      <c r="E3487">
        <v>29</v>
      </c>
      <c r="F3487" t="s">
        <v>31</v>
      </c>
      <c r="G3487" t="s">
        <v>23</v>
      </c>
      <c r="H3487" s="1">
        <v>143.97</v>
      </c>
      <c r="I3487" t="s">
        <v>24</v>
      </c>
      <c r="J3487">
        <v>0</v>
      </c>
      <c r="K3487">
        <v>4</v>
      </c>
    </row>
    <row r="3488" spans="1:11" x14ac:dyDescent="0.35">
      <c r="A3488" t="s">
        <v>3525</v>
      </c>
      <c r="B3488">
        <v>22</v>
      </c>
      <c r="C3488" t="s">
        <v>12</v>
      </c>
      <c r="D3488" t="s">
        <v>200</v>
      </c>
      <c r="E3488">
        <v>21</v>
      </c>
      <c r="F3488" t="s">
        <v>31</v>
      </c>
      <c r="G3488" t="s">
        <v>23</v>
      </c>
      <c r="H3488" s="1">
        <v>359.82</v>
      </c>
      <c r="I3488" t="s">
        <v>24</v>
      </c>
      <c r="J3488">
        <v>4</v>
      </c>
      <c r="K3488">
        <v>4</v>
      </c>
    </row>
    <row r="3489" spans="1:11" x14ac:dyDescent="0.35">
      <c r="A3489" t="s">
        <v>3526</v>
      </c>
      <c r="B3489">
        <v>25</v>
      </c>
      <c r="C3489" t="s">
        <v>189</v>
      </c>
      <c r="D3489" t="s">
        <v>21</v>
      </c>
      <c r="E3489">
        <v>25</v>
      </c>
      <c r="F3489" t="s">
        <v>22</v>
      </c>
      <c r="G3489" t="s">
        <v>27</v>
      </c>
      <c r="H3489" s="1">
        <v>150.83000000000001</v>
      </c>
      <c r="I3489" t="s">
        <v>24</v>
      </c>
      <c r="J3489">
        <v>2</v>
      </c>
      <c r="K3489">
        <v>5</v>
      </c>
    </row>
    <row r="3490" spans="1:11" x14ac:dyDescent="0.35">
      <c r="A3490" t="s">
        <v>3527</v>
      </c>
      <c r="B3490">
        <v>52</v>
      </c>
      <c r="C3490" t="s">
        <v>12</v>
      </c>
      <c r="D3490" t="s">
        <v>19</v>
      </c>
      <c r="E3490">
        <v>15</v>
      </c>
      <c r="F3490" t="s">
        <v>33</v>
      </c>
      <c r="G3490" t="s">
        <v>27</v>
      </c>
      <c r="H3490" s="1">
        <v>163.80000000000001</v>
      </c>
      <c r="I3490" t="s">
        <v>24</v>
      </c>
      <c r="J3490">
        <v>0</v>
      </c>
      <c r="K3490">
        <v>5</v>
      </c>
    </row>
    <row r="3491" spans="1:11" x14ac:dyDescent="0.35">
      <c r="A3491" t="s">
        <v>3528</v>
      </c>
      <c r="B3491">
        <v>84</v>
      </c>
      <c r="C3491" t="s">
        <v>18</v>
      </c>
      <c r="D3491" t="s">
        <v>47</v>
      </c>
      <c r="E3491">
        <v>9</v>
      </c>
      <c r="F3491" t="s">
        <v>22</v>
      </c>
      <c r="G3491" t="s">
        <v>23</v>
      </c>
      <c r="H3491" s="1">
        <v>446.88</v>
      </c>
      <c r="I3491" t="s">
        <v>24</v>
      </c>
      <c r="J3491">
        <v>2</v>
      </c>
      <c r="K3491">
        <v>6</v>
      </c>
    </row>
    <row r="3492" spans="1:11" x14ac:dyDescent="0.35">
      <c r="A3492" t="s">
        <v>3529</v>
      </c>
      <c r="B3492">
        <v>43</v>
      </c>
      <c r="C3492" t="s">
        <v>18</v>
      </c>
      <c r="D3492" t="s">
        <v>30</v>
      </c>
      <c r="E3492">
        <v>13</v>
      </c>
      <c r="F3492" t="s">
        <v>26</v>
      </c>
      <c r="G3492" t="s">
        <v>34</v>
      </c>
      <c r="H3492" s="1">
        <v>212.76</v>
      </c>
      <c r="I3492" t="s">
        <v>24</v>
      </c>
      <c r="J3492">
        <v>3</v>
      </c>
      <c r="K3492">
        <v>8</v>
      </c>
    </row>
    <row r="3493" spans="1:11" x14ac:dyDescent="0.35">
      <c r="A3493" t="s">
        <v>3530</v>
      </c>
      <c r="B3493">
        <v>65</v>
      </c>
      <c r="C3493" t="s">
        <v>18</v>
      </c>
      <c r="D3493" t="s">
        <v>13</v>
      </c>
      <c r="E3493">
        <v>23</v>
      </c>
      <c r="F3493" t="s">
        <v>33</v>
      </c>
      <c r="G3493" t="s">
        <v>23</v>
      </c>
      <c r="H3493" s="1">
        <v>82.23</v>
      </c>
      <c r="I3493" t="s">
        <v>28</v>
      </c>
      <c r="J3493">
        <v>2</v>
      </c>
      <c r="K3493">
        <v>5</v>
      </c>
    </row>
    <row r="3494" spans="1:11" x14ac:dyDescent="0.35">
      <c r="A3494" t="s">
        <v>3531</v>
      </c>
      <c r="B3494">
        <v>74</v>
      </c>
      <c r="C3494" t="s">
        <v>18</v>
      </c>
      <c r="D3494" t="s">
        <v>21</v>
      </c>
      <c r="E3494">
        <v>24</v>
      </c>
      <c r="F3494" t="s">
        <v>14</v>
      </c>
      <c r="G3494" t="s">
        <v>37</v>
      </c>
      <c r="H3494" s="1">
        <v>0</v>
      </c>
      <c r="I3494" t="s">
        <v>16</v>
      </c>
      <c r="J3494">
        <v>0</v>
      </c>
      <c r="K3494">
        <v>3</v>
      </c>
    </row>
    <row r="3495" spans="1:11" x14ac:dyDescent="0.35">
      <c r="A3495" t="s">
        <v>3532</v>
      </c>
      <c r="B3495">
        <v>45</v>
      </c>
      <c r="C3495" t="s">
        <v>12</v>
      </c>
      <c r="D3495" t="s">
        <v>13</v>
      </c>
      <c r="E3495">
        <v>13</v>
      </c>
      <c r="F3495" t="s">
        <v>31</v>
      </c>
      <c r="G3495" t="s">
        <v>23</v>
      </c>
      <c r="H3495" s="1">
        <v>211.3</v>
      </c>
      <c r="I3495" t="s">
        <v>24</v>
      </c>
      <c r="J3495">
        <v>1</v>
      </c>
      <c r="K3495">
        <v>6</v>
      </c>
    </row>
    <row r="3496" spans="1:11" x14ac:dyDescent="0.35">
      <c r="A3496" t="s">
        <v>3533</v>
      </c>
      <c r="B3496">
        <v>54</v>
      </c>
      <c r="C3496" t="s">
        <v>18</v>
      </c>
      <c r="D3496" t="s">
        <v>19</v>
      </c>
      <c r="E3496">
        <v>9</v>
      </c>
      <c r="F3496" t="s">
        <v>26</v>
      </c>
      <c r="G3496" t="s">
        <v>23</v>
      </c>
      <c r="H3496" s="1">
        <v>411.18</v>
      </c>
      <c r="I3496" t="s">
        <v>24</v>
      </c>
      <c r="J3496">
        <v>1</v>
      </c>
      <c r="K3496">
        <v>8</v>
      </c>
    </row>
    <row r="3497" spans="1:11" x14ac:dyDescent="0.35">
      <c r="A3497" t="s">
        <v>3534</v>
      </c>
      <c r="B3497">
        <v>83</v>
      </c>
      <c r="C3497" t="s">
        <v>12</v>
      </c>
      <c r="D3497" t="s">
        <v>30</v>
      </c>
      <c r="E3497">
        <v>13</v>
      </c>
      <c r="F3497" t="s">
        <v>14</v>
      </c>
      <c r="G3497" t="s">
        <v>37</v>
      </c>
      <c r="H3497" s="1">
        <v>0</v>
      </c>
      <c r="I3497" t="s">
        <v>16</v>
      </c>
      <c r="J3497">
        <v>1</v>
      </c>
      <c r="K3497">
        <v>6</v>
      </c>
    </row>
    <row r="3498" spans="1:11" x14ac:dyDescent="0.35">
      <c r="A3498" t="s">
        <v>3535</v>
      </c>
      <c r="B3498">
        <v>46</v>
      </c>
      <c r="C3498" t="s">
        <v>12</v>
      </c>
      <c r="D3498" t="s">
        <v>19</v>
      </c>
      <c r="E3498">
        <v>23</v>
      </c>
      <c r="F3498" t="s">
        <v>33</v>
      </c>
      <c r="G3498" t="s">
        <v>37</v>
      </c>
      <c r="H3498" s="1">
        <v>137.66999999999999</v>
      </c>
      <c r="I3498" t="s">
        <v>24</v>
      </c>
      <c r="J3498">
        <v>4</v>
      </c>
      <c r="K3498">
        <v>3</v>
      </c>
    </row>
    <row r="3499" spans="1:11" x14ac:dyDescent="0.35">
      <c r="A3499" t="s">
        <v>3536</v>
      </c>
      <c r="B3499">
        <v>45</v>
      </c>
      <c r="C3499" t="s">
        <v>12</v>
      </c>
      <c r="D3499" t="s">
        <v>21</v>
      </c>
      <c r="E3499">
        <v>24</v>
      </c>
      <c r="F3499" t="s">
        <v>33</v>
      </c>
      <c r="G3499" t="s">
        <v>34</v>
      </c>
      <c r="H3499" s="1">
        <v>120.09</v>
      </c>
      <c r="I3499" t="s">
        <v>24</v>
      </c>
      <c r="J3499">
        <v>4</v>
      </c>
      <c r="K3499">
        <v>3</v>
      </c>
    </row>
    <row r="3500" spans="1:11" x14ac:dyDescent="0.35">
      <c r="A3500" t="s">
        <v>3537</v>
      </c>
      <c r="B3500">
        <v>68</v>
      </c>
      <c r="C3500" t="s">
        <v>18</v>
      </c>
      <c r="D3500" t="s">
        <v>21</v>
      </c>
      <c r="E3500">
        <v>12</v>
      </c>
      <c r="F3500" t="s">
        <v>22</v>
      </c>
      <c r="G3500" t="s">
        <v>15</v>
      </c>
      <c r="H3500" s="1">
        <v>326.91000000000003</v>
      </c>
      <c r="I3500" t="s">
        <v>28</v>
      </c>
      <c r="J3500">
        <v>3</v>
      </c>
      <c r="K3500">
        <v>8</v>
      </c>
    </row>
    <row r="3501" spans="1:11" x14ac:dyDescent="0.35">
      <c r="A3501" t="s">
        <v>3538</v>
      </c>
      <c r="B3501">
        <v>82</v>
      </c>
      <c r="C3501" t="s">
        <v>18</v>
      </c>
      <c r="D3501" t="s">
        <v>41</v>
      </c>
      <c r="E3501">
        <v>7</v>
      </c>
      <c r="F3501" t="s">
        <v>14</v>
      </c>
      <c r="G3501" t="s">
        <v>34</v>
      </c>
      <c r="H3501" s="1">
        <v>0</v>
      </c>
      <c r="I3501" t="s">
        <v>16</v>
      </c>
      <c r="J3501">
        <v>0</v>
      </c>
      <c r="K3501">
        <v>7</v>
      </c>
    </row>
    <row r="3502" spans="1:11" x14ac:dyDescent="0.35">
      <c r="A3502" t="s">
        <v>3539</v>
      </c>
      <c r="B3502">
        <v>81</v>
      </c>
      <c r="C3502" t="s">
        <v>18</v>
      </c>
      <c r="D3502" t="s">
        <v>21</v>
      </c>
      <c r="E3502">
        <v>36</v>
      </c>
      <c r="F3502" t="s">
        <v>33</v>
      </c>
      <c r="G3502" t="s">
        <v>37</v>
      </c>
      <c r="H3502" s="1">
        <v>177.34</v>
      </c>
      <c r="I3502" t="s">
        <v>24</v>
      </c>
      <c r="J3502">
        <v>2</v>
      </c>
      <c r="K3502">
        <v>5</v>
      </c>
    </row>
    <row r="3503" spans="1:11" x14ac:dyDescent="0.35">
      <c r="A3503" t="s">
        <v>3540</v>
      </c>
      <c r="B3503">
        <v>65</v>
      </c>
      <c r="C3503" t="s">
        <v>18</v>
      </c>
      <c r="D3503" t="s">
        <v>19</v>
      </c>
      <c r="E3503">
        <v>6</v>
      </c>
      <c r="F3503" t="s">
        <v>22</v>
      </c>
      <c r="G3503" t="s">
        <v>27</v>
      </c>
      <c r="H3503" s="1">
        <v>174.91</v>
      </c>
      <c r="I3503" t="s">
        <v>24</v>
      </c>
      <c r="J3503">
        <v>0</v>
      </c>
      <c r="K3503">
        <v>9</v>
      </c>
    </row>
    <row r="3504" spans="1:11" x14ac:dyDescent="0.35">
      <c r="A3504" t="s">
        <v>3541</v>
      </c>
      <c r="B3504">
        <v>21</v>
      </c>
      <c r="C3504" t="s">
        <v>18</v>
      </c>
      <c r="D3504" t="s">
        <v>19</v>
      </c>
      <c r="E3504">
        <v>6</v>
      </c>
      <c r="F3504" t="s">
        <v>22</v>
      </c>
      <c r="G3504" t="s">
        <v>15</v>
      </c>
      <c r="H3504" s="1">
        <v>301.97000000000003</v>
      </c>
      <c r="I3504" t="s">
        <v>28</v>
      </c>
      <c r="J3504">
        <v>0</v>
      </c>
      <c r="K3504">
        <v>7</v>
      </c>
    </row>
    <row r="3505" spans="1:11" x14ac:dyDescent="0.35">
      <c r="A3505" t="s">
        <v>3542</v>
      </c>
      <c r="B3505">
        <v>25</v>
      </c>
      <c r="C3505" t="s">
        <v>189</v>
      </c>
      <c r="D3505" t="s">
        <v>21</v>
      </c>
      <c r="E3505">
        <v>48</v>
      </c>
      <c r="F3505" t="s">
        <v>31</v>
      </c>
      <c r="G3505" t="s">
        <v>37</v>
      </c>
      <c r="H3505" s="1">
        <v>134.54</v>
      </c>
      <c r="I3505" t="s">
        <v>24</v>
      </c>
      <c r="J3505">
        <v>1</v>
      </c>
      <c r="K3505">
        <v>4</v>
      </c>
    </row>
    <row r="3506" spans="1:11" x14ac:dyDescent="0.35">
      <c r="A3506" t="s">
        <v>3543</v>
      </c>
      <c r="B3506">
        <v>82</v>
      </c>
      <c r="C3506" t="s">
        <v>12</v>
      </c>
      <c r="D3506" t="s">
        <v>41</v>
      </c>
      <c r="E3506">
        <v>5</v>
      </c>
      <c r="F3506" t="s">
        <v>22</v>
      </c>
      <c r="G3506" t="s">
        <v>37</v>
      </c>
      <c r="H3506" s="1">
        <v>205.2</v>
      </c>
      <c r="I3506" t="s">
        <v>24</v>
      </c>
      <c r="J3506">
        <v>0</v>
      </c>
      <c r="K3506">
        <v>7</v>
      </c>
    </row>
    <row r="3507" spans="1:11" x14ac:dyDescent="0.35">
      <c r="A3507" t="s">
        <v>3544</v>
      </c>
      <c r="B3507">
        <v>38</v>
      </c>
      <c r="C3507" t="s">
        <v>18</v>
      </c>
      <c r="D3507" t="s">
        <v>120</v>
      </c>
      <c r="E3507">
        <v>21</v>
      </c>
      <c r="F3507" t="s">
        <v>26</v>
      </c>
      <c r="G3507" t="s">
        <v>34</v>
      </c>
      <c r="H3507" s="1">
        <v>169.61</v>
      </c>
      <c r="I3507" t="s">
        <v>24</v>
      </c>
      <c r="J3507">
        <v>1</v>
      </c>
      <c r="K3507">
        <v>1</v>
      </c>
    </row>
    <row r="3508" spans="1:11" x14ac:dyDescent="0.35">
      <c r="A3508" t="s">
        <v>3545</v>
      </c>
      <c r="B3508">
        <v>75</v>
      </c>
      <c r="C3508" t="s">
        <v>12</v>
      </c>
      <c r="D3508" t="s">
        <v>19</v>
      </c>
      <c r="E3508">
        <v>22</v>
      </c>
      <c r="F3508" t="s">
        <v>33</v>
      </c>
      <c r="G3508" t="s">
        <v>34</v>
      </c>
      <c r="H3508" s="1">
        <v>200.28</v>
      </c>
      <c r="I3508" t="s">
        <v>28</v>
      </c>
      <c r="J3508">
        <v>1</v>
      </c>
      <c r="K3508">
        <v>3</v>
      </c>
    </row>
    <row r="3509" spans="1:11" x14ac:dyDescent="0.35">
      <c r="A3509" t="s">
        <v>3546</v>
      </c>
      <c r="B3509">
        <v>49</v>
      </c>
      <c r="C3509" t="s">
        <v>12</v>
      </c>
      <c r="D3509" t="s">
        <v>19</v>
      </c>
      <c r="E3509">
        <v>9</v>
      </c>
      <c r="F3509" t="s">
        <v>14</v>
      </c>
      <c r="G3509" t="s">
        <v>23</v>
      </c>
      <c r="H3509" s="1">
        <v>0</v>
      </c>
      <c r="I3509" t="s">
        <v>16</v>
      </c>
      <c r="J3509">
        <v>0</v>
      </c>
      <c r="K3509">
        <v>5</v>
      </c>
    </row>
    <row r="3510" spans="1:11" x14ac:dyDescent="0.35">
      <c r="A3510" t="s">
        <v>3547</v>
      </c>
      <c r="B3510">
        <v>47</v>
      </c>
      <c r="C3510" t="s">
        <v>18</v>
      </c>
      <c r="D3510" t="s">
        <v>21</v>
      </c>
      <c r="E3510">
        <v>40</v>
      </c>
      <c r="F3510" t="s">
        <v>22</v>
      </c>
      <c r="G3510" t="s">
        <v>15</v>
      </c>
      <c r="H3510" s="1">
        <v>446.74</v>
      </c>
      <c r="I3510" t="s">
        <v>28</v>
      </c>
      <c r="J3510">
        <v>2</v>
      </c>
      <c r="K3510">
        <v>3</v>
      </c>
    </row>
    <row r="3511" spans="1:11" x14ac:dyDescent="0.35">
      <c r="A3511" t="s">
        <v>3548</v>
      </c>
      <c r="B3511">
        <v>57</v>
      </c>
      <c r="C3511" t="s">
        <v>12</v>
      </c>
      <c r="D3511" t="s">
        <v>21</v>
      </c>
      <c r="E3511">
        <v>43</v>
      </c>
      <c r="F3511" t="s">
        <v>26</v>
      </c>
      <c r="G3511" t="s">
        <v>34</v>
      </c>
      <c r="H3511" s="1">
        <v>160.4</v>
      </c>
      <c r="I3511" t="s">
        <v>24</v>
      </c>
      <c r="J3511">
        <v>0</v>
      </c>
      <c r="K3511">
        <v>2</v>
      </c>
    </row>
    <row r="3512" spans="1:11" x14ac:dyDescent="0.35">
      <c r="A3512" t="s">
        <v>3549</v>
      </c>
      <c r="B3512">
        <v>74</v>
      </c>
      <c r="C3512" t="s">
        <v>12</v>
      </c>
      <c r="D3512" t="s">
        <v>13</v>
      </c>
      <c r="E3512">
        <v>13</v>
      </c>
      <c r="F3512" t="s">
        <v>26</v>
      </c>
      <c r="G3512" t="s">
        <v>15</v>
      </c>
      <c r="H3512" s="1">
        <v>278.13</v>
      </c>
      <c r="I3512" t="s">
        <v>24</v>
      </c>
      <c r="J3512">
        <v>0</v>
      </c>
      <c r="K3512">
        <v>4</v>
      </c>
    </row>
    <row r="3513" spans="1:11" x14ac:dyDescent="0.35">
      <c r="A3513" t="s">
        <v>3550</v>
      </c>
      <c r="B3513">
        <v>65</v>
      </c>
      <c r="C3513" t="s">
        <v>18</v>
      </c>
      <c r="D3513" t="s">
        <v>13</v>
      </c>
      <c r="E3513">
        <v>16</v>
      </c>
      <c r="F3513" t="s">
        <v>22</v>
      </c>
      <c r="G3513" t="s">
        <v>15</v>
      </c>
      <c r="H3513" s="1">
        <v>203.21</v>
      </c>
      <c r="I3513" t="s">
        <v>24</v>
      </c>
      <c r="J3513">
        <v>3</v>
      </c>
      <c r="K3513">
        <v>7</v>
      </c>
    </row>
    <row r="3514" spans="1:11" x14ac:dyDescent="0.35">
      <c r="A3514" t="s">
        <v>3551</v>
      </c>
      <c r="B3514">
        <v>28</v>
      </c>
      <c r="C3514" t="s">
        <v>12</v>
      </c>
      <c r="D3514" t="s">
        <v>21</v>
      </c>
      <c r="E3514">
        <v>31</v>
      </c>
      <c r="F3514" t="s">
        <v>31</v>
      </c>
      <c r="G3514" t="s">
        <v>27</v>
      </c>
      <c r="H3514" s="1">
        <v>105.76</v>
      </c>
      <c r="I3514" t="s">
        <v>24</v>
      </c>
      <c r="J3514">
        <v>1</v>
      </c>
      <c r="K3514">
        <v>4</v>
      </c>
    </row>
    <row r="3515" spans="1:11" x14ac:dyDescent="0.35">
      <c r="A3515" t="s">
        <v>3552</v>
      </c>
      <c r="B3515">
        <v>47</v>
      </c>
      <c r="C3515" t="s">
        <v>12</v>
      </c>
      <c r="D3515" t="s">
        <v>21</v>
      </c>
      <c r="E3515">
        <v>36</v>
      </c>
      <c r="F3515" t="s">
        <v>31</v>
      </c>
      <c r="G3515" t="s">
        <v>37</v>
      </c>
      <c r="H3515" s="1">
        <v>145.28</v>
      </c>
      <c r="I3515" t="s">
        <v>24</v>
      </c>
      <c r="J3515">
        <v>2</v>
      </c>
      <c r="K3515">
        <v>5</v>
      </c>
    </row>
    <row r="3516" spans="1:11" x14ac:dyDescent="0.35">
      <c r="A3516" t="s">
        <v>3553</v>
      </c>
      <c r="B3516">
        <v>54</v>
      </c>
      <c r="C3516" t="s">
        <v>18</v>
      </c>
      <c r="D3516" t="s">
        <v>30</v>
      </c>
      <c r="E3516">
        <v>5</v>
      </c>
      <c r="F3516" t="s">
        <v>26</v>
      </c>
      <c r="G3516" t="s">
        <v>15</v>
      </c>
      <c r="H3516" s="1">
        <v>159.01</v>
      </c>
      <c r="I3516" t="s">
        <v>24</v>
      </c>
      <c r="J3516">
        <v>1</v>
      </c>
      <c r="K3516">
        <v>8</v>
      </c>
    </row>
    <row r="3517" spans="1:11" x14ac:dyDescent="0.35">
      <c r="A3517" t="s">
        <v>3554</v>
      </c>
      <c r="B3517">
        <v>43</v>
      </c>
      <c r="C3517" t="s">
        <v>12</v>
      </c>
      <c r="D3517" t="s">
        <v>30</v>
      </c>
      <c r="E3517">
        <v>13</v>
      </c>
      <c r="F3517" t="s">
        <v>33</v>
      </c>
      <c r="G3517" t="s">
        <v>37</v>
      </c>
      <c r="H3517" s="1">
        <v>123.08</v>
      </c>
      <c r="I3517" t="s">
        <v>24</v>
      </c>
      <c r="J3517">
        <v>1</v>
      </c>
      <c r="K3517">
        <v>6</v>
      </c>
    </row>
    <row r="3518" spans="1:11" x14ac:dyDescent="0.35">
      <c r="A3518" t="s">
        <v>3555</v>
      </c>
      <c r="B3518">
        <v>26</v>
      </c>
      <c r="C3518" t="s">
        <v>12</v>
      </c>
      <c r="D3518" t="s">
        <v>41</v>
      </c>
      <c r="E3518">
        <v>4</v>
      </c>
      <c r="F3518" t="s">
        <v>22</v>
      </c>
      <c r="G3518" t="s">
        <v>37</v>
      </c>
      <c r="H3518" s="1">
        <v>181.3</v>
      </c>
      <c r="I3518" t="s">
        <v>24</v>
      </c>
      <c r="J3518">
        <v>0</v>
      </c>
      <c r="K3518">
        <v>8</v>
      </c>
    </row>
    <row r="3519" spans="1:11" x14ac:dyDescent="0.35">
      <c r="A3519" t="s">
        <v>3556</v>
      </c>
      <c r="B3519">
        <v>33</v>
      </c>
      <c r="C3519" t="s">
        <v>18</v>
      </c>
      <c r="D3519" t="s">
        <v>200</v>
      </c>
      <c r="E3519">
        <v>11</v>
      </c>
      <c r="F3519" t="s">
        <v>33</v>
      </c>
      <c r="G3519" t="s">
        <v>27</v>
      </c>
      <c r="H3519" s="1">
        <v>174.98</v>
      </c>
      <c r="I3519" t="s">
        <v>24</v>
      </c>
      <c r="J3519">
        <v>2</v>
      </c>
      <c r="K3519">
        <v>6</v>
      </c>
    </row>
    <row r="3520" spans="1:11" x14ac:dyDescent="0.35">
      <c r="A3520" t="s">
        <v>3557</v>
      </c>
      <c r="B3520">
        <v>25</v>
      </c>
      <c r="C3520" t="s">
        <v>12</v>
      </c>
      <c r="D3520" t="s">
        <v>13</v>
      </c>
      <c r="E3520">
        <v>19</v>
      </c>
      <c r="F3520" t="s">
        <v>14</v>
      </c>
      <c r="G3520" t="s">
        <v>27</v>
      </c>
      <c r="H3520" s="1">
        <v>0</v>
      </c>
      <c r="I3520" t="s">
        <v>16</v>
      </c>
      <c r="J3520">
        <v>0</v>
      </c>
      <c r="K3520">
        <v>2</v>
      </c>
    </row>
    <row r="3521" spans="1:11" x14ac:dyDescent="0.35">
      <c r="A3521" t="s">
        <v>3558</v>
      </c>
      <c r="B3521">
        <v>39</v>
      </c>
      <c r="C3521" t="s">
        <v>12</v>
      </c>
      <c r="D3521" t="s">
        <v>47</v>
      </c>
      <c r="E3521">
        <v>6</v>
      </c>
      <c r="F3521" t="s">
        <v>26</v>
      </c>
      <c r="G3521" t="s">
        <v>37</v>
      </c>
      <c r="H3521" s="1">
        <v>116.09</v>
      </c>
      <c r="I3521" t="s">
        <v>24</v>
      </c>
      <c r="J3521">
        <v>0</v>
      </c>
      <c r="K3521">
        <v>8</v>
      </c>
    </row>
    <row r="3522" spans="1:11" x14ac:dyDescent="0.35">
      <c r="A3522" t="s">
        <v>3559</v>
      </c>
      <c r="B3522">
        <v>78</v>
      </c>
      <c r="C3522" t="s">
        <v>12</v>
      </c>
      <c r="D3522" t="s">
        <v>13</v>
      </c>
      <c r="E3522">
        <v>21</v>
      </c>
      <c r="F3522" t="s">
        <v>22</v>
      </c>
      <c r="G3522" t="s">
        <v>15</v>
      </c>
      <c r="H3522" s="1">
        <v>320.14999999999998</v>
      </c>
      <c r="I3522" t="s">
        <v>24</v>
      </c>
      <c r="J3522">
        <v>4</v>
      </c>
      <c r="K3522">
        <v>4</v>
      </c>
    </row>
    <row r="3523" spans="1:11" x14ac:dyDescent="0.35">
      <c r="A3523" t="s">
        <v>3560</v>
      </c>
      <c r="B3523">
        <v>45</v>
      </c>
      <c r="C3523" t="s">
        <v>18</v>
      </c>
      <c r="D3523" t="s">
        <v>244</v>
      </c>
      <c r="E3523">
        <v>12</v>
      </c>
      <c r="F3523" t="s">
        <v>22</v>
      </c>
      <c r="G3523" t="s">
        <v>23</v>
      </c>
      <c r="H3523" s="1">
        <v>510.14</v>
      </c>
      <c r="I3523" t="s">
        <v>24</v>
      </c>
      <c r="J3523">
        <v>3</v>
      </c>
      <c r="K3523">
        <v>6</v>
      </c>
    </row>
    <row r="3524" spans="1:11" x14ac:dyDescent="0.35">
      <c r="A3524" t="s">
        <v>3561</v>
      </c>
      <c r="B3524">
        <v>19</v>
      </c>
      <c r="C3524" t="s">
        <v>12</v>
      </c>
      <c r="D3524" t="s">
        <v>21</v>
      </c>
      <c r="E3524">
        <v>18</v>
      </c>
      <c r="F3524" t="s">
        <v>31</v>
      </c>
      <c r="G3524" t="s">
        <v>15</v>
      </c>
      <c r="H3524" s="1">
        <v>424.73</v>
      </c>
      <c r="I3524" t="s">
        <v>24</v>
      </c>
      <c r="J3524">
        <v>0</v>
      </c>
      <c r="K3524">
        <v>7</v>
      </c>
    </row>
    <row r="3525" spans="1:11" x14ac:dyDescent="0.35">
      <c r="A3525" t="s">
        <v>3562</v>
      </c>
      <c r="B3525">
        <v>39</v>
      </c>
      <c r="C3525" t="s">
        <v>18</v>
      </c>
      <c r="D3525" t="s">
        <v>21</v>
      </c>
      <c r="E3525">
        <v>37</v>
      </c>
      <c r="F3525" t="s">
        <v>22</v>
      </c>
      <c r="G3525" t="s">
        <v>15</v>
      </c>
      <c r="H3525" s="1">
        <v>153.79</v>
      </c>
      <c r="I3525" t="s">
        <v>24</v>
      </c>
      <c r="J3525">
        <v>2</v>
      </c>
      <c r="K3525">
        <v>3</v>
      </c>
    </row>
    <row r="3526" spans="1:11" x14ac:dyDescent="0.35">
      <c r="A3526" t="s">
        <v>3563</v>
      </c>
      <c r="B3526">
        <v>78</v>
      </c>
      <c r="C3526" t="s">
        <v>12</v>
      </c>
      <c r="D3526" t="s">
        <v>21</v>
      </c>
      <c r="E3526">
        <v>28</v>
      </c>
      <c r="F3526" t="s">
        <v>33</v>
      </c>
      <c r="G3526" t="s">
        <v>15</v>
      </c>
      <c r="H3526" s="1">
        <v>407.28</v>
      </c>
      <c r="I3526" t="s">
        <v>24</v>
      </c>
      <c r="J3526">
        <v>2</v>
      </c>
      <c r="K3526">
        <v>3</v>
      </c>
    </row>
    <row r="3527" spans="1:11" x14ac:dyDescent="0.35">
      <c r="A3527" t="s">
        <v>3564</v>
      </c>
      <c r="B3527">
        <v>34</v>
      </c>
      <c r="C3527" t="s">
        <v>18</v>
      </c>
      <c r="D3527" t="s">
        <v>21</v>
      </c>
      <c r="E3527">
        <v>27</v>
      </c>
      <c r="F3527" t="s">
        <v>22</v>
      </c>
      <c r="G3527" t="s">
        <v>23</v>
      </c>
      <c r="H3527" s="1">
        <v>477.03</v>
      </c>
      <c r="I3527" t="s">
        <v>24</v>
      </c>
      <c r="J3527">
        <v>2</v>
      </c>
      <c r="K3527">
        <v>5</v>
      </c>
    </row>
    <row r="3528" spans="1:11" x14ac:dyDescent="0.35">
      <c r="A3528" t="s">
        <v>3565</v>
      </c>
      <c r="B3528">
        <v>85</v>
      </c>
      <c r="C3528" t="s">
        <v>12</v>
      </c>
      <c r="D3528" t="s">
        <v>19</v>
      </c>
      <c r="E3528">
        <v>13</v>
      </c>
      <c r="F3528" t="s">
        <v>14</v>
      </c>
      <c r="G3528" t="s">
        <v>37</v>
      </c>
      <c r="H3528" s="1">
        <v>0</v>
      </c>
      <c r="I3528" t="s">
        <v>16</v>
      </c>
      <c r="J3528">
        <v>2</v>
      </c>
      <c r="K3528">
        <v>7</v>
      </c>
    </row>
    <row r="3529" spans="1:11" x14ac:dyDescent="0.35">
      <c r="A3529" t="s">
        <v>3566</v>
      </c>
      <c r="B3529">
        <v>52</v>
      </c>
      <c r="C3529" t="s">
        <v>12</v>
      </c>
      <c r="D3529" t="s">
        <v>19</v>
      </c>
      <c r="E3529">
        <v>18</v>
      </c>
      <c r="F3529" t="s">
        <v>31</v>
      </c>
      <c r="G3529" t="s">
        <v>27</v>
      </c>
      <c r="H3529" s="1">
        <v>93.24</v>
      </c>
      <c r="I3529" t="s">
        <v>24</v>
      </c>
      <c r="J3529">
        <v>3</v>
      </c>
      <c r="K3529">
        <v>5</v>
      </c>
    </row>
    <row r="3530" spans="1:11" x14ac:dyDescent="0.35">
      <c r="A3530" t="s">
        <v>3567</v>
      </c>
      <c r="B3530">
        <v>35</v>
      </c>
      <c r="C3530" t="s">
        <v>12</v>
      </c>
      <c r="D3530" t="s">
        <v>30</v>
      </c>
      <c r="E3530">
        <v>9</v>
      </c>
      <c r="F3530" t="s">
        <v>22</v>
      </c>
      <c r="G3530" t="s">
        <v>37</v>
      </c>
      <c r="H3530" s="1">
        <v>151.38999999999999</v>
      </c>
      <c r="I3530" t="s">
        <v>24</v>
      </c>
      <c r="J3530">
        <v>0</v>
      </c>
      <c r="K3530">
        <v>5</v>
      </c>
    </row>
    <row r="3531" spans="1:11" x14ac:dyDescent="0.35">
      <c r="A3531" t="s">
        <v>3568</v>
      </c>
      <c r="B3531">
        <v>22</v>
      </c>
      <c r="C3531" t="s">
        <v>12</v>
      </c>
      <c r="D3531" t="s">
        <v>41</v>
      </c>
      <c r="E3531">
        <v>2</v>
      </c>
      <c r="F3531" t="s">
        <v>31</v>
      </c>
      <c r="G3531" t="s">
        <v>37</v>
      </c>
      <c r="H3531" s="1">
        <v>171.18</v>
      </c>
      <c r="I3531" t="s">
        <v>28</v>
      </c>
      <c r="J3531">
        <v>0</v>
      </c>
      <c r="K3531">
        <v>8</v>
      </c>
    </row>
    <row r="3532" spans="1:11" x14ac:dyDescent="0.35">
      <c r="A3532" t="s">
        <v>3569</v>
      </c>
      <c r="B3532">
        <v>32</v>
      </c>
      <c r="C3532" t="s">
        <v>12</v>
      </c>
      <c r="D3532" t="s">
        <v>30</v>
      </c>
      <c r="E3532">
        <v>9</v>
      </c>
      <c r="F3532" t="s">
        <v>26</v>
      </c>
      <c r="G3532" t="s">
        <v>37</v>
      </c>
      <c r="H3532" s="1">
        <v>184.35</v>
      </c>
      <c r="I3532" t="s">
        <v>24</v>
      </c>
      <c r="J3532">
        <v>1</v>
      </c>
      <c r="K3532">
        <v>5</v>
      </c>
    </row>
    <row r="3533" spans="1:11" x14ac:dyDescent="0.35">
      <c r="A3533" t="s">
        <v>3570</v>
      </c>
      <c r="B3533">
        <v>61</v>
      </c>
      <c r="C3533" t="s">
        <v>18</v>
      </c>
      <c r="D3533" t="s">
        <v>19</v>
      </c>
      <c r="E3533">
        <v>19</v>
      </c>
      <c r="F3533" t="s">
        <v>33</v>
      </c>
      <c r="G3533" t="s">
        <v>27</v>
      </c>
      <c r="H3533" s="1">
        <v>27.56</v>
      </c>
      <c r="I3533" t="s">
        <v>24</v>
      </c>
      <c r="J3533">
        <v>0</v>
      </c>
      <c r="K3533">
        <v>2</v>
      </c>
    </row>
    <row r="3534" spans="1:11" x14ac:dyDescent="0.35">
      <c r="A3534" t="s">
        <v>3571</v>
      </c>
      <c r="B3534">
        <v>26</v>
      </c>
      <c r="C3534" t="s">
        <v>18</v>
      </c>
      <c r="D3534" t="s">
        <v>19</v>
      </c>
      <c r="E3534">
        <v>10</v>
      </c>
      <c r="F3534" t="s">
        <v>22</v>
      </c>
      <c r="G3534" t="s">
        <v>23</v>
      </c>
      <c r="H3534" s="1">
        <v>511.12</v>
      </c>
      <c r="I3534" t="s">
        <v>24</v>
      </c>
      <c r="J3534">
        <v>3</v>
      </c>
      <c r="K3534">
        <v>4</v>
      </c>
    </row>
    <row r="3535" spans="1:11" x14ac:dyDescent="0.35">
      <c r="A3535" t="s">
        <v>3572</v>
      </c>
      <c r="B3535">
        <v>59</v>
      </c>
      <c r="C3535" t="s">
        <v>12</v>
      </c>
      <c r="D3535" t="s">
        <v>21</v>
      </c>
      <c r="E3535">
        <v>35</v>
      </c>
      <c r="F3535" t="s">
        <v>33</v>
      </c>
      <c r="G3535" t="s">
        <v>37</v>
      </c>
      <c r="H3535" s="1">
        <v>154.9</v>
      </c>
      <c r="I3535" t="s">
        <v>24</v>
      </c>
      <c r="J3535">
        <v>3</v>
      </c>
      <c r="K3535">
        <v>3</v>
      </c>
    </row>
    <row r="3536" spans="1:11" x14ac:dyDescent="0.35">
      <c r="A3536" t="s">
        <v>3573</v>
      </c>
      <c r="B3536">
        <v>23</v>
      </c>
      <c r="C3536" t="s">
        <v>18</v>
      </c>
      <c r="D3536" t="s">
        <v>19</v>
      </c>
      <c r="E3536">
        <v>9</v>
      </c>
      <c r="F3536" t="s">
        <v>33</v>
      </c>
      <c r="G3536" t="s">
        <v>15</v>
      </c>
      <c r="H3536" s="1">
        <v>328.22</v>
      </c>
      <c r="I3536" t="s">
        <v>24</v>
      </c>
      <c r="J3536">
        <v>0</v>
      </c>
      <c r="K3536">
        <v>6</v>
      </c>
    </row>
    <row r="3537" spans="1:11" x14ac:dyDescent="0.35">
      <c r="A3537" t="s">
        <v>3574</v>
      </c>
      <c r="B3537">
        <v>26</v>
      </c>
      <c r="C3537" t="s">
        <v>18</v>
      </c>
      <c r="D3537" t="s">
        <v>13</v>
      </c>
      <c r="E3537">
        <v>20</v>
      </c>
      <c r="F3537" t="s">
        <v>22</v>
      </c>
      <c r="G3537" t="s">
        <v>27</v>
      </c>
      <c r="H3537" s="1">
        <v>130.94999999999999</v>
      </c>
      <c r="I3537" t="s">
        <v>24</v>
      </c>
      <c r="J3537">
        <v>2</v>
      </c>
      <c r="K3537">
        <v>2</v>
      </c>
    </row>
    <row r="3538" spans="1:11" x14ac:dyDescent="0.35">
      <c r="A3538" t="s">
        <v>3575</v>
      </c>
      <c r="B3538">
        <v>35</v>
      </c>
      <c r="C3538" t="s">
        <v>18</v>
      </c>
      <c r="D3538" t="s">
        <v>19</v>
      </c>
      <c r="E3538">
        <v>21</v>
      </c>
      <c r="F3538" t="s">
        <v>26</v>
      </c>
      <c r="G3538" t="s">
        <v>15</v>
      </c>
      <c r="H3538" s="1">
        <v>270.39999999999998</v>
      </c>
      <c r="I3538" t="s">
        <v>24</v>
      </c>
      <c r="J3538">
        <v>2</v>
      </c>
      <c r="K3538">
        <v>3</v>
      </c>
    </row>
    <row r="3539" spans="1:11" x14ac:dyDescent="0.35">
      <c r="A3539" t="s">
        <v>3576</v>
      </c>
      <c r="B3539">
        <v>36</v>
      </c>
      <c r="C3539" t="s">
        <v>12</v>
      </c>
      <c r="D3539" t="s">
        <v>19</v>
      </c>
      <c r="E3539">
        <v>24</v>
      </c>
      <c r="F3539" t="s">
        <v>33</v>
      </c>
      <c r="G3539" t="s">
        <v>34</v>
      </c>
      <c r="H3539" s="1">
        <v>133.51</v>
      </c>
      <c r="I3539" t="s">
        <v>24</v>
      </c>
      <c r="J3539">
        <v>1</v>
      </c>
      <c r="K3539">
        <v>2</v>
      </c>
    </row>
    <row r="3540" spans="1:11" x14ac:dyDescent="0.35">
      <c r="A3540" t="s">
        <v>3577</v>
      </c>
      <c r="B3540">
        <v>38</v>
      </c>
      <c r="C3540" t="s">
        <v>12</v>
      </c>
      <c r="D3540" t="s">
        <v>21</v>
      </c>
      <c r="E3540">
        <v>44</v>
      </c>
      <c r="F3540" t="s">
        <v>33</v>
      </c>
      <c r="G3540" t="s">
        <v>27</v>
      </c>
      <c r="H3540" s="1">
        <v>157.35</v>
      </c>
      <c r="I3540" t="s">
        <v>24</v>
      </c>
      <c r="J3540">
        <v>2</v>
      </c>
      <c r="K3540">
        <v>3</v>
      </c>
    </row>
    <row r="3541" spans="1:11" x14ac:dyDescent="0.35">
      <c r="A3541" t="s">
        <v>3578</v>
      </c>
      <c r="B3541">
        <v>67</v>
      </c>
      <c r="C3541" t="s">
        <v>18</v>
      </c>
      <c r="D3541" t="s">
        <v>19</v>
      </c>
      <c r="E3541">
        <v>12</v>
      </c>
      <c r="F3541" t="s">
        <v>33</v>
      </c>
      <c r="G3541" t="s">
        <v>37</v>
      </c>
      <c r="H3541" s="1">
        <v>129.22999999999999</v>
      </c>
      <c r="I3541" t="s">
        <v>24</v>
      </c>
      <c r="J3541">
        <v>2</v>
      </c>
      <c r="K3541">
        <v>5</v>
      </c>
    </row>
    <row r="3542" spans="1:11" x14ac:dyDescent="0.35">
      <c r="A3542" t="s">
        <v>3579</v>
      </c>
      <c r="B3542">
        <v>46</v>
      </c>
      <c r="C3542" t="s">
        <v>12</v>
      </c>
      <c r="D3542" t="s">
        <v>19</v>
      </c>
      <c r="E3542">
        <v>15</v>
      </c>
      <c r="F3542" t="s">
        <v>22</v>
      </c>
      <c r="G3542" t="s">
        <v>27</v>
      </c>
      <c r="H3542" s="1">
        <v>65.16</v>
      </c>
      <c r="I3542" t="s">
        <v>43</v>
      </c>
      <c r="J3542">
        <v>0</v>
      </c>
      <c r="K3542">
        <v>7</v>
      </c>
    </row>
    <row r="3543" spans="1:11" x14ac:dyDescent="0.35">
      <c r="A3543" t="s">
        <v>3580</v>
      </c>
      <c r="B3543">
        <v>82</v>
      </c>
      <c r="C3543" t="s">
        <v>18</v>
      </c>
      <c r="D3543" t="s">
        <v>30</v>
      </c>
      <c r="E3543">
        <v>7</v>
      </c>
      <c r="F3543" t="s">
        <v>22</v>
      </c>
      <c r="G3543" t="s">
        <v>37</v>
      </c>
      <c r="H3543" s="1">
        <v>103.19</v>
      </c>
      <c r="I3543" t="s">
        <v>24</v>
      </c>
      <c r="J3543">
        <v>0</v>
      </c>
      <c r="K3543">
        <v>10</v>
      </c>
    </row>
    <row r="3544" spans="1:11" x14ac:dyDescent="0.35">
      <c r="A3544" t="s">
        <v>3581</v>
      </c>
      <c r="B3544">
        <v>20</v>
      </c>
      <c r="C3544" t="s">
        <v>18</v>
      </c>
      <c r="D3544" t="s">
        <v>47</v>
      </c>
      <c r="E3544">
        <v>2</v>
      </c>
      <c r="F3544" t="s">
        <v>22</v>
      </c>
      <c r="G3544" t="s">
        <v>15</v>
      </c>
      <c r="H3544" s="1">
        <v>375.8</v>
      </c>
      <c r="I3544" t="s">
        <v>43</v>
      </c>
      <c r="J3544">
        <v>0</v>
      </c>
      <c r="K3544">
        <v>8</v>
      </c>
    </row>
    <row r="3545" spans="1:11" x14ac:dyDescent="0.35">
      <c r="A3545" t="s">
        <v>3582</v>
      </c>
      <c r="B3545">
        <v>43</v>
      </c>
      <c r="C3545" t="s">
        <v>18</v>
      </c>
      <c r="D3545" t="s">
        <v>19</v>
      </c>
      <c r="E3545">
        <v>22</v>
      </c>
      <c r="F3545" t="s">
        <v>22</v>
      </c>
      <c r="G3545" t="s">
        <v>15</v>
      </c>
      <c r="H3545" s="1">
        <v>336.9</v>
      </c>
      <c r="I3545" t="s">
        <v>24</v>
      </c>
      <c r="J3545">
        <v>2</v>
      </c>
      <c r="K3545">
        <v>2</v>
      </c>
    </row>
    <row r="3546" spans="1:11" x14ac:dyDescent="0.35">
      <c r="A3546" t="s">
        <v>3583</v>
      </c>
      <c r="B3546">
        <v>46</v>
      </c>
      <c r="C3546" t="s">
        <v>18</v>
      </c>
      <c r="D3546" t="s">
        <v>57</v>
      </c>
      <c r="E3546">
        <v>46</v>
      </c>
      <c r="F3546" t="s">
        <v>31</v>
      </c>
      <c r="G3546" t="s">
        <v>15</v>
      </c>
      <c r="H3546" s="1">
        <v>399.7</v>
      </c>
      <c r="I3546" t="s">
        <v>24</v>
      </c>
      <c r="J3546">
        <v>3</v>
      </c>
      <c r="K3546">
        <v>4</v>
      </c>
    </row>
    <row r="3547" spans="1:11" x14ac:dyDescent="0.35">
      <c r="A3547" t="s">
        <v>3584</v>
      </c>
      <c r="B3547">
        <v>64</v>
      </c>
      <c r="C3547" t="s">
        <v>12</v>
      </c>
      <c r="D3547" t="s">
        <v>19</v>
      </c>
      <c r="E3547">
        <v>18</v>
      </c>
      <c r="F3547" t="s">
        <v>31</v>
      </c>
      <c r="G3547" t="s">
        <v>34</v>
      </c>
      <c r="H3547" s="1">
        <v>142.94999999999999</v>
      </c>
      <c r="I3547" t="s">
        <v>24</v>
      </c>
      <c r="J3547">
        <v>3</v>
      </c>
      <c r="K3547">
        <v>8</v>
      </c>
    </row>
    <row r="3548" spans="1:11" x14ac:dyDescent="0.35">
      <c r="A3548" t="s">
        <v>3585</v>
      </c>
      <c r="B3548">
        <v>53</v>
      </c>
      <c r="C3548" t="s">
        <v>18</v>
      </c>
      <c r="D3548" t="s">
        <v>30</v>
      </c>
      <c r="E3548">
        <v>13</v>
      </c>
      <c r="F3548" t="s">
        <v>33</v>
      </c>
      <c r="G3548" t="s">
        <v>15</v>
      </c>
      <c r="H3548" s="1">
        <v>439.34</v>
      </c>
      <c r="I3548" t="s">
        <v>24</v>
      </c>
      <c r="J3548">
        <v>2</v>
      </c>
      <c r="K3548">
        <v>8</v>
      </c>
    </row>
    <row r="3549" spans="1:11" x14ac:dyDescent="0.35">
      <c r="A3549" t="s">
        <v>3586</v>
      </c>
      <c r="B3549">
        <v>22</v>
      </c>
      <c r="C3549" t="s">
        <v>18</v>
      </c>
      <c r="D3549" t="s">
        <v>19</v>
      </c>
      <c r="E3549">
        <v>10</v>
      </c>
      <c r="F3549" t="s">
        <v>33</v>
      </c>
      <c r="G3549" t="s">
        <v>23</v>
      </c>
      <c r="H3549" s="1">
        <v>214.39</v>
      </c>
      <c r="I3549" t="s">
        <v>24</v>
      </c>
      <c r="J3549">
        <v>1</v>
      </c>
      <c r="K3549">
        <v>8</v>
      </c>
    </row>
    <row r="3550" spans="1:11" x14ac:dyDescent="0.35">
      <c r="A3550" t="s">
        <v>3587</v>
      </c>
      <c r="B3550">
        <v>65</v>
      </c>
      <c r="C3550" t="s">
        <v>18</v>
      </c>
      <c r="D3550" t="s">
        <v>19</v>
      </c>
      <c r="E3550">
        <v>18</v>
      </c>
      <c r="F3550" t="s">
        <v>33</v>
      </c>
      <c r="G3550" t="s">
        <v>23</v>
      </c>
      <c r="H3550" s="1">
        <v>164.41</v>
      </c>
      <c r="I3550" t="s">
        <v>24</v>
      </c>
      <c r="J3550">
        <v>3</v>
      </c>
      <c r="K3550">
        <v>5</v>
      </c>
    </row>
    <row r="3551" spans="1:11" x14ac:dyDescent="0.35">
      <c r="A3551" t="s">
        <v>3588</v>
      </c>
      <c r="B3551">
        <v>47</v>
      </c>
      <c r="C3551" t="s">
        <v>12</v>
      </c>
      <c r="D3551" t="s">
        <v>30</v>
      </c>
      <c r="E3551">
        <v>9</v>
      </c>
      <c r="F3551" t="s">
        <v>31</v>
      </c>
      <c r="G3551" t="s">
        <v>37</v>
      </c>
      <c r="H3551" s="1">
        <v>150.38</v>
      </c>
      <c r="I3551" t="s">
        <v>28</v>
      </c>
      <c r="J3551">
        <v>1</v>
      </c>
      <c r="K3551">
        <v>6</v>
      </c>
    </row>
    <row r="3552" spans="1:11" x14ac:dyDescent="0.35">
      <c r="A3552" t="s">
        <v>3589</v>
      </c>
      <c r="B3552">
        <v>74</v>
      </c>
      <c r="C3552" t="s">
        <v>18</v>
      </c>
      <c r="D3552" t="s">
        <v>57</v>
      </c>
      <c r="E3552">
        <v>44</v>
      </c>
      <c r="F3552" t="s">
        <v>22</v>
      </c>
      <c r="G3552" t="s">
        <v>34</v>
      </c>
      <c r="H3552" s="1">
        <v>208.76</v>
      </c>
      <c r="I3552" t="s">
        <v>24</v>
      </c>
      <c r="J3552">
        <v>3</v>
      </c>
      <c r="K3552">
        <v>3</v>
      </c>
    </row>
    <row r="3553" spans="1:11" x14ac:dyDescent="0.35">
      <c r="A3553" t="s">
        <v>3590</v>
      </c>
      <c r="B3553">
        <v>35</v>
      </c>
      <c r="C3553" t="s">
        <v>18</v>
      </c>
      <c r="D3553" t="s">
        <v>19</v>
      </c>
      <c r="E3553">
        <v>12</v>
      </c>
      <c r="F3553" t="s">
        <v>33</v>
      </c>
      <c r="G3553" t="s">
        <v>23</v>
      </c>
      <c r="H3553" s="1">
        <v>293.83</v>
      </c>
      <c r="I3553" t="s">
        <v>24</v>
      </c>
      <c r="J3553">
        <v>0</v>
      </c>
      <c r="K3553">
        <v>8</v>
      </c>
    </row>
    <row r="3554" spans="1:11" x14ac:dyDescent="0.35">
      <c r="A3554" t="s">
        <v>3591</v>
      </c>
      <c r="B3554">
        <v>30</v>
      </c>
      <c r="C3554" t="s">
        <v>12</v>
      </c>
      <c r="D3554" t="s">
        <v>19</v>
      </c>
      <c r="E3554">
        <v>10</v>
      </c>
      <c r="F3554" t="s">
        <v>31</v>
      </c>
      <c r="G3554" t="s">
        <v>37</v>
      </c>
      <c r="H3554" s="1">
        <v>212.74</v>
      </c>
      <c r="I3554" t="s">
        <v>43</v>
      </c>
      <c r="J3554">
        <v>0</v>
      </c>
      <c r="K3554">
        <v>4</v>
      </c>
    </row>
    <row r="3555" spans="1:11" x14ac:dyDescent="0.35">
      <c r="A3555" t="s">
        <v>3592</v>
      </c>
      <c r="B3555">
        <v>70</v>
      </c>
      <c r="C3555" t="s">
        <v>18</v>
      </c>
      <c r="D3555" t="s">
        <v>21</v>
      </c>
      <c r="E3555">
        <v>31</v>
      </c>
      <c r="F3555" t="s">
        <v>26</v>
      </c>
      <c r="G3555" t="s">
        <v>27</v>
      </c>
      <c r="H3555" s="1">
        <v>57.71</v>
      </c>
      <c r="I3555" t="s">
        <v>43</v>
      </c>
      <c r="J3555">
        <v>2</v>
      </c>
      <c r="K3555">
        <v>4</v>
      </c>
    </row>
    <row r="3556" spans="1:11" x14ac:dyDescent="0.35">
      <c r="A3556" t="s">
        <v>3593</v>
      </c>
      <c r="B3556">
        <v>27</v>
      </c>
      <c r="C3556" t="s">
        <v>12</v>
      </c>
      <c r="D3556" t="s">
        <v>19</v>
      </c>
      <c r="E3556">
        <v>22</v>
      </c>
      <c r="F3556" t="s">
        <v>14</v>
      </c>
      <c r="G3556" t="s">
        <v>15</v>
      </c>
      <c r="H3556" s="1">
        <v>0</v>
      </c>
      <c r="I3556" t="s">
        <v>16</v>
      </c>
      <c r="J3556">
        <v>2</v>
      </c>
      <c r="K3556">
        <v>3</v>
      </c>
    </row>
    <row r="3557" spans="1:11" x14ac:dyDescent="0.35">
      <c r="A3557" t="s">
        <v>3594</v>
      </c>
      <c r="B3557">
        <v>59</v>
      </c>
      <c r="C3557" t="s">
        <v>12</v>
      </c>
      <c r="D3557" t="s">
        <v>30</v>
      </c>
      <c r="E3557">
        <v>5</v>
      </c>
      <c r="F3557" t="s">
        <v>22</v>
      </c>
      <c r="G3557" t="s">
        <v>27</v>
      </c>
      <c r="H3557" s="1">
        <v>141.01</v>
      </c>
      <c r="I3557" t="s">
        <v>24</v>
      </c>
      <c r="J3557">
        <v>2</v>
      </c>
      <c r="K3557">
        <v>7</v>
      </c>
    </row>
    <row r="3558" spans="1:11" x14ac:dyDescent="0.35">
      <c r="A3558" t="s">
        <v>3595</v>
      </c>
      <c r="B3558">
        <v>82</v>
      </c>
      <c r="C3558" t="s">
        <v>12</v>
      </c>
      <c r="D3558" t="s">
        <v>19</v>
      </c>
      <c r="E3558">
        <v>24</v>
      </c>
      <c r="F3558" t="s">
        <v>14</v>
      </c>
      <c r="G3558" t="s">
        <v>15</v>
      </c>
      <c r="H3558" s="1">
        <v>0</v>
      </c>
      <c r="I3558" t="s">
        <v>16</v>
      </c>
      <c r="J3558">
        <v>2</v>
      </c>
      <c r="K3558">
        <v>2</v>
      </c>
    </row>
    <row r="3559" spans="1:11" x14ac:dyDescent="0.35">
      <c r="A3559" t="s">
        <v>3596</v>
      </c>
      <c r="B3559">
        <v>40</v>
      </c>
      <c r="C3559" t="s">
        <v>18</v>
      </c>
      <c r="D3559" t="s">
        <v>19</v>
      </c>
      <c r="E3559">
        <v>20</v>
      </c>
      <c r="F3559" t="s">
        <v>22</v>
      </c>
      <c r="G3559" t="s">
        <v>27</v>
      </c>
      <c r="H3559" s="1">
        <v>41.3</v>
      </c>
      <c r="I3559" t="s">
        <v>24</v>
      </c>
      <c r="J3559">
        <v>4</v>
      </c>
      <c r="K3559">
        <v>1</v>
      </c>
    </row>
    <row r="3560" spans="1:11" x14ac:dyDescent="0.35">
      <c r="A3560" t="s">
        <v>3597</v>
      </c>
      <c r="B3560">
        <v>30</v>
      </c>
      <c r="C3560" t="s">
        <v>12</v>
      </c>
      <c r="D3560" t="s">
        <v>21</v>
      </c>
      <c r="E3560">
        <v>24</v>
      </c>
      <c r="F3560" t="s">
        <v>22</v>
      </c>
      <c r="G3560" t="s">
        <v>15</v>
      </c>
      <c r="H3560" s="1">
        <v>166.52</v>
      </c>
      <c r="I3560" t="s">
        <v>43</v>
      </c>
      <c r="J3560">
        <v>1</v>
      </c>
      <c r="K3560">
        <v>4</v>
      </c>
    </row>
    <row r="3561" spans="1:11" x14ac:dyDescent="0.35">
      <c r="A3561" t="s">
        <v>3598</v>
      </c>
      <c r="B3561">
        <v>51</v>
      </c>
      <c r="C3561" t="s">
        <v>18</v>
      </c>
      <c r="D3561" t="s">
        <v>19</v>
      </c>
      <c r="E3561">
        <v>9</v>
      </c>
      <c r="F3561" t="s">
        <v>22</v>
      </c>
      <c r="G3561" t="s">
        <v>37</v>
      </c>
      <c r="H3561" s="1">
        <v>168.07</v>
      </c>
      <c r="I3561" t="s">
        <v>24</v>
      </c>
      <c r="J3561">
        <v>0</v>
      </c>
      <c r="K3561">
        <v>5</v>
      </c>
    </row>
    <row r="3562" spans="1:11" x14ac:dyDescent="0.35">
      <c r="A3562" t="s">
        <v>3599</v>
      </c>
      <c r="B3562">
        <v>68</v>
      </c>
      <c r="C3562" t="s">
        <v>18</v>
      </c>
      <c r="D3562" t="s">
        <v>13</v>
      </c>
      <c r="E3562">
        <v>21</v>
      </c>
      <c r="F3562" t="s">
        <v>22</v>
      </c>
      <c r="G3562" t="s">
        <v>37</v>
      </c>
      <c r="H3562" s="1">
        <v>175.42</v>
      </c>
      <c r="I3562" t="s">
        <v>24</v>
      </c>
      <c r="J3562">
        <v>0</v>
      </c>
      <c r="K3562">
        <v>3</v>
      </c>
    </row>
    <row r="3563" spans="1:11" x14ac:dyDescent="0.35">
      <c r="A3563" t="s">
        <v>3600</v>
      </c>
      <c r="B3563">
        <v>21</v>
      </c>
      <c r="C3563" t="s">
        <v>12</v>
      </c>
      <c r="D3563" t="s">
        <v>19</v>
      </c>
      <c r="E3563">
        <v>11</v>
      </c>
      <c r="F3563" t="s">
        <v>33</v>
      </c>
      <c r="G3563" t="s">
        <v>23</v>
      </c>
      <c r="H3563" s="1">
        <v>301.06</v>
      </c>
      <c r="I3563" t="s">
        <v>24</v>
      </c>
      <c r="J3563">
        <v>2</v>
      </c>
      <c r="K3563">
        <v>7</v>
      </c>
    </row>
    <row r="3564" spans="1:11" x14ac:dyDescent="0.35">
      <c r="A3564" t="s">
        <v>3601</v>
      </c>
      <c r="B3564">
        <v>61</v>
      </c>
      <c r="C3564" t="s">
        <v>18</v>
      </c>
      <c r="D3564" t="s">
        <v>21</v>
      </c>
      <c r="E3564">
        <v>13</v>
      </c>
      <c r="F3564" t="s">
        <v>22</v>
      </c>
      <c r="G3564" t="s">
        <v>15</v>
      </c>
      <c r="H3564" s="1">
        <v>88.35</v>
      </c>
      <c r="I3564" t="s">
        <v>43</v>
      </c>
      <c r="J3564">
        <v>2</v>
      </c>
      <c r="K3564">
        <v>5</v>
      </c>
    </row>
    <row r="3565" spans="1:11" x14ac:dyDescent="0.35">
      <c r="A3565" t="s">
        <v>3602</v>
      </c>
      <c r="B3565">
        <v>25</v>
      </c>
      <c r="C3565" t="s">
        <v>12</v>
      </c>
      <c r="D3565" t="s">
        <v>30</v>
      </c>
      <c r="E3565">
        <v>9</v>
      </c>
      <c r="F3565" t="s">
        <v>22</v>
      </c>
      <c r="G3565" t="s">
        <v>34</v>
      </c>
      <c r="H3565" s="1">
        <v>108.83</v>
      </c>
      <c r="I3565" t="s">
        <v>24</v>
      </c>
      <c r="J3565">
        <v>0</v>
      </c>
      <c r="K3565">
        <v>5</v>
      </c>
    </row>
    <row r="3566" spans="1:11" x14ac:dyDescent="0.35">
      <c r="A3566" t="s">
        <v>3603</v>
      </c>
      <c r="B3566">
        <v>68</v>
      </c>
      <c r="C3566" t="s">
        <v>12</v>
      </c>
      <c r="D3566" t="s">
        <v>19</v>
      </c>
      <c r="E3566">
        <v>24</v>
      </c>
      <c r="F3566" t="s">
        <v>14</v>
      </c>
      <c r="G3566" t="s">
        <v>34</v>
      </c>
      <c r="H3566" s="1">
        <v>0</v>
      </c>
      <c r="I3566" t="s">
        <v>16</v>
      </c>
      <c r="J3566">
        <v>3</v>
      </c>
      <c r="K3566">
        <v>3</v>
      </c>
    </row>
    <row r="3567" spans="1:11" x14ac:dyDescent="0.35">
      <c r="A3567" t="s">
        <v>3604</v>
      </c>
      <c r="B3567">
        <v>47</v>
      </c>
      <c r="C3567" t="s">
        <v>18</v>
      </c>
      <c r="D3567" t="s">
        <v>41</v>
      </c>
      <c r="E3567">
        <v>10</v>
      </c>
      <c r="F3567" t="s">
        <v>33</v>
      </c>
      <c r="G3567" t="s">
        <v>23</v>
      </c>
      <c r="H3567" s="1">
        <v>495.91</v>
      </c>
      <c r="I3567" t="s">
        <v>24</v>
      </c>
      <c r="J3567">
        <v>1</v>
      </c>
      <c r="K3567">
        <v>6</v>
      </c>
    </row>
    <row r="3568" spans="1:11" x14ac:dyDescent="0.35">
      <c r="A3568" t="s">
        <v>3605</v>
      </c>
      <c r="B3568">
        <v>56</v>
      </c>
      <c r="C3568" t="s">
        <v>18</v>
      </c>
      <c r="D3568" t="s">
        <v>19</v>
      </c>
      <c r="E3568">
        <v>18</v>
      </c>
      <c r="F3568" t="s">
        <v>22</v>
      </c>
      <c r="G3568" t="s">
        <v>15</v>
      </c>
      <c r="H3568" s="1">
        <v>249.32</v>
      </c>
      <c r="I3568" t="s">
        <v>24</v>
      </c>
      <c r="J3568">
        <v>1</v>
      </c>
      <c r="K3568">
        <v>6</v>
      </c>
    </row>
    <row r="3569" spans="1:11" x14ac:dyDescent="0.35">
      <c r="A3569" t="s">
        <v>3606</v>
      </c>
      <c r="B3569">
        <v>83</v>
      </c>
      <c r="C3569" t="s">
        <v>12</v>
      </c>
      <c r="D3569" t="s">
        <v>13</v>
      </c>
      <c r="E3569">
        <v>16</v>
      </c>
      <c r="F3569" t="s">
        <v>33</v>
      </c>
      <c r="G3569" t="s">
        <v>15</v>
      </c>
      <c r="H3569" s="1">
        <v>114.5</v>
      </c>
      <c r="I3569" t="s">
        <v>28</v>
      </c>
      <c r="J3569">
        <v>1</v>
      </c>
      <c r="K3569">
        <v>8</v>
      </c>
    </row>
    <row r="3570" spans="1:11" x14ac:dyDescent="0.35">
      <c r="A3570" t="s">
        <v>3607</v>
      </c>
      <c r="B3570">
        <v>60</v>
      </c>
      <c r="C3570" t="s">
        <v>18</v>
      </c>
      <c r="D3570" t="s">
        <v>21</v>
      </c>
      <c r="E3570">
        <v>28</v>
      </c>
      <c r="F3570" t="s">
        <v>26</v>
      </c>
      <c r="G3570" t="s">
        <v>23</v>
      </c>
      <c r="H3570" s="1">
        <v>393.64</v>
      </c>
      <c r="I3570" t="s">
        <v>28</v>
      </c>
      <c r="J3570">
        <v>2</v>
      </c>
      <c r="K3570">
        <v>3</v>
      </c>
    </row>
    <row r="3571" spans="1:11" x14ac:dyDescent="0.35">
      <c r="A3571" t="s">
        <v>3608</v>
      </c>
      <c r="B3571">
        <v>22</v>
      </c>
      <c r="C3571" t="s">
        <v>12</v>
      </c>
      <c r="D3571" t="s">
        <v>19</v>
      </c>
      <c r="E3571">
        <v>21</v>
      </c>
      <c r="F3571" t="s">
        <v>31</v>
      </c>
      <c r="G3571" t="s">
        <v>15</v>
      </c>
      <c r="H3571" s="1">
        <v>412.63</v>
      </c>
      <c r="I3571" t="s">
        <v>28</v>
      </c>
      <c r="J3571">
        <v>2</v>
      </c>
      <c r="K3571">
        <v>5</v>
      </c>
    </row>
    <row r="3572" spans="1:11" x14ac:dyDescent="0.35">
      <c r="A3572" t="s">
        <v>3609</v>
      </c>
      <c r="B3572">
        <v>55</v>
      </c>
      <c r="C3572" t="s">
        <v>12</v>
      </c>
      <c r="D3572" t="s">
        <v>30</v>
      </c>
      <c r="E3572">
        <v>10</v>
      </c>
      <c r="F3572" t="s">
        <v>33</v>
      </c>
      <c r="G3572" t="s">
        <v>15</v>
      </c>
      <c r="H3572" s="1">
        <v>275.8</v>
      </c>
      <c r="I3572" t="s">
        <v>24</v>
      </c>
      <c r="J3572">
        <v>0</v>
      </c>
      <c r="K3572">
        <v>8</v>
      </c>
    </row>
    <row r="3573" spans="1:11" x14ac:dyDescent="0.35">
      <c r="A3573" t="s">
        <v>3610</v>
      </c>
      <c r="B3573">
        <v>70</v>
      </c>
      <c r="C3573" t="s">
        <v>12</v>
      </c>
      <c r="D3573" t="s">
        <v>21</v>
      </c>
      <c r="E3573">
        <v>16</v>
      </c>
      <c r="F3573" t="s">
        <v>14</v>
      </c>
      <c r="G3573" t="s">
        <v>34</v>
      </c>
      <c r="H3573" s="1">
        <v>0</v>
      </c>
      <c r="I3573" t="s">
        <v>16</v>
      </c>
      <c r="J3573">
        <v>1</v>
      </c>
      <c r="K3573">
        <v>5</v>
      </c>
    </row>
    <row r="3574" spans="1:11" x14ac:dyDescent="0.35">
      <c r="A3574" t="s">
        <v>3611</v>
      </c>
      <c r="B3574">
        <v>41</v>
      </c>
      <c r="C3574" t="s">
        <v>18</v>
      </c>
      <c r="D3574" t="s">
        <v>19</v>
      </c>
      <c r="E3574">
        <v>16</v>
      </c>
      <c r="F3574" t="s">
        <v>22</v>
      </c>
      <c r="G3574" t="s">
        <v>23</v>
      </c>
      <c r="H3574" s="1">
        <v>562.86</v>
      </c>
      <c r="I3574" t="s">
        <v>24</v>
      </c>
      <c r="J3574">
        <v>0</v>
      </c>
      <c r="K3574">
        <v>4</v>
      </c>
    </row>
    <row r="3575" spans="1:11" x14ac:dyDescent="0.35">
      <c r="A3575" t="s">
        <v>3612</v>
      </c>
      <c r="B3575">
        <v>37</v>
      </c>
      <c r="C3575" t="s">
        <v>12</v>
      </c>
      <c r="D3575" t="s">
        <v>21</v>
      </c>
      <c r="E3575">
        <v>17</v>
      </c>
      <c r="F3575" t="s">
        <v>26</v>
      </c>
      <c r="G3575" t="s">
        <v>27</v>
      </c>
      <c r="H3575" s="1">
        <v>81.680000000000007</v>
      </c>
      <c r="I3575" t="s">
        <v>24</v>
      </c>
      <c r="J3575">
        <v>1</v>
      </c>
      <c r="K3575">
        <v>8</v>
      </c>
    </row>
    <row r="3576" spans="1:11" x14ac:dyDescent="0.35">
      <c r="A3576" t="s">
        <v>3613</v>
      </c>
      <c r="B3576">
        <v>68</v>
      </c>
      <c r="C3576" t="s">
        <v>18</v>
      </c>
      <c r="D3576" t="s">
        <v>19</v>
      </c>
      <c r="E3576">
        <v>13</v>
      </c>
      <c r="F3576" t="s">
        <v>33</v>
      </c>
      <c r="G3576" t="s">
        <v>34</v>
      </c>
      <c r="H3576" s="1">
        <v>121.23</v>
      </c>
      <c r="I3576" t="s">
        <v>24</v>
      </c>
      <c r="J3576">
        <v>2</v>
      </c>
      <c r="K3576">
        <v>6</v>
      </c>
    </row>
    <row r="3577" spans="1:11" x14ac:dyDescent="0.35">
      <c r="A3577" t="s">
        <v>3614</v>
      </c>
      <c r="B3577">
        <v>35</v>
      </c>
      <c r="C3577" t="s">
        <v>18</v>
      </c>
      <c r="D3577" t="s">
        <v>19</v>
      </c>
      <c r="E3577">
        <v>12</v>
      </c>
      <c r="F3577" t="s">
        <v>31</v>
      </c>
      <c r="G3577" t="s">
        <v>34</v>
      </c>
      <c r="H3577" s="1">
        <v>176.53</v>
      </c>
      <c r="I3577" t="s">
        <v>24</v>
      </c>
      <c r="J3577">
        <v>1</v>
      </c>
      <c r="K3577">
        <v>4</v>
      </c>
    </row>
    <row r="3578" spans="1:11" x14ac:dyDescent="0.35">
      <c r="A3578" t="s">
        <v>3615</v>
      </c>
      <c r="B3578">
        <v>29</v>
      </c>
      <c r="C3578" t="s">
        <v>18</v>
      </c>
      <c r="D3578" t="s">
        <v>19</v>
      </c>
      <c r="E3578">
        <v>15</v>
      </c>
      <c r="F3578" t="s">
        <v>22</v>
      </c>
      <c r="G3578" t="s">
        <v>34</v>
      </c>
      <c r="H3578" s="1">
        <v>151.09</v>
      </c>
      <c r="I3578" t="s">
        <v>24</v>
      </c>
      <c r="J3578">
        <v>1</v>
      </c>
      <c r="K3578">
        <v>4</v>
      </c>
    </row>
    <row r="3579" spans="1:11" x14ac:dyDescent="0.35">
      <c r="A3579" t="s">
        <v>3616</v>
      </c>
      <c r="B3579">
        <v>20</v>
      </c>
      <c r="C3579" t="s">
        <v>18</v>
      </c>
      <c r="D3579" t="s">
        <v>21</v>
      </c>
      <c r="E3579">
        <v>46</v>
      </c>
      <c r="F3579" t="s">
        <v>22</v>
      </c>
      <c r="G3579" t="s">
        <v>37</v>
      </c>
      <c r="H3579" s="1">
        <v>137.05000000000001</v>
      </c>
      <c r="I3579" t="s">
        <v>24</v>
      </c>
      <c r="J3579">
        <v>1</v>
      </c>
      <c r="K3579">
        <v>4</v>
      </c>
    </row>
    <row r="3580" spans="1:11" x14ac:dyDescent="0.35">
      <c r="A3580" t="s">
        <v>3617</v>
      </c>
      <c r="B3580">
        <v>27</v>
      </c>
      <c r="C3580" t="s">
        <v>12</v>
      </c>
      <c r="D3580" t="s">
        <v>30</v>
      </c>
      <c r="E3580">
        <v>5</v>
      </c>
      <c r="F3580" t="s">
        <v>33</v>
      </c>
      <c r="G3580" t="s">
        <v>37</v>
      </c>
      <c r="H3580" s="1">
        <v>184.97</v>
      </c>
      <c r="I3580" t="s">
        <v>24</v>
      </c>
      <c r="J3580">
        <v>0</v>
      </c>
      <c r="K3580">
        <v>10</v>
      </c>
    </row>
    <row r="3581" spans="1:11" x14ac:dyDescent="0.35">
      <c r="A3581" t="s">
        <v>3618</v>
      </c>
      <c r="B3581">
        <v>28</v>
      </c>
      <c r="C3581" t="s">
        <v>18</v>
      </c>
      <c r="D3581" t="s">
        <v>21</v>
      </c>
      <c r="E3581">
        <v>34</v>
      </c>
      <c r="F3581" t="s">
        <v>26</v>
      </c>
      <c r="G3581" t="s">
        <v>34</v>
      </c>
      <c r="H3581" s="1">
        <v>116.78</v>
      </c>
      <c r="I3581" t="s">
        <v>24</v>
      </c>
      <c r="J3581">
        <v>2</v>
      </c>
      <c r="K3581">
        <v>3</v>
      </c>
    </row>
    <row r="3582" spans="1:11" x14ac:dyDescent="0.35">
      <c r="A3582" t="s">
        <v>3619</v>
      </c>
      <c r="B3582">
        <v>31</v>
      </c>
      <c r="C3582" t="s">
        <v>12</v>
      </c>
      <c r="D3582" t="s">
        <v>13</v>
      </c>
      <c r="E3582">
        <v>20</v>
      </c>
      <c r="F3582" t="s">
        <v>33</v>
      </c>
      <c r="G3582" t="s">
        <v>37</v>
      </c>
      <c r="H3582" s="1">
        <v>196.15</v>
      </c>
      <c r="I3582" t="s">
        <v>24</v>
      </c>
      <c r="J3582">
        <v>3</v>
      </c>
      <c r="K3582">
        <v>5</v>
      </c>
    </row>
    <row r="3583" spans="1:11" x14ac:dyDescent="0.35">
      <c r="A3583" t="s">
        <v>3620</v>
      </c>
      <c r="B3583">
        <v>23</v>
      </c>
      <c r="C3583" t="s">
        <v>12</v>
      </c>
      <c r="D3583" t="s">
        <v>13</v>
      </c>
      <c r="E3583">
        <v>7</v>
      </c>
      <c r="F3583" t="s">
        <v>31</v>
      </c>
      <c r="G3583" t="s">
        <v>37</v>
      </c>
      <c r="H3583" s="1">
        <v>155.46</v>
      </c>
      <c r="I3583" t="s">
        <v>24</v>
      </c>
      <c r="J3583">
        <v>2</v>
      </c>
      <c r="K3583">
        <v>7</v>
      </c>
    </row>
    <row r="3584" spans="1:11" x14ac:dyDescent="0.35">
      <c r="A3584" t="s">
        <v>3621</v>
      </c>
      <c r="B3584">
        <v>39</v>
      </c>
      <c r="C3584" t="s">
        <v>12</v>
      </c>
      <c r="D3584" t="s">
        <v>30</v>
      </c>
      <c r="E3584">
        <v>13</v>
      </c>
      <c r="F3584" t="s">
        <v>22</v>
      </c>
      <c r="G3584" t="s">
        <v>37</v>
      </c>
      <c r="H3584" s="1">
        <v>152.31</v>
      </c>
      <c r="I3584" t="s">
        <v>24</v>
      </c>
      <c r="J3584">
        <v>1</v>
      </c>
      <c r="K3584">
        <v>6</v>
      </c>
    </row>
    <row r="3585" spans="1:11" x14ac:dyDescent="0.35">
      <c r="A3585" t="s">
        <v>3622</v>
      </c>
      <c r="B3585">
        <v>43</v>
      </c>
      <c r="C3585" t="s">
        <v>12</v>
      </c>
      <c r="D3585" t="s">
        <v>47</v>
      </c>
      <c r="E3585">
        <v>6</v>
      </c>
      <c r="F3585" t="s">
        <v>14</v>
      </c>
      <c r="G3585" t="s">
        <v>27</v>
      </c>
      <c r="H3585" s="1">
        <v>0</v>
      </c>
      <c r="I3585" t="s">
        <v>16</v>
      </c>
      <c r="J3585">
        <v>0</v>
      </c>
      <c r="K3585">
        <v>10</v>
      </c>
    </row>
    <row r="3586" spans="1:11" x14ac:dyDescent="0.35">
      <c r="A3586" t="s">
        <v>3623</v>
      </c>
      <c r="B3586">
        <v>26</v>
      </c>
      <c r="C3586" t="s">
        <v>12</v>
      </c>
      <c r="D3586" t="s">
        <v>19</v>
      </c>
      <c r="E3586">
        <v>20</v>
      </c>
      <c r="F3586" t="s">
        <v>26</v>
      </c>
      <c r="G3586" t="s">
        <v>15</v>
      </c>
      <c r="H3586" s="1">
        <v>123.24</v>
      </c>
      <c r="I3586" t="s">
        <v>28</v>
      </c>
      <c r="J3586">
        <v>3</v>
      </c>
      <c r="K3586">
        <v>1</v>
      </c>
    </row>
    <row r="3587" spans="1:11" x14ac:dyDescent="0.35">
      <c r="A3587" t="s">
        <v>3624</v>
      </c>
      <c r="B3587">
        <v>23</v>
      </c>
      <c r="C3587" t="s">
        <v>18</v>
      </c>
      <c r="D3587" t="s">
        <v>19</v>
      </c>
      <c r="E3587">
        <v>17</v>
      </c>
      <c r="F3587" t="s">
        <v>22</v>
      </c>
      <c r="G3587" t="s">
        <v>15</v>
      </c>
      <c r="H3587" s="1">
        <v>448.06</v>
      </c>
      <c r="I3587" t="s">
        <v>24</v>
      </c>
      <c r="J3587">
        <v>3</v>
      </c>
      <c r="K3587">
        <v>8</v>
      </c>
    </row>
    <row r="3588" spans="1:11" x14ac:dyDescent="0.35">
      <c r="A3588" t="s">
        <v>3625</v>
      </c>
      <c r="B3588">
        <v>80</v>
      </c>
      <c r="C3588" t="s">
        <v>12</v>
      </c>
      <c r="D3588" t="s">
        <v>30</v>
      </c>
      <c r="E3588">
        <v>9</v>
      </c>
      <c r="F3588" t="s">
        <v>22</v>
      </c>
      <c r="G3588" t="s">
        <v>34</v>
      </c>
      <c r="H3588" s="1">
        <v>189.74</v>
      </c>
      <c r="I3588" t="s">
        <v>24</v>
      </c>
      <c r="J3588">
        <v>1</v>
      </c>
      <c r="K3588">
        <v>4</v>
      </c>
    </row>
    <row r="3589" spans="1:11" x14ac:dyDescent="0.35">
      <c r="A3589" t="s">
        <v>3626</v>
      </c>
      <c r="B3589">
        <v>27</v>
      </c>
      <c r="C3589" t="s">
        <v>18</v>
      </c>
      <c r="D3589" t="s">
        <v>13</v>
      </c>
      <c r="E3589">
        <v>11</v>
      </c>
      <c r="F3589" t="s">
        <v>26</v>
      </c>
      <c r="G3589" t="s">
        <v>34</v>
      </c>
      <c r="H3589" s="1">
        <v>204.46</v>
      </c>
      <c r="I3589" t="s">
        <v>24</v>
      </c>
      <c r="J3589">
        <v>0</v>
      </c>
      <c r="K3589">
        <v>8</v>
      </c>
    </row>
    <row r="3590" spans="1:11" x14ac:dyDescent="0.35">
      <c r="A3590" t="s">
        <v>3627</v>
      </c>
      <c r="B3590">
        <v>44</v>
      </c>
      <c r="C3590" t="s">
        <v>12</v>
      </c>
      <c r="D3590" t="s">
        <v>21</v>
      </c>
      <c r="E3590">
        <v>43</v>
      </c>
      <c r="F3590" t="s">
        <v>26</v>
      </c>
      <c r="G3590" t="s">
        <v>37</v>
      </c>
      <c r="H3590" s="1">
        <v>180.93</v>
      </c>
      <c r="I3590" t="s">
        <v>24</v>
      </c>
      <c r="J3590">
        <v>1</v>
      </c>
      <c r="K3590">
        <v>5</v>
      </c>
    </row>
    <row r="3591" spans="1:11" x14ac:dyDescent="0.35">
      <c r="A3591" t="s">
        <v>3628</v>
      </c>
      <c r="B3591">
        <v>85</v>
      </c>
      <c r="C3591" t="s">
        <v>12</v>
      </c>
      <c r="D3591" t="s">
        <v>21</v>
      </c>
      <c r="E3591">
        <v>13</v>
      </c>
      <c r="F3591" t="s">
        <v>22</v>
      </c>
      <c r="G3591" t="s">
        <v>37</v>
      </c>
      <c r="H3591" s="1">
        <v>186.01</v>
      </c>
      <c r="I3591" t="s">
        <v>24</v>
      </c>
      <c r="J3591">
        <v>3</v>
      </c>
      <c r="K3591">
        <v>8</v>
      </c>
    </row>
    <row r="3592" spans="1:11" x14ac:dyDescent="0.35">
      <c r="A3592" t="s">
        <v>3629</v>
      </c>
      <c r="B3592">
        <v>72</v>
      </c>
      <c r="C3592" t="s">
        <v>12</v>
      </c>
      <c r="D3592" t="s">
        <v>19</v>
      </c>
      <c r="E3592">
        <v>6</v>
      </c>
      <c r="F3592" t="s">
        <v>22</v>
      </c>
      <c r="G3592" t="s">
        <v>23</v>
      </c>
      <c r="H3592" s="1">
        <v>408.26</v>
      </c>
      <c r="I3592" t="s">
        <v>24</v>
      </c>
      <c r="J3592">
        <v>0</v>
      </c>
      <c r="K3592">
        <v>10</v>
      </c>
    </row>
    <row r="3593" spans="1:11" x14ac:dyDescent="0.35">
      <c r="A3593" t="s">
        <v>3630</v>
      </c>
      <c r="B3593">
        <v>27</v>
      </c>
      <c r="C3593" t="s">
        <v>18</v>
      </c>
      <c r="D3593" t="s">
        <v>244</v>
      </c>
      <c r="E3593">
        <v>12</v>
      </c>
      <c r="F3593" t="s">
        <v>33</v>
      </c>
      <c r="G3593" t="s">
        <v>27</v>
      </c>
      <c r="H3593" s="1">
        <v>78.17</v>
      </c>
      <c r="I3593" t="s">
        <v>24</v>
      </c>
      <c r="J3593">
        <v>0</v>
      </c>
      <c r="K3593">
        <v>5</v>
      </c>
    </row>
    <row r="3594" spans="1:11" x14ac:dyDescent="0.35">
      <c r="A3594" t="s">
        <v>3631</v>
      </c>
      <c r="B3594">
        <v>71</v>
      </c>
      <c r="C3594" t="s">
        <v>12</v>
      </c>
      <c r="D3594" t="s">
        <v>21</v>
      </c>
      <c r="E3594">
        <v>25</v>
      </c>
      <c r="F3594" t="s">
        <v>26</v>
      </c>
      <c r="G3594" t="s">
        <v>27</v>
      </c>
      <c r="H3594" s="1">
        <v>75.3</v>
      </c>
      <c r="I3594" t="s">
        <v>24</v>
      </c>
      <c r="J3594">
        <v>2</v>
      </c>
      <c r="K3594">
        <v>2</v>
      </c>
    </row>
    <row r="3595" spans="1:11" x14ac:dyDescent="0.35">
      <c r="A3595" t="s">
        <v>3632</v>
      </c>
      <c r="B3595">
        <v>57</v>
      </c>
      <c r="C3595" t="s">
        <v>12</v>
      </c>
      <c r="D3595" t="s">
        <v>19</v>
      </c>
      <c r="E3595">
        <v>7</v>
      </c>
      <c r="F3595" t="s">
        <v>33</v>
      </c>
      <c r="G3595" t="s">
        <v>37</v>
      </c>
      <c r="H3595" s="1">
        <v>122.04</v>
      </c>
      <c r="I3595" t="s">
        <v>28</v>
      </c>
      <c r="J3595">
        <v>1</v>
      </c>
      <c r="K3595">
        <v>9</v>
      </c>
    </row>
    <row r="3596" spans="1:11" x14ac:dyDescent="0.35">
      <c r="A3596" t="s">
        <v>3633</v>
      </c>
      <c r="B3596">
        <v>42</v>
      </c>
      <c r="C3596" t="s">
        <v>18</v>
      </c>
      <c r="D3596" t="s">
        <v>47</v>
      </c>
      <c r="E3596">
        <v>3</v>
      </c>
      <c r="F3596" t="s">
        <v>31</v>
      </c>
      <c r="G3596" t="s">
        <v>37</v>
      </c>
      <c r="H3596" s="1">
        <v>106.26</v>
      </c>
      <c r="I3596" t="s">
        <v>24</v>
      </c>
      <c r="J3596">
        <v>0</v>
      </c>
      <c r="K3596">
        <v>7</v>
      </c>
    </row>
    <row r="3597" spans="1:11" x14ac:dyDescent="0.35">
      <c r="A3597" t="s">
        <v>3634</v>
      </c>
      <c r="B3597">
        <v>71</v>
      </c>
      <c r="C3597" t="s">
        <v>12</v>
      </c>
      <c r="D3597" t="s">
        <v>19</v>
      </c>
      <c r="E3597">
        <v>18</v>
      </c>
      <c r="F3597" t="s">
        <v>22</v>
      </c>
      <c r="G3597" t="s">
        <v>23</v>
      </c>
      <c r="H3597" s="1">
        <v>442.16</v>
      </c>
      <c r="I3597" t="s">
        <v>24</v>
      </c>
      <c r="J3597">
        <v>1</v>
      </c>
      <c r="K3597">
        <v>7</v>
      </c>
    </row>
    <row r="3598" spans="1:11" x14ac:dyDescent="0.35">
      <c r="A3598" t="s">
        <v>3635</v>
      </c>
      <c r="B3598">
        <v>79</v>
      </c>
      <c r="C3598" t="s">
        <v>12</v>
      </c>
      <c r="D3598" t="s">
        <v>21</v>
      </c>
      <c r="E3598">
        <v>31</v>
      </c>
      <c r="F3598" t="s">
        <v>31</v>
      </c>
      <c r="G3598" t="s">
        <v>27</v>
      </c>
      <c r="H3598" s="1">
        <v>25.73</v>
      </c>
      <c r="I3598" t="s">
        <v>28</v>
      </c>
      <c r="J3598">
        <v>0</v>
      </c>
      <c r="K3598">
        <v>3</v>
      </c>
    </row>
    <row r="3599" spans="1:11" x14ac:dyDescent="0.35">
      <c r="A3599" t="s">
        <v>3636</v>
      </c>
      <c r="B3599">
        <v>59</v>
      </c>
      <c r="C3599" t="s">
        <v>18</v>
      </c>
      <c r="D3599" t="s">
        <v>19</v>
      </c>
      <c r="E3599">
        <v>17</v>
      </c>
      <c r="F3599" t="s">
        <v>26</v>
      </c>
      <c r="G3599" t="s">
        <v>27</v>
      </c>
      <c r="H3599" s="1">
        <v>64.849999999999994</v>
      </c>
      <c r="I3599" t="s">
        <v>24</v>
      </c>
      <c r="J3599">
        <v>0</v>
      </c>
      <c r="K3599">
        <v>4</v>
      </c>
    </row>
    <row r="3600" spans="1:11" x14ac:dyDescent="0.35">
      <c r="A3600" t="s">
        <v>3637</v>
      </c>
      <c r="B3600">
        <v>38</v>
      </c>
      <c r="C3600" t="s">
        <v>18</v>
      </c>
      <c r="D3600" t="s">
        <v>21</v>
      </c>
      <c r="E3600">
        <v>28</v>
      </c>
      <c r="F3600" t="s">
        <v>26</v>
      </c>
      <c r="G3600" t="s">
        <v>23</v>
      </c>
      <c r="H3600" s="1">
        <v>570.87</v>
      </c>
      <c r="I3600" t="s">
        <v>24</v>
      </c>
      <c r="J3600">
        <v>1</v>
      </c>
      <c r="K3600">
        <v>2</v>
      </c>
    </row>
    <row r="3601" spans="1:11" x14ac:dyDescent="0.35">
      <c r="A3601" t="s">
        <v>3638</v>
      </c>
      <c r="B3601">
        <v>42</v>
      </c>
      <c r="C3601" t="s">
        <v>18</v>
      </c>
      <c r="D3601" t="s">
        <v>21</v>
      </c>
      <c r="E3601">
        <v>45</v>
      </c>
      <c r="F3601" t="s">
        <v>31</v>
      </c>
      <c r="G3601" t="s">
        <v>27</v>
      </c>
      <c r="H3601" s="1">
        <v>176.05</v>
      </c>
      <c r="I3601" t="s">
        <v>24</v>
      </c>
      <c r="J3601">
        <v>2</v>
      </c>
      <c r="K3601">
        <v>5</v>
      </c>
    </row>
    <row r="3602" spans="1:11" x14ac:dyDescent="0.35">
      <c r="A3602" t="s">
        <v>3639</v>
      </c>
      <c r="B3602">
        <v>50</v>
      </c>
      <c r="C3602" t="s">
        <v>12</v>
      </c>
      <c r="D3602" t="s">
        <v>21</v>
      </c>
      <c r="E3602">
        <v>48</v>
      </c>
      <c r="F3602" t="s">
        <v>33</v>
      </c>
      <c r="G3602" t="s">
        <v>27</v>
      </c>
      <c r="H3602" s="1">
        <v>47.7</v>
      </c>
      <c r="I3602" t="s">
        <v>24</v>
      </c>
      <c r="J3602">
        <v>2</v>
      </c>
      <c r="K3602">
        <v>4</v>
      </c>
    </row>
    <row r="3603" spans="1:11" x14ac:dyDescent="0.35">
      <c r="A3603" t="s">
        <v>3640</v>
      </c>
      <c r="B3603">
        <v>20</v>
      </c>
      <c r="C3603" t="s">
        <v>12</v>
      </c>
      <c r="D3603" t="s">
        <v>120</v>
      </c>
      <c r="E3603">
        <v>17</v>
      </c>
      <c r="F3603" t="s">
        <v>22</v>
      </c>
      <c r="G3603" t="s">
        <v>23</v>
      </c>
      <c r="H3603" s="1">
        <v>292.42</v>
      </c>
      <c r="I3603" t="s">
        <v>24</v>
      </c>
      <c r="J3603">
        <v>0</v>
      </c>
      <c r="K3603">
        <v>4</v>
      </c>
    </row>
    <row r="3604" spans="1:11" x14ac:dyDescent="0.35">
      <c r="A3604" t="s">
        <v>3641</v>
      </c>
      <c r="B3604">
        <v>31</v>
      </c>
      <c r="C3604" t="s">
        <v>18</v>
      </c>
      <c r="D3604" t="s">
        <v>19</v>
      </c>
      <c r="E3604">
        <v>14</v>
      </c>
      <c r="F3604" t="s">
        <v>31</v>
      </c>
      <c r="G3604" t="s">
        <v>37</v>
      </c>
      <c r="H3604" s="1">
        <v>176.1</v>
      </c>
      <c r="I3604" t="s">
        <v>24</v>
      </c>
      <c r="J3604">
        <v>1</v>
      </c>
      <c r="K3604">
        <v>4</v>
      </c>
    </row>
    <row r="3605" spans="1:11" x14ac:dyDescent="0.35">
      <c r="A3605" t="s">
        <v>3642</v>
      </c>
      <c r="B3605">
        <v>68</v>
      </c>
      <c r="C3605" t="s">
        <v>12</v>
      </c>
      <c r="D3605" t="s">
        <v>19</v>
      </c>
      <c r="E3605">
        <v>13</v>
      </c>
      <c r="F3605" t="s">
        <v>22</v>
      </c>
      <c r="G3605" t="s">
        <v>15</v>
      </c>
      <c r="H3605" s="1">
        <v>438.55</v>
      </c>
      <c r="I3605" t="s">
        <v>24</v>
      </c>
      <c r="J3605">
        <v>0</v>
      </c>
      <c r="K3605">
        <v>4</v>
      </c>
    </row>
    <row r="3606" spans="1:11" x14ac:dyDescent="0.35">
      <c r="A3606" t="s">
        <v>3643</v>
      </c>
      <c r="B3606">
        <v>32</v>
      </c>
      <c r="C3606" t="s">
        <v>12</v>
      </c>
      <c r="D3606" t="s">
        <v>21</v>
      </c>
      <c r="E3606">
        <v>12</v>
      </c>
      <c r="F3606" t="s">
        <v>31</v>
      </c>
      <c r="G3606" t="s">
        <v>27</v>
      </c>
      <c r="H3606" s="1">
        <v>97.71</v>
      </c>
      <c r="I3606" t="s">
        <v>24</v>
      </c>
      <c r="J3606">
        <v>0</v>
      </c>
      <c r="K3606">
        <v>6</v>
      </c>
    </row>
    <row r="3607" spans="1:11" x14ac:dyDescent="0.35">
      <c r="A3607" t="s">
        <v>3644</v>
      </c>
      <c r="B3607">
        <v>70</v>
      </c>
      <c r="C3607" t="s">
        <v>18</v>
      </c>
      <c r="D3607" t="s">
        <v>19</v>
      </c>
      <c r="E3607">
        <v>8</v>
      </c>
      <c r="F3607" t="s">
        <v>22</v>
      </c>
      <c r="G3607" t="s">
        <v>37</v>
      </c>
      <c r="H3607" s="1">
        <v>174.9</v>
      </c>
      <c r="I3607" t="s">
        <v>24</v>
      </c>
      <c r="J3607">
        <v>0</v>
      </c>
      <c r="K3607">
        <v>7</v>
      </c>
    </row>
    <row r="3608" spans="1:11" x14ac:dyDescent="0.35">
      <c r="A3608" t="s">
        <v>3645</v>
      </c>
      <c r="B3608">
        <v>81</v>
      </c>
      <c r="C3608" t="s">
        <v>18</v>
      </c>
      <c r="D3608" t="s">
        <v>19</v>
      </c>
      <c r="E3608">
        <v>7</v>
      </c>
      <c r="F3608" t="s">
        <v>22</v>
      </c>
      <c r="G3608" t="s">
        <v>27</v>
      </c>
      <c r="H3608" s="1">
        <v>42.16</v>
      </c>
      <c r="I3608" t="s">
        <v>24</v>
      </c>
      <c r="J3608">
        <v>0</v>
      </c>
      <c r="K3608">
        <v>7</v>
      </c>
    </row>
    <row r="3609" spans="1:11" x14ac:dyDescent="0.35">
      <c r="A3609" t="s">
        <v>3646</v>
      </c>
      <c r="B3609">
        <v>18</v>
      </c>
      <c r="C3609" t="s">
        <v>12</v>
      </c>
      <c r="D3609" t="s">
        <v>120</v>
      </c>
      <c r="E3609">
        <v>33</v>
      </c>
      <c r="F3609" t="s">
        <v>26</v>
      </c>
      <c r="G3609" t="s">
        <v>23</v>
      </c>
      <c r="H3609" s="1">
        <v>221.85</v>
      </c>
      <c r="I3609" t="s">
        <v>24</v>
      </c>
      <c r="J3609">
        <v>2</v>
      </c>
      <c r="K3609">
        <v>1</v>
      </c>
    </row>
    <row r="3610" spans="1:11" x14ac:dyDescent="0.35">
      <c r="A3610" t="s">
        <v>3647</v>
      </c>
      <c r="B3610">
        <v>25</v>
      </c>
      <c r="C3610" t="s">
        <v>18</v>
      </c>
      <c r="D3610" t="s">
        <v>13</v>
      </c>
      <c r="E3610">
        <v>14</v>
      </c>
      <c r="F3610" t="s">
        <v>14</v>
      </c>
      <c r="G3610" t="s">
        <v>37</v>
      </c>
      <c r="H3610" s="1">
        <v>0</v>
      </c>
      <c r="I3610" t="s">
        <v>16</v>
      </c>
      <c r="J3610">
        <v>1</v>
      </c>
      <c r="K3610">
        <v>5</v>
      </c>
    </row>
    <row r="3611" spans="1:11" x14ac:dyDescent="0.35">
      <c r="A3611" t="s">
        <v>3648</v>
      </c>
      <c r="B3611">
        <v>39</v>
      </c>
      <c r="C3611" t="s">
        <v>18</v>
      </c>
      <c r="D3611" t="s">
        <v>47</v>
      </c>
      <c r="E3611">
        <v>7</v>
      </c>
      <c r="F3611" t="s">
        <v>22</v>
      </c>
      <c r="G3611" t="s">
        <v>37</v>
      </c>
      <c r="H3611" s="1">
        <v>181.51</v>
      </c>
      <c r="I3611" t="s">
        <v>24</v>
      </c>
      <c r="J3611">
        <v>2</v>
      </c>
      <c r="K3611">
        <v>8</v>
      </c>
    </row>
    <row r="3612" spans="1:11" x14ac:dyDescent="0.35">
      <c r="A3612" t="s">
        <v>3649</v>
      </c>
      <c r="B3612">
        <v>76</v>
      </c>
      <c r="C3612" t="s">
        <v>18</v>
      </c>
      <c r="D3612" t="s">
        <v>19</v>
      </c>
      <c r="E3612">
        <v>14</v>
      </c>
      <c r="F3612" t="s">
        <v>14</v>
      </c>
      <c r="G3612" t="s">
        <v>34</v>
      </c>
      <c r="H3612" s="1">
        <v>0</v>
      </c>
      <c r="I3612" t="s">
        <v>16</v>
      </c>
      <c r="J3612">
        <v>0</v>
      </c>
      <c r="K3612">
        <v>7</v>
      </c>
    </row>
    <row r="3613" spans="1:11" x14ac:dyDescent="0.35">
      <c r="A3613" t="s">
        <v>3650</v>
      </c>
      <c r="B3613">
        <v>43</v>
      </c>
      <c r="C3613" t="s">
        <v>18</v>
      </c>
      <c r="D3613" t="s">
        <v>21</v>
      </c>
      <c r="E3613">
        <v>12</v>
      </c>
      <c r="F3613" t="s">
        <v>22</v>
      </c>
      <c r="G3613" t="s">
        <v>37</v>
      </c>
      <c r="H3613" s="1">
        <v>93.45</v>
      </c>
      <c r="I3613" t="s">
        <v>24</v>
      </c>
      <c r="J3613">
        <v>1</v>
      </c>
      <c r="K3613">
        <v>7</v>
      </c>
    </row>
    <row r="3614" spans="1:11" x14ac:dyDescent="0.35">
      <c r="A3614" t="s">
        <v>3651</v>
      </c>
      <c r="B3614">
        <v>25</v>
      </c>
      <c r="C3614" t="s">
        <v>18</v>
      </c>
      <c r="D3614" t="s">
        <v>30</v>
      </c>
      <c r="E3614">
        <v>12</v>
      </c>
      <c r="F3614" t="s">
        <v>22</v>
      </c>
      <c r="G3614" t="s">
        <v>34</v>
      </c>
      <c r="H3614" s="1">
        <v>97.78</v>
      </c>
      <c r="I3614" t="s">
        <v>28</v>
      </c>
      <c r="J3614">
        <v>3</v>
      </c>
      <c r="K3614">
        <v>5</v>
      </c>
    </row>
    <row r="3615" spans="1:11" x14ac:dyDescent="0.35">
      <c r="A3615" t="s">
        <v>3652</v>
      </c>
      <c r="B3615">
        <v>61</v>
      </c>
      <c r="C3615" t="s">
        <v>12</v>
      </c>
      <c r="D3615" t="s">
        <v>19</v>
      </c>
      <c r="E3615">
        <v>21</v>
      </c>
      <c r="F3615" t="s">
        <v>14</v>
      </c>
      <c r="G3615" t="s">
        <v>27</v>
      </c>
      <c r="H3615" s="1">
        <v>0</v>
      </c>
      <c r="I3615" t="s">
        <v>16</v>
      </c>
      <c r="J3615">
        <v>2</v>
      </c>
      <c r="K3615">
        <v>4</v>
      </c>
    </row>
    <row r="3616" spans="1:11" x14ac:dyDescent="0.35">
      <c r="A3616" t="s">
        <v>3653</v>
      </c>
      <c r="B3616">
        <v>82</v>
      </c>
      <c r="C3616" t="s">
        <v>18</v>
      </c>
      <c r="D3616" t="s">
        <v>21</v>
      </c>
      <c r="E3616">
        <v>44</v>
      </c>
      <c r="F3616" t="s">
        <v>31</v>
      </c>
      <c r="G3616" t="s">
        <v>27</v>
      </c>
      <c r="H3616" s="1">
        <v>114.84</v>
      </c>
      <c r="I3616" t="s">
        <v>24</v>
      </c>
      <c r="J3616">
        <v>3</v>
      </c>
      <c r="K3616">
        <v>2</v>
      </c>
    </row>
    <row r="3617" spans="1:11" x14ac:dyDescent="0.35">
      <c r="A3617" t="s">
        <v>3654</v>
      </c>
      <c r="B3617">
        <v>41</v>
      </c>
      <c r="C3617" t="s">
        <v>12</v>
      </c>
      <c r="D3617" t="s">
        <v>19</v>
      </c>
      <c r="E3617">
        <v>20</v>
      </c>
      <c r="F3617" t="s">
        <v>33</v>
      </c>
      <c r="G3617" t="s">
        <v>37</v>
      </c>
      <c r="H3617" s="1">
        <v>130.71</v>
      </c>
      <c r="I3617" t="s">
        <v>24</v>
      </c>
      <c r="J3617">
        <v>4</v>
      </c>
      <c r="K3617">
        <v>5</v>
      </c>
    </row>
    <row r="3618" spans="1:11" x14ac:dyDescent="0.35">
      <c r="A3618" t="s">
        <v>3655</v>
      </c>
      <c r="B3618">
        <v>47</v>
      </c>
      <c r="C3618" t="s">
        <v>18</v>
      </c>
      <c r="D3618" t="s">
        <v>13</v>
      </c>
      <c r="E3618">
        <v>22</v>
      </c>
      <c r="F3618" t="s">
        <v>33</v>
      </c>
      <c r="G3618" t="s">
        <v>34</v>
      </c>
      <c r="H3618" s="1">
        <v>176.91</v>
      </c>
      <c r="I3618" t="s">
        <v>24</v>
      </c>
      <c r="J3618">
        <v>2</v>
      </c>
      <c r="K3618">
        <v>3</v>
      </c>
    </row>
    <row r="3619" spans="1:11" x14ac:dyDescent="0.35">
      <c r="A3619" t="s">
        <v>3656</v>
      </c>
      <c r="B3619">
        <v>59</v>
      </c>
      <c r="C3619" t="s">
        <v>18</v>
      </c>
      <c r="D3619" t="s">
        <v>21</v>
      </c>
      <c r="E3619">
        <v>19</v>
      </c>
      <c r="F3619" t="s">
        <v>22</v>
      </c>
      <c r="G3619" t="s">
        <v>27</v>
      </c>
      <c r="H3619" s="1">
        <v>137.26</v>
      </c>
      <c r="I3619" t="s">
        <v>24</v>
      </c>
      <c r="J3619">
        <v>2</v>
      </c>
      <c r="K3619">
        <v>3</v>
      </c>
    </row>
    <row r="3620" spans="1:11" x14ac:dyDescent="0.35">
      <c r="A3620" t="s">
        <v>3657</v>
      </c>
      <c r="B3620">
        <v>64</v>
      </c>
      <c r="C3620" t="s">
        <v>18</v>
      </c>
      <c r="D3620" t="s">
        <v>19</v>
      </c>
      <c r="E3620">
        <v>24</v>
      </c>
      <c r="F3620" t="s">
        <v>22</v>
      </c>
      <c r="G3620" t="s">
        <v>15</v>
      </c>
      <c r="H3620" s="1">
        <v>95.03</v>
      </c>
      <c r="I3620" t="s">
        <v>24</v>
      </c>
      <c r="J3620">
        <v>4</v>
      </c>
      <c r="K3620">
        <v>3</v>
      </c>
    </row>
    <row r="3621" spans="1:11" x14ac:dyDescent="0.35">
      <c r="A3621" t="s">
        <v>3658</v>
      </c>
      <c r="B3621">
        <v>32</v>
      </c>
      <c r="C3621" t="s">
        <v>12</v>
      </c>
      <c r="D3621" t="s">
        <v>30</v>
      </c>
      <c r="E3621">
        <v>6</v>
      </c>
      <c r="F3621" t="s">
        <v>22</v>
      </c>
      <c r="G3621" t="s">
        <v>23</v>
      </c>
      <c r="H3621" s="1">
        <v>194.27</v>
      </c>
      <c r="I3621" t="s">
        <v>24</v>
      </c>
      <c r="J3621">
        <v>0</v>
      </c>
      <c r="K3621">
        <v>10</v>
      </c>
    </row>
    <row r="3622" spans="1:11" x14ac:dyDescent="0.35">
      <c r="A3622" t="s">
        <v>3659</v>
      </c>
      <c r="B3622">
        <v>44</v>
      </c>
      <c r="C3622" t="s">
        <v>12</v>
      </c>
      <c r="D3622" t="s">
        <v>13</v>
      </c>
      <c r="E3622">
        <v>23</v>
      </c>
      <c r="F3622" t="s">
        <v>22</v>
      </c>
      <c r="G3622" t="s">
        <v>37</v>
      </c>
      <c r="H3622" s="1">
        <v>214.58</v>
      </c>
      <c r="I3622" t="s">
        <v>24</v>
      </c>
      <c r="J3622">
        <v>1</v>
      </c>
      <c r="K3622">
        <v>5</v>
      </c>
    </row>
    <row r="3623" spans="1:11" x14ac:dyDescent="0.35">
      <c r="A3623" t="s">
        <v>3660</v>
      </c>
      <c r="B3623">
        <v>49</v>
      </c>
      <c r="C3623" t="s">
        <v>12</v>
      </c>
      <c r="D3623" t="s">
        <v>19</v>
      </c>
      <c r="E3623">
        <v>16</v>
      </c>
      <c r="F3623" t="s">
        <v>22</v>
      </c>
      <c r="G3623" t="s">
        <v>34</v>
      </c>
      <c r="H3623" s="1">
        <v>107.45</v>
      </c>
      <c r="I3623" t="s">
        <v>24</v>
      </c>
      <c r="J3623">
        <v>1</v>
      </c>
      <c r="K3623">
        <v>4</v>
      </c>
    </row>
    <row r="3624" spans="1:11" x14ac:dyDescent="0.35">
      <c r="A3624" t="s">
        <v>3661</v>
      </c>
      <c r="B3624">
        <v>48</v>
      </c>
      <c r="C3624" t="s">
        <v>18</v>
      </c>
      <c r="D3624" t="s">
        <v>13</v>
      </c>
      <c r="E3624">
        <v>22</v>
      </c>
      <c r="F3624" t="s">
        <v>33</v>
      </c>
      <c r="G3624" t="s">
        <v>23</v>
      </c>
      <c r="H3624" s="1">
        <v>174.58</v>
      </c>
      <c r="I3624" t="s">
        <v>24</v>
      </c>
      <c r="J3624">
        <v>1</v>
      </c>
      <c r="K3624">
        <v>2</v>
      </c>
    </row>
    <row r="3625" spans="1:11" x14ac:dyDescent="0.35">
      <c r="A3625" t="s">
        <v>3662</v>
      </c>
      <c r="B3625">
        <v>56</v>
      </c>
      <c r="C3625" t="s">
        <v>12</v>
      </c>
      <c r="D3625" t="s">
        <v>19</v>
      </c>
      <c r="E3625">
        <v>9</v>
      </c>
      <c r="F3625" t="s">
        <v>14</v>
      </c>
      <c r="G3625" t="s">
        <v>34</v>
      </c>
      <c r="H3625" s="1">
        <v>0</v>
      </c>
      <c r="I3625" t="s">
        <v>16</v>
      </c>
      <c r="J3625">
        <v>1</v>
      </c>
      <c r="K3625">
        <v>5</v>
      </c>
    </row>
    <row r="3626" spans="1:11" x14ac:dyDescent="0.35">
      <c r="A3626" t="s">
        <v>3663</v>
      </c>
      <c r="B3626">
        <v>64</v>
      </c>
      <c r="C3626" t="s">
        <v>528</v>
      </c>
      <c r="D3626" t="s">
        <v>57</v>
      </c>
      <c r="E3626">
        <v>18</v>
      </c>
      <c r="F3626" t="s">
        <v>31</v>
      </c>
      <c r="G3626" t="s">
        <v>37</v>
      </c>
      <c r="H3626" s="1">
        <v>142.16</v>
      </c>
      <c r="I3626" t="s">
        <v>24</v>
      </c>
      <c r="J3626">
        <v>1</v>
      </c>
      <c r="K3626">
        <v>7</v>
      </c>
    </row>
    <row r="3627" spans="1:11" x14ac:dyDescent="0.35">
      <c r="A3627" t="s">
        <v>3664</v>
      </c>
      <c r="B3627">
        <v>60</v>
      </c>
      <c r="C3627" t="s">
        <v>12</v>
      </c>
      <c r="D3627" t="s">
        <v>21</v>
      </c>
      <c r="E3627">
        <v>31</v>
      </c>
      <c r="F3627" t="s">
        <v>33</v>
      </c>
      <c r="G3627" t="s">
        <v>27</v>
      </c>
      <c r="H3627" s="1">
        <v>76.14</v>
      </c>
      <c r="I3627" t="s">
        <v>24</v>
      </c>
      <c r="J3627">
        <v>2</v>
      </c>
      <c r="K3627">
        <v>4</v>
      </c>
    </row>
    <row r="3628" spans="1:11" x14ac:dyDescent="0.35">
      <c r="A3628" t="s">
        <v>3665</v>
      </c>
      <c r="B3628">
        <v>66</v>
      </c>
      <c r="C3628" t="s">
        <v>18</v>
      </c>
      <c r="D3628" t="s">
        <v>19</v>
      </c>
      <c r="E3628">
        <v>15</v>
      </c>
      <c r="F3628" t="s">
        <v>33</v>
      </c>
      <c r="G3628" t="s">
        <v>37</v>
      </c>
      <c r="H3628" s="1">
        <v>133.62</v>
      </c>
      <c r="I3628" t="s">
        <v>24</v>
      </c>
      <c r="J3628">
        <v>0</v>
      </c>
      <c r="K3628">
        <v>6</v>
      </c>
    </row>
    <row r="3629" spans="1:11" x14ac:dyDescent="0.35">
      <c r="A3629" t="s">
        <v>3666</v>
      </c>
      <c r="B3629">
        <v>74</v>
      </c>
      <c r="C3629" t="s">
        <v>18</v>
      </c>
      <c r="D3629" t="s">
        <v>21</v>
      </c>
      <c r="E3629">
        <v>40</v>
      </c>
      <c r="F3629" t="s">
        <v>14</v>
      </c>
      <c r="G3629" t="s">
        <v>34</v>
      </c>
      <c r="H3629" s="1">
        <v>0</v>
      </c>
      <c r="I3629" t="s">
        <v>16</v>
      </c>
      <c r="J3629">
        <v>3</v>
      </c>
      <c r="K3629">
        <v>3</v>
      </c>
    </row>
    <row r="3630" spans="1:11" x14ac:dyDescent="0.35">
      <c r="A3630" t="s">
        <v>3667</v>
      </c>
      <c r="B3630">
        <v>74</v>
      </c>
      <c r="C3630" t="s">
        <v>18</v>
      </c>
      <c r="D3630" t="s">
        <v>21</v>
      </c>
      <c r="E3630">
        <v>23</v>
      </c>
      <c r="F3630" t="s">
        <v>33</v>
      </c>
      <c r="G3630" t="s">
        <v>37</v>
      </c>
      <c r="H3630" s="1">
        <v>92.29</v>
      </c>
      <c r="I3630" t="s">
        <v>24</v>
      </c>
      <c r="J3630">
        <v>1</v>
      </c>
      <c r="K3630">
        <v>5</v>
      </c>
    </row>
    <row r="3631" spans="1:11" x14ac:dyDescent="0.35">
      <c r="A3631" t="s">
        <v>3668</v>
      </c>
      <c r="B3631">
        <v>25</v>
      </c>
      <c r="C3631" t="s">
        <v>12</v>
      </c>
      <c r="D3631" t="s">
        <v>19</v>
      </c>
      <c r="E3631">
        <v>17</v>
      </c>
      <c r="F3631" t="s">
        <v>22</v>
      </c>
      <c r="G3631" t="s">
        <v>15</v>
      </c>
      <c r="H3631" s="1">
        <v>341.7</v>
      </c>
      <c r="I3631" t="s">
        <v>24</v>
      </c>
      <c r="J3631">
        <v>3</v>
      </c>
      <c r="K3631">
        <v>6</v>
      </c>
    </row>
    <row r="3632" spans="1:11" x14ac:dyDescent="0.35">
      <c r="A3632" t="s">
        <v>3669</v>
      </c>
      <c r="B3632">
        <v>77</v>
      </c>
      <c r="C3632" t="s">
        <v>12</v>
      </c>
      <c r="D3632" t="s">
        <v>41</v>
      </c>
      <c r="E3632">
        <v>6</v>
      </c>
      <c r="F3632" t="s">
        <v>22</v>
      </c>
      <c r="G3632" t="s">
        <v>37</v>
      </c>
      <c r="H3632" s="1">
        <v>164.56</v>
      </c>
      <c r="I3632" t="s">
        <v>24</v>
      </c>
      <c r="J3632">
        <v>0</v>
      </c>
      <c r="K3632">
        <v>10</v>
      </c>
    </row>
    <row r="3633" spans="1:11" x14ac:dyDescent="0.35">
      <c r="A3633" t="s">
        <v>3670</v>
      </c>
      <c r="B3633">
        <v>69</v>
      </c>
      <c r="C3633" t="s">
        <v>18</v>
      </c>
      <c r="D3633" t="s">
        <v>30</v>
      </c>
      <c r="E3633">
        <v>11</v>
      </c>
      <c r="F3633" t="s">
        <v>33</v>
      </c>
      <c r="G3633" t="s">
        <v>34</v>
      </c>
      <c r="H3633" s="1">
        <v>95.56</v>
      </c>
      <c r="I3633" t="s">
        <v>24</v>
      </c>
      <c r="J3633">
        <v>0</v>
      </c>
      <c r="K3633">
        <v>6</v>
      </c>
    </row>
    <row r="3634" spans="1:11" x14ac:dyDescent="0.35">
      <c r="A3634" t="s">
        <v>3671</v>
      </c>
      <c r="B3634">
        <v>73</v>
      </c>
      <c r="C3634" t="s">
        <v>12</v>
      </c>
      <c r="D3634" t="s">
        <v>47</v>
      </c>
      <c r="E3634">
        <v>9</v>
      </c>
      <c r="F3634" t="s">
        <v>14</v>
      </c>
      <c r="G3634" t="s">
        <v>15</v>
      </c>
      <c r="H3634" s="1">
        <v>0</v>
      </c>
      <c r="I3634" t="s">
        <v>16</v>
      </c>
      <c r="J3634">
        <v>3</v>
      </c>
      <c r="K3634">
        <v>5</v>
      </c>
    </row>
    <row r="3635" spans="1:11" x14ac:dyDescent="0.35">
      <c r="A3635" t="s">
        <v>3672</v>
      </c>
      <c r="B3635">
        <v>23</v>
      </c>
      <c r="C3635" t="s">
        <v>12</v>
      </c>
      <c r="D3635" t="s">
        <v>30</v>
      </c>
      <c r="E3635">
        <v>3</v>
      </c>
      <c r="F3635" t="s">
        <v>33</v>
      </c>
      <c r="G3635" t="s">
        <v>37</v>
      </c>
      <c r="H3635" s="1">
        <v>116.7</v>
      </c>
      <c r="I3635" t="s">
        <v>24</v>
      </c>
      <c r="J3635">
        <v>0</v>
      </c>
      <c r="K3635">
        <v>10</v>
      </c>
    </row>
    <row r="3636" spans="1:11" x14ac:dyDescent="0.35">
      <c r="A3636" t="s">
        <v>3673</v>
      </c>
      <c r="B3636">
        <v>33</v>
      </c>
      <c r="C3636" t="s">
        <v>18</v>
      </c>
      <c r="D3636" t="s">
        <v>19</v>
      </c>
      <c r="E3636">
        <v>19</v>
      </c>
      <c r="F3636" t="s">
        <v>33</v>
      </c>
      <c r="G3636" t="s">
        <v>34</v>
      </c>
      <c r="H3636" s="1">
        <v>209.77</v>
      </c>
      <c r="I3636" t="s">
        <v>24</v>
      </c>
      <c r="J3636">
        <v>1</v>
      </c>
      <c r="K3636">
        <v>4</v>
      </c>
    </row>
    <row r="3637" spans="1:11" x14ac:dyDescent="0.35">
      <c r="A3637" t="s">
        <v>3674</v>
      </c>
      <c r="B3637">
        <v>25</v>
      </c>
      <c r="C3637" t="s">
        <v>12</v>
      </c>
      <c r="D3637" t="s">
        <v>41</v>
      </c>
      <c r="E3637">
        <v>11</v>
      </c>
      <c r="F3637" t="s">
        <v>22</v>
      </c>
      <c r="G3637" t="s">
        <v>37</v>
      </c>
      <c r="H3637" s="1">
        <v>94.06</v>
      </c>
      <c r="I3637" t="s">
        <v>24</v>
      </c>
      <c r="J3637">
        <v>1</v>
      </c>
      <c r="K3637">
        <v>7</v>
      </c>
    </row>
    <row r="3638" spans="1:11" x14ac:dyDescent="0.35">
      <c r="A3638" t="s">
        <v>3675</v>
      </c>
      <c r="B3638">
        <v>59</v>
      </c>
      <c r="C3638" t="s">
        <v>18</v>
      </c>
      <c r="D3638" t="s">
        <v>13</v>
      </c>
      <c r="E3638">
        <v>10</v>
      </c>
      <c r="F3638" t="s">
        <v>31</v>
      </c>
      <c r="G3638" t="s">
        <v>34</v>
      </c>
      <c r="H3638" s="1">
        <v>180.72</v>
      </c>
      <c r="I3638" t="s">
        <v>24</v>
      </c>
      <c r="J3638">
        <v>1</v>
      </c>
      <c r="K3638">
        <v>8</v>
      </c>
    </row>
    <row r="3639" spans="1:11" x14ac:dyDescent="0.35">
      <c r="A3639" t="s">
        <v>3676</v>
      </c>
      <c r="B3639">
        <v>33</v>
      </c>
      <c r="C3639" t="s">
        <v>12</v>
      </c>
      <c r="D3639" t="s">
        <v>30</v>
      </c>
      <c r="E3639">
        <v>2</v>
      </c>
      <c r="F3639" t="s">
        <v>31</v>
      </c>
      <c r="G3639" t="s">
        <v>15</v>
      </c>
      <c r="H3639" s="1">
        <v>360.59</v>
      </c>
      <c r="I3639" t="s">
        <v>24</v>
      </c>
      <c r="J3639">
        <v>1</v>
      </c>
      <c r="K3639">
        <v>10</v>
      </c>
    </row>
    <row r="3640" spans="1:11" x14ac:dyDescent="0.35">
      <c r="A3640" t="s">
        <v>3677</v>
      </c>
      <c r="B3640">
        <v>22</v>
      </c>
      <c r="C3640" t="s">
        <v>12</v>
      </c>
      <c r="D3640" t="s">
        <v>19</v>
      </c>
      <c r="E3640">
        <v>24</v>
      </c>
      <c r="F3640" t="s">
        <v>33</v>
      </c>
      <c r="G3640" t="s">
        <v>27</v>
      </c>
      <c r="H3640" s="1">
        <v>66.010000000000005</v>
      </c>
      <c r="I3640" t="s">
        <v>24</v>
      </c>
      <c r="J3640">
        <v>0</v>
      </c>
      <c r="K3640">
        <v>3</v>
      </c>
    </row>
    <row r="3641" spans="1:11" x14ac:dyDescent="0.35">
      <c r="A3641" t="s">
        <v>3678</v>
      </c>
      <c r="B3641">
        <v>32</v>
      </c>
      <c r="C3641" t="s">
        <v>12</v>
      </c>
      <c r="D3641" t="s">
        <v>30</v>
      </c>
      <c r="E3641">
        <v>6</v>
      </c>
      <c r="F3641" t="s">
        <v>26</v>
      </c>
      <c r="G3641" t="s">
        <v>37</v>
      </c>
      <c r="H3641" s="1">
        <v>155.97</v>
      </c>
      <c r="I3641" t="s">
        <v>24</v>
      </c>
      <c r="J3641">
        <v>1</v>
      </c>
      <c r="K3641">
        <v>7</v>
      </c>
    </row>
    <row r="3642" spans="1:11" x14ac:dyDescent="0.35">
      <c r="A3642" t="s">
        <v>3679</v>
      </c>
      <c r="B3642">
        <v>31</v>
      </c>
      <c r="C3642" t="s">
        <v>12</v>
      </c>
      <c r="D3642" t="s">
        <v>30</v>
      </c>
      <c r="E3642">
        <v>6</v>
      </c>
      <c r="F3642" t="s">
        <v>22</v>
      </c>
      <c r="G3642" t="s">
        <v>23</v>
      </c>
      <c r="H3642" s="1">
        <v>345.25</v>
      </c>
      <c r="I3642" t="s">
        <v>24</v>
      </c>
      <c r="J3642">
        <v>0</v>
      </c>
      <c r="K3642">
        <v>8</v>
      </c>
    </row>
    <row r="3643" spans="1:11" x14ac:dyDescent="0.35">
      <c r="A3643" t="s">
        <v>3680</v>
      </c>
      <c r="B3643">
        <v>24</v>
      </c>
      <c r="C3643" t="s">
        <v>12</v>
      </c>
      <c r="D3643" t="s">
        <v>19</v>
      </c>
      <c r="E3643">
        <v>17</v>
      </c>
      <c r="F3643" t="s">
        <v>22</v>
      </c>
      <c r="G3643" t="s">
        <v>15</v>
      </c>
      <c r="H3643" s="1">
        <v>318</v>
      </c>
      <c r="I3643" t="s">
        <v>24</v>
      </c>
      <c r="J3643">
        <v>0</v>
      </c>
      <c r="K3643">
        <v>8</v>
      </c>
    </row>
    <row r="3644" spans="1:11" x14ac:dyDescent="0.35">
      <c r="A3644" t="s">
        <v>3681</v>
      </c>
      <c r="B3644">
        <v>73</v>
      </c>
      <c r="C3644" t="s">
        <v>18</v>
      </c>
      <c r="D3644" t="s">
        <v>19</v>
      </c>
      <c r="E3644">
        <v>6</v>
      </c>
      <c r="F3644" t="s">
        <v>14</v>
      </c>
      <c r="G3644" t="s">
        <v>27</v>
      </c>
      <c r="H3644" s="1">
        <v>0</v>
      </c>
      <c r="I3644" t="s">
        <v>16</v>
      </c>
      <c r="J3644">
        <v>0</v>
      </c>
      <c r="K3644">
        <v>7</v>
      </c>
    </row>
    <row r="3645" spans="1:11" x14ac:dyDescent="0.35">
      <c r="A3645" t="s">
        <v>3682</v>
      </c>
      <c r="B3645">
        <v>35</v>
      </c>
      <c r="C3645" t="s">
        <v>18</v>
      </c>
      <c r="D3645" t="s">
        <v>19</v>
      </c>
      <c r="E3645">
        <v>21</v>
      </c>
      <c r="F3645" t="s">
        <v>31</v>
      </c>
      <c r="G3645" t="s">
        <v>37</v>
      </c>
      <c r="H3645" s="1">
        <v>156.66999999999999</v>
      </c>
      <c r="I3645" t="s">
        <v>24</v>
      </c>
      <c r="J3645">
        <v>1</v>
      </c>
      <c r="K3645">
        <v>2</v>
      </c>
    </row>
    <row r="3646" spans="1:11" x14ac:dyDescent="0.35">
      <c r="A3646" t="s">
        <v>3683</v>
      </c>
      <c r="B3646">
        <v>62</v>
      </c>
      <c r="C3646" t="s">
        <v>12</v>
      </c>
      <c r="D3646" t="s">
        <v>30</v>
      </c>
      <c r="E3646">
        <v>6</v>
      </c>
      <c r="F3646" t="s">
        <v>26</v>
      </c>
      <c r="G3646" t="s">
        <v>37</v>
      </c>
      <c r="H3646" s="1">
        <v>112.75</v>
      </c>
      <c r="I3646" t="s">
        <v>24</v>
      </c>
      <c r="J3646">
        <v>0</v>
      </c>
      <c r="K3646">
        <v>8</v>
      </c>
    </row>
    <row r="3647" spans="1:11" x14ac:dyDescent="0.35">
      <c r="A3647" t="s">
        <v>3684</v>
      </c>
      <c r="B3647">
        <v>60</v>
      </c>
      <c r="C3647" t="s">
        <v>18</v>
      </c>
      <c r="D3647" t="s">
        <v>30</v>
      </c>
      <c r="E3647">
        <v>3</v>
      </c>
      <c r="F3647" t="s">
        <v>31</v>
      </c>
      <c r="G3647" t="s">
        <v>27</v>
      </c>
      <c r="H3647" s="1">
        <v>87.15</v>
      </c>
      <c r="I3647" t="s">
        <v>24</v>
      </c>
      <c r="J3647">
        <v>2</v>
      </c>
      <c r="K3647">
        <v>9</v>
      </c>
    </row>
    <row r="3648" spans="1:11" x14ac:dyDescent="0.35">
      <c r="A3648" t="s">
        <v>3685</v>
      </c>
      <c r="B3648">
        <v>50</v>
      </c>
      <c r="C3648" t="s">
        <v>18</v>
      </c>
      <c r="D3648" t="s">
        <v>30</v>
      </c>
      <c r="E3648">
        <v>11</v>
      </c>
      <c r="F3648" t="s">
        <v>31</v>
      </c>
      <c r="G3648" t="s">
        <v>15</v>
      </c>
      <c r="H3648" s="1">
        <v>192.51</v>
      </c>
      <c r="I3648" t="s">
        <v>24</v>
      </c>
      <c r="J3648">
        <v>1</v>
      </c>
      <c r="K3648">
        <v>4</v>
      </c>
    </row>
    <row r="3649" spans="1:11" x14ac:dyDescent="0.35">
      <c r="A3649" t="s">
        <v>3686</v>
      </c>
      <c r="B3649">
        <v>37</v>
      </c>
      <c r="C3649" t="s">
        <v>18</v>
      </c>
      <c r="D3649" t="s">
        <v>21</v>
      </c>
      <c r="E3649">
        <v>39</v>
      </c>
      <c r="F3649" t="s">
        <v>33</v>
      </c>
      <c r="G3649" t="s">
        <v>15</v>
      </c>
      <c r="H3649" s="1">
        <v>444.9</v>
      </c>
      <c r="I3649" t="s">
        <v>24</v>
      </c>
      <c r="J3649">
        <v>0</v>
      </c>
      <c r="K3649">
        <v>2</v>
      </c>
    </row>
    <row r="3650" spans="1:11" x14ac:dyDescent="0.35">
      <c r="A3650" t="s">
        <v>3687</v>
      </c>
      <c r="B3650">
        <v>70</v>
      </c>
      <c r="C3650" t="s">
        <v>12</v>
      </c>
      <c r="D3650" t="s">
        <v>30</v>
      </c>
      <c r="E3650">
        <v>14</v>
      </c>
      <c r="F3650" t="s">
        <v>33</v>
      </c>
      <c r="G3650" t="s">
        <v>37</v>
      </c>
      <c r="H3650" s="1">
        <v>119.73</v>
      </c>
      <c r="I3650" t="s">
        <v>24</v>
      </c>
      <c r="J3650">
        <v>1</v>
      </c>
      <c r="K3650">
        <v>8</v>
      </c>
    </row>
    <row r="3651" spans="1:11" x14ac:dyDescent="0.35">
      <c r="A3651" t="s">
        <v>3688</v>
      </c>
      <c r="B3651">
        <v>36</v>
      </c>
      <c r="C3651" t="s">
        <v>12</v>
      </c>
      <c r="D3651" t="s">
        <v>19</v>
      </c>
      <c r="E3651">
        <v>20</v>
      </c>
      <c r="F3651" t="s">
        <v>26</v>
      </c>
      <c r="G3651" t="s">
        <v>37</v>
      </c>
      <c r="H3651" s="1">
        <v>152.18</v>
      </c>
      <c r="I3651" t="s">
        <v>24</v>
      </c>
      <c r="J3651">
        <v>0</v>
      </c>
      <c r="K3651">
        <v>5</v>
      </c>
    </row>
    <row r="3652" spans="1:11" x14ac:dyDescent="0.35">
      <c r="A3652" t="s">
        <v>3689</v>
      </c>
      <c r="B3652">
        <v>58</v>
      </c>
      <c r="C3652" t="s">
        <v>528</v>
      </c>
      <c r="D3652" t="s">
        <v>21</v>
      </c>
      <c r="E3652">
        <v>18</v>
      </c>
      <c r="F3652" t="s">
        <v>14</v>
      </c>
      <c r="G3652" t="s">
        <v>34</v>
      </c>
      <c r="H3652" s="1">
        <v>0</v>
      </c>
      <c r="I3652" t="s">
        <v>16</v>
      </c>
      <c r="J3652">
        <v>0</v>
      </c>
      <c r="K3652">
        <v>5</v>
      </c>
    </row>
    <row r="3653" spans="1:11" x14ac:dyDescent="0.35">
      <c r="A3653" t="s">
        <v>3690</v>
      </c>
      <c r="B3653">
        <v>35</v>
      </c>
      <c r="C3653" t="s">
        <v>18</v>
      </c>
      <c r="D3653" t="s">
        <v>19</v>
      </c>
      <c r="E3653">
        <v>23</v>
      </c>
      <c r="F3653" t="s">
        <v>22</v>
      </c>
      <c r="G3653" t="s">
        <v>23</v>
      </c>
      <c r="H3653" s="1">
        <v>263.95</v>
      </c>
      <c r="I3653" t="s">
        <v>24</v>
      </c>
      <c r="J3653">
        <v>1</v>
      </c>
      <c r="K3653">
        <v>2</v>
      </c>
    </row>
    <row r="3654" spans="1:11" x14ac:dyDescent="0.35">
      <c r="A3654" t="s">
        <v>3691</v>
      </c>
      <c r="B3654">
        <v>78</v>
      </c>
      <c r="C3654" t="s">
        <v>18</v>
      </c>
      <c r="D3654" t="s">
        <v>13</v>
      </c>
      <c r="E3654">
        <v>11</v>
      </c>
      <c r="F3654" t="s">
        <v>22</v>
      </c>
      <c r="G3654" t="s">
        <v>34</v>
      </c>
      <c r="H3654" s="1">
        <v>91.66</v>
      </c>
      <c r="I3654" t="s">
        <v>24</v>
      </c>
      <c r="J3654">
        <v>0</v>
      </c>
      <c r="K3654">
        <v>4</v>
      </c>
    </row>
    <row r="3655" spans="1:11" x14ac:dyDescent="0.35">
      <c r="A3655" t="s">
        <v>3692</v>
      </c>
      <c r="B3655">
        <v>63</v>
      </c>
      <c r="C3655" t="s">
        <v>18</v>
      </c>
      <c r="D3655" t="s">
        <v>19</v>
      </c>
      <c r="E3655">
        <v>18</v>
      </c>
      <c r="F3655" t="s">
        <v>22</v>
      </c>
      <c r="G3655" t="s">
        <v>23</v>
      </c>
      <c r="H3655" s="1">
        <v>439.47</v>
      </c>
      <c r="I3655" t="s">
        <v>24</v>
      </c>
      <c r="J3655">
        <v>1</v>
      </c>
      <c r="K3655">
        <v>6</v>
      </c>
    </row>
    <row r="3656" spans="1:11" x14ac:dyDescent="0.35">
      <c r="A3656" t="s">
        <v>3693</v>
      </c>
      <c r="B3656">
        <v>59</v>
      </c>
      <c r="C3656" t="s">
        <v>18</v>
      </c>
      <c r="D3656" t="s">
        <v>21</v>
      </c>
      <c r="E3656">
        <v>41</v>
      </c>
      <c r="F3656" t="s">
        <v>22</v>
      </c>
      <c r="G3656" t="s">
        <v>37</v>
      </c>
      <c r="H3656" s="1">
        <v>97.49</v>
      </c>
      <c r="I3656" t="s">
        <v>24</v>
      </c>
      <c r="J3656">
        <v>2</v>
      </c>
      <c r="K3656">
        <v>3</v>
      </c>
    </row>
    <row r="3657" spans="1:11" x14ac:dyDescent="0.35">
      <c r="A3657" t="s">
        <v>3694</v>
      </c>
      <c r="B3657">
        <v>76</v>
      </c>
      <c r="C3657" t="s">
        <v>12</v>
      </c>
      <c r="D3657" t="s">
        <v>19</v>
      </c>
      <c r="E3657">
        <v>21</v>
      </c>
      <c r="F3657" t="s">
        <v>14</v>
      </c>
      <c r="G3657" t="s">
        <v>27</v>
      </c>
      <c r="H3657" s="1">
        <v>0</v>
      </c>
      <c r="I3657" t="s">
        <v>16</v>
      </c>
      <c r="J3657">
        <v>2</v>
      </c>
      <c r="K3657">
        <v>4</v>
      </c>
    </row>
    <row r="3658" spans="1:11" x14ac:dyDescent="0.35">
      <c r="A3658" t="s">
        <v>3695</v>
      </c>
      <c r="B3658">
        <v>18</v>
      </c>
      <c r="C3658" t="s">
        <v>18</v>
      </c>
      <c r="D3658" t="s">
        <v>21</v>
      </c>
      <c r="E3658">
        <v>24</v>
      </c>
      <c r="F3658" t="s">
        <v>22</v>
      </c>
      <c r="G3658" t="s">
        <v>34</v>
      </c>
      <c r="H3658" s="1">
        <v>146.56</v>
      </c>
      <c r="I3658" t="s">
        <v>43</v>
      </c>
      <c r="J3658">
        <v>1</v>
      </c>
      <c r="K3658">
        <v>4</v>
      </c>
    </row>
    <row r="3659" spans="1:11" x14ac:dyDescent="0.35">
      <c r="A3659" t="s">
        <v>3696</v>
      </c>
      <c r="B3659">
        <v>63</v>
      </c>
      <c r="C3659" t="s">
        <v>12</v>
      </c>
      <c r="D3659" t="s">
        <v>19</v>
      </c>
      <c r="E3659">
        <v>18</v>
      </c>
      <c r="F3659" t="s">
        <v>22</v>
      </c>
      <c r="G3659" t="s">
        <v>23</v>
      </c>
      <c r="H3659" s="1">
        <v>386.33</v>
      </c>
      <c r="I3659" t="s">
        <v>24</v>
      </c>
      <c r="J3659">
        <v>1</v>
      </c>
      <c r="K3659">
        <v>5</v>
      </c>
    </row>
    <row r="3660" spans="1:11" x14ac:dyDescent="0.35">
      <c r="A3660" t="s">
        <v>3697</v>
      </c>
      <c r="B3660">
        <v>49</v>
      </c>
      <c r="C3660" t="s">
        <v>12</v>
      </c>
      <c r="D3660" t="s">
        <v>19</v>
      </c>
      <c r="E3660">
        <v>11</v>
      </c>
      <c r="F3660" t="s">
        <v>22</v>
      </c>
      <c r="G3660" t="s">
        <v>34</v>
      </c>
      <c r="H3660" s="1">
        <v>95.4</v>
      </c>
      <c r="I3660" t="s">
        <v>28</v>
      </c>
      <c r="J3660">
        <v>2</v>
      </c>
      <c r="K3660">
        <v>7</v>
      </c>
    </row>
    <row r="3661" spans="1:11" x14ac:dyDescent="0.35">
      <c r="A3661" t="s">
        <v>3698</v>
      </c>
      <c r="B3661">
        <v>69</v>
      </c>
      <c r="C3661" t="s">
        <v>18</v>
      </c>
      <c r="D3661" t="s">
        <v>19</v>
      </c>
      <c r="E3661">
        <v>23</v>
      </c>
      <c r="F3661" t="s">
        <v>22</v>
      </c>
      <c r="G3661" t="s">
        <v>34</v>
      </c>
      <c r="H3661" s="1">
        <v>192.31</v>
      </c>
      <c r="I3661" t="s">
        <v>24</v>
      </c>
      <c r="J3661">
        <v>1</v>
      </c>
      <c r="K3661">
        <v>2</v>
      </c>
    </row>
    <row r="3662" spans="1:11" x14ac:dyDescent="0.35">
      <c r="A3662" t="s">
        <v>3699</v>
      </c>
      <c r="B3662">
        <v>64</v>
      </c>
      <c r="C3662" t="s">
        <v>18</v>
      </c>
      <c r="D3662" t="s">
        <v>19</v>
      </c>
      <c r="E3662">
        <v>17</v>
      </c>
      <c r="F3662" t="s">
        <v>33</v>
      </c>
      <c r="G3662" t="s">
        <v>27</v>
      </c>
      <c r="H3662" s="1">
        <v>163.94</v>
      </c>
      <c r="I3662" t="s">
        <v>24</v>
      </c>
      <c r="J3662">
        <v>2</v>
      </c>
      <c r="K3662">
        <v>5</v>
      </c>
    </row>
    <row r="3663" spans="1:11" x14ac:dyDescent="0.35">
      <c r="A3663" t="s">
        <v>3700</v>
      </c>
      <c r="B3663">
        <v>81</v>
      </c>
      <c r="C3663" t="s">
        <v>18</v>
      </c>
      <c r="D3663" t="s">
        <v>30</v>
      </c>
      <c r="E3663">
        <v>3</v>
      </c>
      <c r="F3663" t="s">
        <v>22</v>
      </c>
      <c r="G3663" t="s">
        <v>23</v>
      </c>
      <c r="H3663" s="1">
        <v>550.32000000000005</v>
      </c>
      <c r="I3663" t="s">
        <v>24</v>
      </c>
      <c r="J3663">
        <v>0</v>
      </c>
      <c r="K3663">
        <v>8</v>
      </c>
    </row>
    <row r="3664" spans="1:11" x14ac:dyDescent="0.35">
      <c r="A3664" t="s">
        <v>3701</v>
      </c>
      <c r="B3664">
        <v>25</v>
      </c>
      <c r="C3664" t="s">
        <v>12</v>
      </c>
      <c r="D3664" t="s">
        <v>19</v>
      </c>
      <c r="E3664">
        <v>22</v>
      </c>
      <c r="F3664" t="s">
        <v>22</v>
      </c>
      <c r="G3664" t="s">
        <v>27</v>
      </c>
      <c r="H3664" s="1">
        <v>99.22</v>
      </c>
      <c r="I3664" t="s">
        <v>28</v>
      </c>
      <c r="J3664">
        <v>2</v>
      </c>
      <c r="K3664">
        <v>5</v>
      </c>
    </row>
    <row r="3665" spans="1:11" x14ac:dyDescent="0.35">
      <c r="A3665" t="s">
        <v>3702</v>
      </c>
      <c r="B3665">
        <v>22</v>
      </c>
      <c r="C3665" t="s">
        <v>18</v>
      </c>
      <c r="D3665" t="s">
        <v>19</v>
      </c>
      <c r="E3665">
        <v>17</v>
      </c>
      <c r="F3665" t="s">
        <v>26</v>
      </c>
      <c r="G3665" t="s">
        <v>27</v>
      </c>
      <c r="H3665" s="1">
        <v>58.91</v>
      </c>
      <c r="I3665" t="s">
        <v>24</v>
      </c>
      <c r="J3665">
        <v>3</v>
      </c>
      <c r="K3665">
        <v>6</v>
      </c>
    </row>
    <row r="3666" spans="1:11" x14ac:dyDescent="0.35">
      <c r="A3666" t="s">
        <v>3703</v>
      </c>
      <c r="B3666">
        <v>74</v>
      </c>
      <c r="C3666" t="s">
        <v>12</v>
      </c>
      <c r="D3666" t="s">
        <v>13</v>
      </c>
      <c r="E3666">
        <v>15</v>
      </c>
      <c r="F3666" t="s">
        <v>26</v>
      </c>
      <c r="G3666" t="s">
        <v>15</v>
      </c>
      <c r="H3666" s="1">
        <v>103.71</v>
      </c>
      <c r="I3666" t="s">
        <v>28</v>
      </c>
      <c r="J3666">
        <v>3</v>
      </c>
      <c r="K3666">
        <v>8</v>
      </c>
    </row>
    <row r="3667" spans="1:11" x14ac:dyDescent="0.35">
      <c r="A3667" t="s">
        <v>3704</v>
      </c>
      <c r="B3667">
        <v>71</v>
      </c>
      <c r="C3667" t="s">
        <v>12</v>
      </c>
      <c r="D3667" t="s">
        <v>19</v>
      </c>
      <c r="E3667">
        <v>16</v>
      </c>
      <c r="F3667" t="s">
        <v>22</v>
      </c>
      <c r="G3667" t="s">
        <v>34</v>
      </c>
      <c r="H3667" s="1">
        <v>195.78</v>
      </c>
      <c r="I3667" t="s">
        <v>24</v>
      </c>
      <c r="J3667">
        <v>1</v>
      </c>
      <c r="K3667">
        <v>6</v>
      </c>
    </row>
    <row r="3668" spans="1:11" x14ac:dyDescent="0.35">
      <c r="A3668" t="s">
        <v>3705</v>
      </c>
      <c r="B3668">
        <v>43</v>
      </c>
      <c r="C3668" t="s">
        <v>12</v>
      </c>
      <c r="D3668" t="s">
        <v>30</v>
      </c>
      <c r="E3668">
        <v>4</v>
      </c>
      <c r="F3668" t="s">
        <v>33</v>
      </c>
      <c r="G3668" t="s">
        <v>34</v>
      </c>
      <c r="H3668" s="1">
        <v>208.85</v>
      </c>
      <c r="I3668" t="s">
        <v>24</v>
      </c>
      <c r="J3668">
        <v>1</v>
      </c>
      <c r="K3668">
        <v>8</v>
      </c>
    </row>
    <row r="3669" spans="1:11" x14ac:dyDescent="0.35">
      <c r="A3669" t="s">
        <v>3706</v>
      </c>
      <c r="B3669">
        <v>64</v>
      </c>
      <c r="C3669" t="s">
        <v>12</v>
      </c>
      <c r="D3669" t="s">
        <v>19</v>
      </c>
      <c r="E3669">
        <v>8</v>
      </c>
      <c r="F3669" t="s">
        <v>14</v>
      </c>
      <c r="G3669" t="s">
        <v>34</v>
      </c>
      <c r="H3669" s="1">
        <v>0</v>
      </c>
      <c r="I3669" t="s">
        <v>16</v>
      </c>
      <c r="J3669">
        <v>0</v>
      </c>
      <c r="K3669">
        <v>8</v>
      </c>
    </row>
    <row r="3670" spans="1:11" x14ac:dyDescent="0.35">
      <c r="A3670" t="s">
        <v>3707</v>
      </c>
      <c r="B3670">
        <v>70</v>
      </c>
      <c r="C3670" t="s">
        <v>18</v>
      </c>
      <c r="D3670" t="s">
        <v>41</v>
      </c>
      <c r="E3670">
        <v>2</v>
      </c>
      <c r="F3670" t="s">
        <v>31</v>
      </c>
      <c r="G3670" t="s">
        <v>37</v>
      </c>
      <c r="H3670" s="1">
        <v>123.51</v>
      </c>
      <c r="I3670" t="s">
        <v>24</v>
      </c>
      <c r="J3670">
        <v>1</v>
      </c>
      <c r="K3670">
        <v>8</v>
      </c>
    </row>
    <row r="3671" spans="1:11" x14ac:dyDescent="0.35">
      <c r="A3671" t="s">
        <v>3708</v>
      </c>
      <c r="B3671">
        <v>44</v>
      </c>
      <c r="C3671" t="s">
        <v>18</v>
      </c>
      <c r="D3671" t="s">
        <v>30</v>
      </c>
      <c r="E3671">
        <v>12</v>
      </c>
      <c r="F3671" t="s">
        <v>33</v>
      </c>
      <c r="G3671" t="s">
        <v>34</v>
      </c>
      <c r="H3671" s="1">
        <v>216.03</v>
      </c>
      <c r="I3671" t="s">
        <v>24</v>
      </c>
      <c r="J3671">
        <v>1</v>
      </c>
      <c r="K3671">
        <v>7</v>
      </c>
    </row>
    <row r="3672" spans="1:11" x14ac:dyDescent="0.35">
      <c r="A3672" t="s">
        <v>3709</v>
      </c>
      <c r="B3672">
        <v>21</v>
      </c>
      <c r="C3672" t="s">
        <v>12</v>
      </c>
      <c r="D3672" t="s">
        <v>30</v>
      </c>
      <c r="E3672">
        <v>8</v>
      </c>
      <c r="F3672" t="s">
        <v>26</v>
      </c>
      <c r="G3672" t="s">
        <v>27</v>
      </c>
      <c r="H3672" s="1">
        <v>82.81</v>
      </c>
      <c r="I3672" t="s">
        <v>24</v>
      </c>
      <c r="J3672">
        <v>0</v>
      </c>
      <c r="K3672">
        <v>8</v>
      </c>
    </row>
    <row r="3673" spans="1:11" x14ac:dyDescent="0.35">
      <c r="A3673" t="s">
        <v>3710</v>
      </c>
      <c r="B3673">
        <v>21</v>
      </c>
      <c r="C3673" t="s">
        <v>12</v>
      </c>
      <c r="D3673" t="s">
        <v>19</v>
      </c>
      <c r="E3673">
        <v>12</v>
      </c>
      <c r="F3673" t="s">
        <v>33</v>
      </c>
      <c r="G3673" t="s">
        <v>27</v>
      </c>
      <c r="H3673" s="1">
        <v>106.72</v>
      </c>
      <c r="I3673" t="s">
        <v>24</v>
      </c>
      <c r="J3673">
        <v>0</v>
      </c>
      <c r="K3673">
        <v>8</v>
      </c>
    </row>
    <row r="3674" spans="1:11" x14ac:dyDescent="0.35">
      <c r="A3674" t="s">
        <v>3711</v>
      </c>
      <c r="B3674">
        <v>62</v>
      </c>
      <c r="C3674" t="s">
        <v>12</v>
      </c>
      <c r="D3674" t="s">
        <v>30</v>
      </c>
      <c r="E3674">
        <v>7</v>
      </c>
      <c r="F3674" t="s">
        <v>31</v>
      </c>
      <c r="G3674" t="s">
        <v>27</v>
      </c>
      <c r="H3674" s="1">
        <v>97.38</v>
      </c>
      <c r="I3674" t="s">
        <v>24</v>
      </c>
      <c r="J3674">
        <v>1</v>
      </c>
      <c r="K3674">
        <v>9</v>
      </c>
    </row>
    <row r="3675" spans="1:11" x14ac:dyDescent="0.35">
      <c r="A3675" t="s">
        <v>3712</v>
      </c>
      <c r="B3675">
        <v>61</v>
      </c>
      <c r="C3675" t="s">
        <v>18</v>
      </c>
      <c r="D3675" t="s">
        <v>19</v>
      </c>
      <c r="E3675">
        <v>14</v>
      </c>
      <c r="F3675" t="s">
        <v>33</v>
      </c>
      <c r="G3675" t="s">
        <v>37</v>
      </c>
      <c r="H3675" s="1">
        <v>118.53</v>
      </c>
      <c r="I3675" t="s">
        <v>24</v>
      </c>
      <c r="J3675">
        <v>3</v>
      </c>
      <c r="K3675">
        <v>7</v>
      </c>
    </row>
    <row r="3676" spans="1:11" x14ac:dyDescent="0.35">
      <c r="A3676" t="s">
        <v>3713</v>
      </c>
      <c r="B3676">
        <v>55</v>
      </c>
      <c r="C3676" t="s">
        <v>12</v>
      </c>
      <c r="D3676" t="s">
        <v>41</v>
      </c>
      <c r="E3676">
        <v>2</v>
      </c>
      <c r="F3676" t="s">
        <v>31</v>
      </c>
      <c r="G3676" t="s">
        <v>34</v>
      </c>
      <c r="H3676" s="1">
        <v>138.88</v>
      </c>
      <c r="I3676" t="s">
        <v>24</v>
      </c>
      <c r="J3676">
        <v>0</v>
      </c>
      <c r="K3676">
        <v>9</v>
      </c>
    </row>
    <row r="3677" spans="1:11" x14ac:dyDescent="0.35">
      <c r="A3677" t="s">
        <v>3714</v>
      </c>
      <c r="B3677">
        <v>54</v>
      </c>
      <c r="C3677" t="s">
        <v>18</v>
      </c>
      <c r="D3677" t="s">
        <v>21</v>
      </c>
      <c r="E3677">
        <v>46</v>
      </c>
      <c r="F3677" t="s">
        <v>22</v>
      </c>
      <c r="G3677" t="s">
        <v>23</v>
      </c>
      <c r="H3677" s="1">
        <v>188.39</v>
      </c>
      <c r="I3677" t="s">
        <v>43</v>
      </c>
      <c r="J3677">
        <v>1</v>
      </c>
      <c r="K3677">
        <v>4</v>
      </c>
    </row>
    <row r="3678" spans="1:11" x14ac:dyDescent="0.35">
      <c r="A3678" t="s">
        <v>3715</v>
      </c>
      <c r="B3678">
        <v>53</v>
      </c>
      <c r="C3678" t="s">
        <v>18</v>
      </c>
      <c r="D3678" t="s">
        <v>13</v>
      </c>
      <c r="E3678">
        <v>17</v>
      </c>
      <c r="F3678" t="s">
        <v>31</v>
      </c>
      <c r="G3678" t="s">
        <v>34</v>
      </c>
      <c r="H3678" s="1">
        <v>147.38</v>
      </c>
      <c r="I3678" t="s">
        <v>24</v>
      </c>
      <c r="J3678">
        <v>1</v>
      </c>
      <c r="K3678">
        <v>6</v>
      </c>
    </row>
    <row r="3679" spans="1:11" x14ac:dyDescent="0.35">
      <c r="A3679" t="s">
        <v>3716</v>
      </c>
      <c r="B3679">
        <v>60</v>
      </c>
      <c r="C3679" t="s">
        <v>12</v>
      </c>
      <c r="D3679" t="s">
        <v>47</v>
      </c>
      <c r="E3679">
        <v>7</v>
      </c>
      <c r="F3679" t="s">
        <v>31</v>
      </c>
      <c r="G3679" t="s">
        <v>23</v>
      </c>
      <c r="H3679" s="1">
        <v>159.35</v>
      </c>
      <c r="I3679" t="s">
        <v>28</v>
      </c>
      <c r="J3679">
        <v>2</v>
      </c>
      <c r="K3679">
        <v>9</v>
      </c>
    </row>
    <row r="3680" spans="1:11" x14ac:dyDescent="0.35">
      <c r="A3680" t="s">
        <v>3717</v>
      </c>
      <c r="B3680">
        <v>35</v>
      </c>
      <c r="C3680" t="s">
        <v>12</v>
      </c>
      <c r="D3680" t="s">
        <v>13</v>
      </c>
      <c r="E3680">
        <v>16</v>
      </c>
      <c r="F3680" t="s">
        <v>33</v>
      </c>
      <c r="G3680" t="s">
        <v>15</v>
      </c>
      <c r="H3680" s="1">
        <v>147.66999999999999</v>
      </c>
      <c r="I3680" t="s">
        <v>24</v>
      </c>
      <c r="J3680">
        <v>1</v>
      </c>
      <c r="K3680">
        <v>5</v>
      </c>
    </row>
    <row r="3681" spans="1:11" x14ac:dyDescent="0.35">
      <c r="A3681" t="s">
        <v>3718</v>
      </c>
      <c r="B3681">
        <v>42</v>
      </c>
      <c r="C3681" t="s">
        <v>18</v>
      </c>
      <c r="D3681" t="s">
        <v>13</v>
      </c>
      <c r="E3681">
        <v>7</v>
      </c>
      <c r="F3681" t="s">
        <v>14</v>
      </c>
      <c r="G3681" t="s">
        <v>34</v>
      </c>
      <c r="H3681" s="1">
        <v>0</v>
      </c>
      <c r="I3681" t="s">
        <v>16</v>
      </c>
      <c r="J3681">
        <v>1</v>
      </c>
      <c r="K3681">
        <v>8</v>
      </c>
    </row>
    <row r="3682" spans="1:11" x14ac:dyDescent="0.35">
      <c r="A3682" t="s">
        <v>3719</v>
      </c>
      <c r="B3682">
        <v>29</v>
      </c>
      <c r="C3682" t="s">
        <v>18</v>
      </c>
      <c r="D3682" t="s">
        <v>19</v>
      </c>
      <c r="E3682">
        <v>20</v>
      </c>
      <c r="F3682" t="s">
        <v>14</v>
      </c>
      <c r="G3682" t="s">
        <v>23</v>
      </c>
      <c r="H3682" s="1">
        <v>0</v>
      </c>
      <c r="I3682" t="s">
        <v>16</v>
      </c>
      <c r="J3682">
        <v>2</v>
      </c>
      <c r="K3682">
        <v>4</v>
      </c>
    </row>
    <row r="3683" spans="1:11" x14ac:dyDescent="0.35">
      <c r="A3683" t="s">
        <v>3720</v>
      </c>
      <c r="B3683">
        <v>31</v>
      </c>
      <c r="C3683" t="s">
        <v>18</v>
      </c>
      <c r="D3683" t="s">
        <v>19</v>
      </c>
      <c r="E3683">
        <v>16</v>
      </c>
      <c r="F3683" t="s">
        <v>26</v>
      </c>
      <c r="G3683" t="s">
        <v>15</v>
      </c>
      <c r="H3683" s="1">
        <v>190.27</v>
      </c>
      <c r="I3683" t="s">
        <v>24</v>
      </c>
      <c r="J3683">
        <v>1</v>
      </c>
      <c r="K3683">
        <v>7</v>
      </c>
    </row>
    <row r="3684" spans="1:11" x14ac:dyDescent="0.35">
      <c r="A3684" t="s">
        <v>3721</v>
      </c>
      <c r="B3684">
        <v>81</v>
      </c>
      <c r="C3684" t="s">
        <v>12</v>
      </c>
      <c r="D3684" t="s">
        <v>21</v>
      </c>
      <c r="E3684">
        <v>20</v>
      </c>
      <c r="F3684" t="s">
        <v>31</v>
      </c>
      <c r="G3684" t="s">
        <v>27</v>
      </c>
      <c r="H3684" s="1">
        <v>132.88999999999999</v>
      </c>
      <c r="I3684" t="s">
        <v>24</v>
      </c>
      <c r="J3684">
        <v>2</v>
      </c>
      <c r="K3684">
        <v>3</v>
      </c>
    </row>
    <row r="3685" spans="1:11" x14ac:dyDescent="0.35">
      <c r="A3685" t="s">
        <v>3722</v>
      </c>
      <c r="B3685">
        <v>50</v>
      </c>
      <c r="C3685" t="s">
        <v>18</v>
      </c>
      <c r="D3685" t="s">
        <v>19</v>
      </c>
      <c r="E3685">
        <v>12</v>
      </c>
      <c r="F3685" t="s">
        <v>22</v>
      </c>
      <c r="G3685" t="s">
        <v>27</v>
      </c>
      <c r="H3685" s="1">
        <v>55.41</v>
      </c>
      <c r="I3685" t="s">
        <v>43</v>
      </c>
      <c r="J3685">
        <v>2</v>
      </c>
      <c r="K3685">
        <v>4</v>
      </c>
    </row>
    <row r="3686" spans="1:11" x14ac:dyDescent="0.35">
      <c r="A3686" t="s">
        <v>3723</v>
      </c>
      <c r="B3686">
        <v>75</v>
      </c>
      <c r="C3686" t="s">
        <v>18</v>
      </c>
      <c r="D3686" t="s">
        <v>21</v>
      </c>
      <c r="E3686">
        <v>45</v>
      </c>
      <c r="F3686" t="s">
        <v>22</v>
      </c>
      <c r="G3686" t="s">
        <v>23</v>
      </c>
      <c r="H3686" s="1">
        <v>210.95</v>
      </c>
      <c r="I3686" t="s">
        <v>24</v>
      </c>
      <c r="J3686">
        <v>4</v>
      </c>
      <c r="K3686">
        <v>5</v>
      </c>
    </row>
    <row r="3687" spans="1:11" x14ac:dyDescent="0.35">
      <c r="A3687" t="s">
        <v>3724</v>
      </c>
      <c r="B3687">
        <v>72</v>
      </c>
      <c r="C3687" t="s">
        <v>12</v>
      </c>
      <c r="D3687" t="s">
        <v>19</v>
      </c>
      <c r="E3687">
        <v>21</v>
      </c>
      <c r="F3687" t="s">
        <v>22</v>
      </c>
      <c r="G3687" t="s">
        <v>34</v>
      </c>
      <c r="H3687" s="1">
        <v>211.5</v>
      </c>
      <c r="I3687" t="s">
        <v>24</v>
      </c>
      <c r="J3687">
        <v>2</v>
      </c>
      <c r="K3687">
        <v>4</v>
      </c>
    </row>
    <row r="3688" spans="1:11" x14ac:dyDescent="0.35">
      <c r="A3688" t="s">
        <v>3725</v>
      </c>
      <c r="B3688">
        <v>18</v>
      </c>
      <c r="C3688" t="s">
        <v>18</v>
      </c>
      <c r="D3688" t="s">
        <v>19</v>
      </c>
      <c r="E3688">
        <v>12</v>
      </c>
      <c r="F3688" t="s">
        <v>22</v>
      </c>
      <c r="G3688" t="s">
        <v>27</v>
      </c>
      <c r="H3688" s="1">
        <v>64.97</v>
      </c>
      <c r="I3688" t="s">
        <v>24</v>
      </c>
      <c r="J3688">
        <v>3</v>
      </c>
      <c r="K3688">
        <v>5</v>
      </c>
    </row>
    <row r="3689" spans="1:11" x14ac:dyDescent="0.35">
      <c r="A3689" t="s">
        <v>3726</v>
      </c>
      <c r="B3689">
        <v>78</v>
      </c>
      <c r="C3689" t="s">
        <v>18</v>
      </c>
      <c r="D3689" t="s">
        <v>30</v>
      </c>
      <c r="E3689">
        <v>7</v>
      </c>
      <c r="F3689" t="s">
        <v>22</v>
      </c>
      <c r="G3689" t="s">
        <v>23</v>
      </c>
      <c r="H3689" s="1">
        <v>540.80999999999995</v>
      </c>
      <c r="I3689" t="s">
        <v>24</v>
      </c>
      <c r="J3689">
        <v>2</v>
      </c>
      <c r="K3689">
        <v>10</v>
      </c>
    </row>
    <row r="3690" spans="1:11" x14ac:dyDescent="0.35">
      <c r="A3690" t="s">
        <v>3727</v>
      </c>
      <c r="B3690">
        <v>65</v>
      </c>
      <c r="C3690" t="s">
        <v>12</v>
      </c>
      <c r="D3690" t="s">
        <v>200</v>
      </c>
      <c r="E3690">
        <v>20</v>
      </c>
      <c r="F3690" t="s">
        <v>14</v>
      </c>
      <c r="G3690" t="s">
        <v>15</v>
      </c>
      <c r="H3690" s="1">
        <v>0</v>
      </c>
      <c r="I3690" t="s">
        <v>16</v>
      </c>
      <c r="J3690">
        <v>2</v>
      </c>
      <c r="K3690">
        <v>2</v>
      </c>
    </row>
    <row r="3691" spans="1:11" x14ac:dyDescent="0.35">
      <c r="A3691" t="s">
        <v>3728</v>
      </c>
      <c r="B3691">
        <v>56</v>
      </c>
      <c r="C3691" t="s">
        <v>12</v>
      </c>
      <c r="D3691" t="s">
        <v>19</v>
      </c>
      <c r="E3691">
        <v>9</v>
      </c>
      <c r="F3691" t="s">
        <v>33</v>
      </c>
      <c r="G3691" t="s">
        <v>27</v>
      </c>
      <c r="H3691" s="1">
        <v>93.8</v>
      </c>
      <c r="I3691" t="s">
        <v>24</v>
      </c>
      <c r="J3691">
        <v>1</v>
      </c>
      <c r="K3691">
        <v>4</v>
      </c>
    </row>
    <row r="3692" spans="1:11" x14ac:dyDescent="0.35">
      <c r="A3692" t="s">
        <v>3729</v>
      </c>
      <c r="B3692">
        <v>82</v>
      </c>
      <c r="C3692" t="s">
        <v>18</v>
      </c>
      <c r="D3692" t="s">
        <v>19</v>
      </c>
      <c r="E3692">
        <v>24</v>
      </c>
      <c r="F3692" t="s">
        <v>31</v>
      </c>
      <c r="G3692" t="s">
        <v>23</v>
      </c>
      <c r="H3692" s="1">
        <v>436.54</v>
      </c>
      <c r="I3692" t="s">
        <v>24</v>
      </c>
      <c r="J3692">
        <v>2</v>
      </c>
      <c r="K3692">
        <v>1</v>
      </c>
    </row>
    <row r="3693" spans="1:11" x14ac:dyDescent="0.35">
      <c r="A3693" t="s">
        <v>3730</v>
      </c>
      <c r="B3693">
        <v>50</v>
      </c>
      <c r="C3693" t="s">
        <v>12</v>
      </c>
      <c r="D3693" t="s">
        <v>21</v>
      </c>
      <c r="E3693">
        <v>27</v>
      </c>
      <c r="F3693" t="s">
        <v>22</v>
      </c>
      <c r="G3693" t="s">
        <v>23</v>
      </c>
      <c r="H3693" s="1">
        <v>486.67</v>
      </c>
      <c r="I3693" t="s">
        <v>24</v>
      </c>
      <c r="J3693">
        <v>1</v>
      </c>
      <c r="K3693">
        <v>4</v>
      </c>
    </row>
    <row r="3694" spans="1:11" x14ac:dyDescent="0.35">
      <c r="A3694" t="s">
        <v>3731</v>
      </c>
      <c r="B3694">
        <v>47</v>
      </c>
      <c r="C3694" t="s">
        <v>12</v>
      </c>
      <c r="D3694" t="s">
        <v>19</v>
      </c>
      <c r="E3694">
        <v>16</v>
      </c>
      <c r="F3694" t="s">
        <v>22</v>
      </c>
      <c r="G3694" t="s">
        <v>34</v>
      </c>
      <c r="H3694" s="1">
        <v>219.9</v>
      </c>
      <c r="I3694" t="s">
        <v>24</v>
      </c>
      <c r="J3694">
        <v>1</v>
      </c>
      <c r="K3694">
        <v>4</v>
      </c>
    </row>
    <row r="3695" spans="1:11" x14ac:dyDescent="0.35">
      <c r="A3695" t="s">
        <v>3732</v>
      </c>
      <c r="B3695">
        <v>34</v>
      </c>
      <c r="C3695" t="s">
        <v>12</v>
      </c>
      <c r="D3695" t="s">
        <v>19</v>
      </c>
      <c r="E3695">
        <v>6</v>
      </c>
      <c r="F3695" t="s">
        <v>31</v>
      </c>
      <c r="G3695" t="s">
        <v>37</v>
      </c>
      <c r="H3695" s="1">
        <v>155.16999999999999</v>
      </c>
      <c r="I3695" t="s">
        <v>24</v>
      </c>
      <c r="J3695">
        <v>0</v>
      </c>
      <c r="K3695">
        <v>10</v>
      </c>
    </row>
    <row r="3696" spans="1:11" x14ac:dyDescent="0.35">
      <c r="A3696" t="s">
        <v>3733</v>
      </c>
      <c r="B3696">
        <v>69</v>
      </c>
      <c r="C3696" t="s">
        <v>18</v>
      </c>
      <c r="D3696" t="s">
        <v>19</v>
      </c>
      <c r="E3696">
        <v>17</v>
      </c>
      <c r="F3696" t="s">
        <v>14</v>
      </c>
      <c r="G3696" t="s">
        <v>27</v>
      </c>
      <c r="H3696" s="1">
        <v>0</v>
      </c>
      <c r="I3696" t="s">
        <v>16</v>
      </c>
      <c r="J3696">
        <v>1</v>
      </c>
      <c r="K3696">
        <v>8</v>
      </c>
    </row>
    <row r="3697" spans="1:11" x14ac:dyDescent="0.35">
      <c r="A3697" t="s">
        <v>3734</v>
      </c>
      <c r="B3697">
        <v>43</v>
      </c>
      <c r="C3697" t="s">
        <v>18</v>
      </c>
      <c r="D3697" t="s">
        <v>30</v>
      </c>
      <c r="E3697">
        <v>9</v>
      </c>
      <c r="F3697" t="s">
        <v>22</v>
      </c>
      <c r="G3697" t="s">
        <v>23</v>
      </c>
      <c r="H3697" s="1">
        <v>150.93</v>
      </c>
      <c r="I3697" t="s">
        <v>24</v>
      </c>
      <c r="J3697">
        <v>2</v>
      </c>
      <c r="K3697">
        <v>4</v>
      </c>
    </row>
    <row r="3698" spans="1:11" x14ac:dyDescent="0.35">
      <c r="A3698" t="s">
        <v>3735</v>
      </c>
      <c r="B3698">
        <v>19</v>
      </c>
      <c r="C3698" t="s">
        <v>12</v>
      </c>
      <c r="D3698" t="s">
        <v>21</v>
      </c>
      <c r="E3698">
        <v>29</v>
      </c>
      <c r="F3698" t="s">
        <v>14</v>
      </c>
      <c r="G3698" t="s">
        <v>27</v>
      </c>
      <c r="H3698" s="1">
        <v>0</v>
      </c>
      <c r="I3698" t="s">
        <v>16</v>
      </c>
      <c r="J3698">
        <v>1</v>
      </c>
      <c r="K3698">
        <v>5</v>
      </c>
    </row>
    <row r="3699" spans="1:11" x14ac:dyDescent="0.35">
      <c r="A3699" t="s">
        <v>3736</v>
      </c>
      <c r="B3699">
        <v>69</v>
      </c>
      <c r="C3699" t="s">
        <v>12</v>
      </c>
      <c r="D3699" t="s">
        <v>21</v>
      </c>
      <c r="E3699">
        <v>27</v>
      </c>
      <c r="F3699" t="s">
        <v>33</v>
      </c>
      <c r="G3699" t="s">
        <v>15</v>
      </c>
      <c r="H3699" s="1">
        <v>302.26</v>
      </c>
      <c r="I3699" t="s">
        <v>24</v>
      </c>
      <c r="J3699">
        <v>3</v>
      </c>
      <c r="K3699">
        <v>5</v>
      </c>
    </row>
    <row r="3700" spans="1:11" x14ac:dyDescent="0.35">
      <c r="A3700" t="s">
        <v>3737</v>
      </c>
      <c r="B3700">
        <v>44</v>
      </c>
      <c r="C3700" t="s">
        <v>18</v>
      </c>
      <c r="D3700" t="s">
        <v>21</v>
      </c>
      <c r="E3700">
        <v>32</v>
      </c>
      <c r="F3700" t="s">
        <v>26</v>
      </c>
      <c r="G3700" t="s">
        <v>15</v>
      </c>
      <c r="H3700" s="1">
        <v>82.44</v>
      </c>
      <c r="I3700" t="s">
        <v>24</v>
      </c>
      <c r="J3700">
        <v>1</v>
      </c>
      <c r="K3700">
        <v>1</v>
      </c>
    </row>
    <row r="3701" spans="1:11" x14ac:dyDescent="0.35">
      <c r="A3701" t="s">
        <v>3738</v>
      </c>
      <c r="B3701">
        <v>19</v>
      </c>
      <c r="C3701" t="s">
        <v>12</v>
      </c>
      <c r="D3701" t="s">
        <v>21</v>
      </c>
      <c r="E3701">
        <v>38</v>
      </c>
      <c r="F3701" t="s">
        <v>31</v>
      </c>
      <c r="G3701" t="s">
        <v>34</v>
      </c>
      <c r="H3701" s="1">
        <v>124.16</v>
      </c>
      <c r="I3701" t="s">
        <v>24</v>
      </c>
      <c r="J3701">
        <v>2</v>
      </c>
      <c r="K3701">
        <v>1</v>
      </c>
    </row>
    <row r="3702" spans="1:11" x14ac:dyDescent="0.35">
      <c r="A3702" t="s">
        <v>3739</v>
      </c>
      <c r="B3702">
        <v>37</v>
      </c>
      <c r="C3702" t="s">
        <v>12</v>
      </c>
      <c r="D3702" t="s">
        <v>21</v>
      </c>
      <c r="E3702">
        <v>29</v>
      </c>
      <c r="F3702" t="s">
        <v>22</v>
      </c>
      <c r="G3702" t="s">
        <v>37</v>
      </c>
      <c r="H3702" s="1">
        <v>206.39</v>
      </c>
      <c r="I3702" t="s">
        <v>24</v>
      </c>
      <c r="J3702">
        <v>3</v>
      </c>
      <c r="K3702">
        <v>4</v>
      </c>
    </row>
    <row r="3703" spans="1:11" x14ac:dyDescent="0.35">
      <c r="A3703" t="s">
        <v>3740</v>
      </c>
      <c r="B3703">
        <v>26</v>
      </c>
      <c r="C3703" t="s">
        <v>18</v>
      </c>
      <c r="D3703" t="s">
        <v>13</v>
      </c>
      <c r="E3703">
        <v>20</v>
      </c>
      <c r="F3703" t="s">
        <v>33</v>
      </c>
      <c r="G3703" t="s">
        <v>15</v>
      </c>
      <c r="H3703" s="1">
        <v>367.91</v>
      </c>
      <c r="I3703" t="s">
        <v>24</v>
      </c>
      <c r="J3703">
        <v>4</v>
      </c>
      <c r="K3703">
        <v>3</v>
      </c>
    </row>
    <row r="3704" spans="1:11" x14ac:dyDescent="0.35">
      <c r="A3704" t="s">
        <v>3741</v>
      </c>
      <c r="B3704">
        <v>43</v>
      </c>
      <c r="C3704" t="s">
        <v>12</v>
      </c>
      <c r="D3704" t="s">
        <v>30</v>
      </c>
      <c r="E3704">
        <v>10</v>
      </c>
      <c r="F3704" t="s">
        <v>31</v>
      </c>
      <c r="G3704" t="s">
        <v>34</v>
      </c>
      <c r="H3704" s="1">
        <v>186.08</v>
      </c>
      <c r="I3704" t="s">
        <v>24</v>
      </c>
      <c r="J3704">
        <v>1</v>
      </c>
      <c r="K3704">
        <v>7</v>
      </c>
    </row>
    <row r="3705" spans="1:11" x14ac:dyDescent="0.35">
      <c r="A3705" t="s">
        <v>3742</v>
      </c>
      <c r="B3705">
        <v>31</v>
      </c>
      <c r="C3705" t="s">
        <v>18</v>
      </c>
      <c r="D3705" t="s">
        <v>13</v>
      </c>
      <c r="E3705">
        <v>12</v>
      </c>
      <c r="F3705" t="s">
        <v>22</v>
      </c>
      <c r="G3705" t="s">
        <v>27</v>
      </c>
      <c r="H3705" s="1">
        <v>93.91</v>
      </c>
      <c r="I3705" t="s">
        <v>24</v>
      </c>
      <c r="J3705">
        <v>1</v>
      </c>
      <c r="K3705">
        <v>5</v>
      </c>
    </row>
    <row r="3706" spans="1:11" x14ac:dyDescent="0.35">
      <c r="A3706" t="s">
        <v>3743</v>
      </c>
      <c r="B3706">
        <v>28</v>
      </c>
      <c r="C3706" t="s">
        <v>18</v>
      </c>
      <c r="D3706" t="s">
        <v>19</v>
      </c>
      <c r="E3706">
        <v>10</v>
      </c>
      <c r="F3706" t="s">
        <v>31</v>
      </c>
      <c r="G3706" t="s">
        <v>15</v>
      </c>
      <c r="H3706" s="1">
        <v>154.08000000000001</v>
      </c>
      <c r="I3706" t="s">
        <v>28</v>
      </c>
      <c r="J3706">
        <v>0</v>
      </c>
      <c r="K3706">
        <v>5</v>
      </c>
    </row>
    <row r="3707" spans="1:11" x14ac:dyDescent="0.35">
      <c r="A3707" t="s">
        <v>3744</v>
      </c>
      <c r="B3707">
        <v>83</v>
      </c>
      <c r="C3707" t="s">
        <v>12</v>
      </c>
      <c r="D3707" t="s">
        <v>30</v>
      </c>
      <c r="E3707">
        <v>4</v>
      </c>
      <c r="F3707" t="s">
        <v>33</v>
      </c>
      <c r="G3707" t="s">
        <v>37</v>
      </c>
      <c r="H3707" s="1">
        <v>149.66</v>
      </c>
      <c r="I3707" t="s">
        <v>43</v>
      </c>
      <c r="J3707">
        <v>1</v>
      </c>
      <c r="K3707">
        <v>10</v>
      </c>
    </row>
    <row r="3708" spans="1:11" x14ac:dyDescent="0.35">
      <c r="A3708" t="s">
        <v>3745</v>
      </c>
      <c r="B3708">
        <v>29</v>
      </c>
      <c r="C3708" t="s">
        <v>12</v>
      </c>
      <c r="D3708" t="s">
        <v>19</v>
      </c>
      <c r="E3708">
        <v>8</v>
      </c>
      <c r="F3708" t="s">
        <v>33</v>
      </c>
      <c r="G3708" t="s">
        <v>23</v>
      </c>
      <c r="H3708" s="1">
        <v>418.71</v>
      </c>
      <c r="I3708" t="s">
        <v>24</v>
      </c>
      <c r="J3708">
        <v>0</v>
      </c>
      <c r="K3708">
        <v>10</v>
      </c>
    </row>
    <row r="3709" spans="1:11" x14ac:dyDescent="0.35">
      <c r="A3709" t="s">
        <v>3746</v>
      </c>
      <c r="B3709">
        <v>82</v>
      </c>
      <c r="C3709" t="s">
        <v>12</v>
      </c>
      <c r="D3709" t="s">
        <v>19</v>
      </c>
      <c r="E3709">
        <v>14</v>
      </c>
      <c r="F3709" t="s">
        <v>33</v>
      </c>
      <c r="G3709" t="s">
        <v>37</v>
      </c>
      <c r="H3709" s="1">
        <v>101.83</v>
      </c>
      <c r="I3709" t="s">
        <v>24</v>
      </c>
      <c r="J3709">
        <v>0</v>
      </c>
      <c r="K3709">
        <v>6</v>
      </c>
    </row>
    <row r="3710" spans="1:11" x14ac:dyDescent="0.35">
      <c r="A3710" t="s">
        <v>3747</v>
      </c>
      <c r="B3710">
        <v>54</v>
      </c>
      <c r="C3710" t="s">
        <v>12</v>
      </c>
      <c r="D3710" t="s">
        <v>30</v>
      </c>
      <c r="E3710">
        <v>9</v>
      </c>
      <c r="F3710" t="s">
        <v>22</v>
      </c>
      <c r="G3710" t="s">
        <v>34</v>
      </c>
      <c r="H3710" s="1">
        <v>164.69</v>
      </c>
      <c r="I3710" t="s">
        <v>43</v>
      </c>
      <c r="J3710">
        <v>1</v>
      </c>
      <c r="K3710">
        <v>8</v>
      </c>
    </row>
    <row r="3711" spans="1:11" x14ac:dyDescent="0.35">
      <c r="A3711" t="s">
        <v>3748</v>
      </c>
      <c r="B3711">
        <v>75</v>
      </c>
      <c r="C3711" t="s">
        <v>12</v>
      </c>
      <c r="D3711" t="s">
        <v>21</v>
      </c>
      <c r="E3711">
        <v>31</v>
      </c>
      <c r="F3711" t="s">
        <v>22</v>
      </c>
      <c r="G3711" t="s">
        <v>27</v>
      </c>
      <c r="H3711" s="1">
        <v>152.27000000000001</v>
      </c>
      <c r="I3711" t="s">
        <v>24</v>
      </c>
      <c r="J3711">
        <v>1</v>
      </c>
      <c r="K3711">
        <v>5</v>
      </c>
    </row>
    <row r="3712" spans="1:11" x14ac:dyDescent="0.35">
      <c r="A3712" t="s">
        <v>3749</v>
      </c>
      <c r="B3712">
        <v>81</v>
      </c>
      <c r="C3712" t="s">
        <v>12</v>
      </c>
      <c r="D3712" t="s">
        <v>19</v>
      </c>
      <c r="E3712">
        <v>7</v>
      </c>
      <c r="F3712" t="s">
        <v>33</v>
      </c>
      <c r="G3712" t="s">
        <v>23</v>
      </c>
      <c r="H3712" s="1">
        <v>135.44999999999999</v>
      </c>
      <c r="I3712" t="s">
        <v>24</v>
      </c>
      <c r="J3712">
        <v>0</v>
      </c>
      <c r="K3712">
        <v>9</v>
      </c>
    </row>
    <row r="3713" spans="1:11" x14ac:dyDescent="0.35">
      <c r="A3713" t="s">
        <v>3750</v>
      </c>
      <c r="B3713">
        <v>27</v>
      </c>
      <c r="C3713" t="s">
        <v>12</v>
      </c>
      <c r="D3713" t="s">
        <v>13</v>
      </c>
      <c r="E3713">
        <v>7</v>
      </c>
      <c r="F3713" t="s">
        <v>33</v>
      </c>
      <c r="G3713" t="s">
        <v>27</v>
      </c>
      <c r="H3713" s="1">
        <v>67.900000000000006</v>
      </c>
      <c r="I3713" t="s">
        <v>24</v>
      </c>
      <c r="J3713">
        <v>0</v>
      </c>
      <c r="K3713">
        <v>9</v>
      </c>
    </row>
    <row r="3714" spans="1:11" x14ac:dyDescent="0.35">
      <c r="A3714" t="s">
        <v>3751</v>
      </c>
      <c r="B3714">
        <v>70</v>
      </c>
      <c r="C3714" t="s">
        <v>12</v>
      </c>
      <c r="D3714" t="s">
        <v>19</v>
      </c>
      <c r="E3714">
        <v>23</v>
      </c>
      <c r="F3714" t="s">
        <v>33</v>
      </c>
      <c r="G3714" t="s">
        <v>27</v>
      </c>
      <c r="H3714" s="1">
        <v>78.33</v>
      </c>
      <c r="I3714" t="s">
        <v>24</v>
      </c>
      <c r="J3714">
        <v>1</v>
      </c>
      <c r="K3714">
        <v>2</v>
      </c>
    </row>
    <row r="3715" spans="1:11" x14ac:dyDescent="0.35">
      <c r="A3715" t="s">
        <v>3752</v>
      </c>
      <c r="B3715">
        <v>66</v>
      </c>
      <c r="C3715" t="s">
        <v>12</v>
      </c>
      <c r="D3715" t="s">
        <v>41</v>
      </c>
      <c r="E3715">
        <v>3</v>
      </c>
      <c r="F3715" t="s">
        <v>31</v>
      </c>
      <c r="G3715" t="s">
        <v>23</v>
      </c>
      <c r="H3715" s="1">
        <v>301.88</v>
      </c>
      <c r="I3715" t="s">
        <v>28</v>
      </c>
      <c r="J3715">
        <v>0</v>
      </c>
      <c r="K3715">
        <v>9</v>
      </c>
    </row>
    <row r="3716" spans="1:11" x14ac:dyDescent="0.35">
      <c r="A3716" t="s">
        <v>3753</v>
      </c>
      <c r="B3716">
        <v>35</v>
      </c>
      <c r="C3716" t="s">
        <v>18</v>
      </c>
      <c r="D3716" t="s">
        <v>19</v>
      </c>
      <c r="E3716">
        <v>9</v>
      </c>
      <c r="F3716" t="s">
        <v>33</v>
      </c>
      <c r="G3716" t="s">
        <v>37</v>
      </c>
      <c r="H3716" s="1">
        <v>186.89</v>
      </c>
      <c r="I3716" t="s">
        <v>28</v>
      </c>
      <c r="J3716">
        <v>1</v>
      </c>
      <c r="K3716">
        <v>5</v>
      </c>
    </row>
    <row r="3717" spans="1:11" x14ac:dyDescent="0.35">
      <c r="A3717" t="s">
        <v>3754</v>
      </c>
      <c r="B3717">
        <v>20</v>
      </c>
      <c r="C3717" t="s">
        <v>18</v>
      </c>
      <c r="D3717" t="s">
        <v>19</v>
      </c>
      <c r="E3717">
        <v>10</v>
      </c>
      <c r="F3717" t="s">
        <v>26</v>
      </c>
      <c r="G3717" t="s">
        <v>34</v>
      </c>
      <c r="H3717" s="1">
        <v>105.67</v>
      </c>
      <c r="I3717" t="s">
        <v>24</v>
      </c>
      <c r="J3717">
        <v>1</v>
      </c>
      <c r="K3717">
        <v>7</v>
      </c>
    </row>
    <row r="3718" spans="1:11" x14ac:dyDescent="0.35">
      <c r="A3718" t="s">
        <v>3755</v>
      </c>
      <c r="B3718">
        <v>28</v>
      </c>
      <c r="C3718" t="s">
        <v>12</v>
      </c>
      <c r="D3718" t="s">
        <v>21</v>
      </c>
      <c r="E3718">
        <v>36</v>
      </c>
      <c r="F3718" t="s">
        <v>33</v>
      </c>
      <c r="G3718" t="s">
        <v>37</v>
      </c>
      <c r="H3718" s="1">
        <v>210.9</v>
      </c>
      <c r="I3718" t="s">
        <v>28</v>
      </c>
      <c r="J3718">
        <v>4</v>
      </c>
      <c r="K3718">
        <v>4</v>
      </c>
    </row>
    <row r="3719" spans="1:11" x14ac:dyDescent="0.35">
      <c r="A3719" t="s">
        <v>3756</v>
      </c>
      <c r="B3719">
        <v>82</v>
      </c>
      <c r="C3719" t="s">
        <v>18</v>
      </c>
      <c r="D3719" t="s">
        <v>13</v>
      </c>
      <c r="E3719">
        <v>14</v>
      </c>
      <c r="F3719" t="s">
        <v>33</v>
      </c>
      <c r="G3719" t="s">
        <v>34</v>
      </c>
      <c r="H3719" s="1">
        <v>116.59</v>
      </c>
      <c r="I3719" t="s">
        <v>24</v>
      </c>
      <c r="J3719">
        <v>3</v>
      </c>
      <c r="K3719">
        <v>5</v>
      </c>
    </row>
    <row r="3720" spans="1:11" x14ac:dyDescent="0.35">
      <c r="A3720" t="s">
        <v>3757</v>
      </c>
      <c r="B3720">
        <v>79</v>
      </c>
      <c r="C3720" t="s">
        <v>12</v>
      </c>
      <c r="D3720" t="s">
        <v>19</v>
      </c>
      <c r="E3720">
        <v>15</v>
      </c>
      <c r="F3720" t="s">
        <v>31</v>
      </c>
      <c r="G3720" t="s">
        <v>15</v>
      </c>
      <c r="H3720" s="1">
        <v>371.97</v>
      </c>
      <c r="I3720" t="s">
        <v>24</v>
      </c>
      <c r="J3720">
        <v>3</v>
      </c>
      <c r="K3720">
        <v>6</v>
      </c>
    </row>
    <row r="3721" spans="1:11" x14ac:dyDescent="0.35">
      <c r="A3721" t="s">
        <v>3758</v>
      </c>
      <c r="B3721">
        <v>83</v>
      </c>
      <c r="C3721" t="s">
        <v>12</v>
      </c>
      <c r="D3721" t="s">
        <v>21</v>
      </c>
      <c r="E3721">
        <v>31</v>
      </c>
      <c r="F3721" t="s">
        <v>22</v>
      </c>
      <c r="G3721" t="s">
        <v>15</v>
      </c>
      <c r="H3721" s="1">
        <v>208.07</v>
      </c>
      <c r="I3721" t="s">
        <v>24</v>
      </c>
      <c r="J3721">
        <v>2</v>
      </c>
      <c r="K3721">
        <v>2</v>
      </c>
    </row>
    <row r="3722" spans="1:11" x14ac:dyDescent="0.35">
      <c r="A3722" t="s">
        <v>3759</v>
      </c>
      <c r="B3722">
        <v>62</v>
      </c>
      <c r="C3722" t="s">
        <v>18</v>
      </c>
      <c r="D3722" t="s">
        <v>41</v>
      </c>
      <c r="E3722">
        <v>3</v>
      </c>
      <c r="F3722" t="s">
        <v>33</v>
      </c>
      <c r="G3722" t="s">
        <v>27</v>
      </c>
      <c r="H3722" s="1">
        <v>151.62</v>
      </c>
      <c r="I3722" t="s">
        <v>24</v>
      </c>
      <c r="J3722">
        <v>0</v>
      </c>
      <c r="K3722">
        <v>10</v>
      </c>
    </row>
    <row r="3723" spans="1:11" x14ac:dyDescent="0.35">
      <c r="A3723" t="s">
        <v>3760</v>
      </c>
      <c r="B3723">
        <v>82</v>
      </c>
      <c r="C3723" t="s">
        <v>18</v>
      </c>
      <c r="D3723" t="s">
        <v>19</v>
      </c>
      <c r="E3723">
        <v>9</v>
      </c>
      <c r="F3723" t="s">
        <v>26</v>
      </c>
      <c r="G3723" t="s">
        <v>23</v>
      </c>
      <c r="H3723" s="1">
        <v>553.64</v>
      </c>
      <c r="I3723" t="s">
        <v>24</v>
      </c>
      <c r="J3723">
        <v>0</v>
      </c>
      <c r="K3723">
        <v>4</v>
      </c>
    </row>
    <row r="3724" spans="1:11" x14ac:dyDescent="0.35">
      <c r="A3724" t="s">
        <v>3761</v>
      </c>
      <c r="B3724">
        <v>23</v>
      </c>
      <c r="C3724" t="s">
        <v>12</v>
      </c>
      <c r="D3724" t="s">
        <v>19</v>
      </c>
      <c r="E3724">
        <v>20</v>
      </c>
      <c r="F3724" t="s">
        <v>22</v>
      </c>
      <c r="G3724" t="s">
        <v>34</v>
      </c>
      <c r="H3724" s="1">
        <v>199.5</v>
      </c>
      <c r="I3724" t="s">
        <v>24</v>
      </c>
      <c r="J3724">
        <v>4</v>
      </c>
      <c r="K3724">
        <v>2</v>
      </c>
    </row>
    <row r="3725" spans="1:11" x14ac:dyDescent="0.35">
      <c r="A3725" t="s">
        <v>3762</v>
      </c>
      <c r="B3725">
        <v>59</v>
      </c>
      <c r="C3725" t="s">
        <v>18</v>
      </c>
      <c r="D3725" t="s">
        <v>19</v>
      </c>
      <c r="E3725">
        <v>16</v>
      </c>
      <c r="F3725" t="s">
        <v>14</v>
      </c>
      <c r="G3725" t="s">
        <v>27</v>
      </c>
      <c r="H3725" s="1">
        <v>0</v>
      </c>
      <c r="I3725" t="s">
        <v>16</v>
      </c>
      <c r="J3725">
        <v>2</v>
      </c>
      <c r="K3725">
        <v>8</v>
      </c>
    </row>
    <row r="3726" spans="1:11" x14ac:dyDescent="0.35">
      <c r="A3726" t="s">
        <v>3763</v>
      </c>
      <c r="B3726">
        <v>31</v>
      </c>
      <c r="C3726" t="s">
        <v>12</v>
      </c>
      <c r="D3726" t="s">
        <v>13</v>
      </c>
      <c r="E3726">
        <v>17</v>
      </c>
      <c r="F3726" t="s">
        <v>33</v>
      </c>
      <c r="G3726" t="s">
        <v>15</v>
      </c>
      <c r="H3726" s="1">
        <v>302.48</v>
      </c>
      <c r="I3726" t="s">
        <v>24</v>
      </c>
      <c r="J3726">
        <v>1</v>
      </c>
      <c r="K3726">
        <v>7</v>
      </c>
    </row>
    <row r="3727" spans="1:11" x14ac:dyDescent="0.35">
      <c r="A3727" t="s">
        <v>3764</v>
      </c>
      <c r="B3727">
        <v>69</v>
      </c>
      <c r="C3727" t="s">
        <v>12</v>
      </c>
      <c r="D3727" t="s">
        <v>21</v>
      </c>
      <c r="E3727">
        <v>12</v>
      </c>
      <c r="F3727" t="s">
        <v>33</v>
      </c>
      <c r="G3727" t="s">
        <v>34</v>
      </c>
      <c r="H3727" s="1">
        <v>191.02</v>
      </c>
      <c r="I3727" t="s">
        <v>24</v>
      </c>
      <c r="J3727">
        <v>1</v>
      </c>
      <c r="K3727">
        <v>6</v>
      </c>
    </row>
    <row r="3728" spans="1:11" x14ac:dyDescent="0.35">
      <c r="A3728" t="s">
        <v>3765</v>
      </c>
      <c r="B3728">
        <v>20</v>
      </c>
      <c r="C3728" t="s">
        <v>12</v>
      </c>
      <c r="D3728" t="s">
        <v>19</v>
      </c>
      <c r="E3728">
        <v>12</v>
      </c>
      <c r="F3728" t="s">
        <v>31</v>
      </c>
      <c r="G3728" t="s">
        <v>23</v>
      </c>
      <c r="H3728" s="1">
        <v>587.13</v>
      </c>
      <c r="I3728" t="s">
        <v>24</v>
      </c>
      <c r="J3728">
        <v>0</v>
      </c>
      <c r="K3728">
        <v>4</v>
      </c>
    </row>
    <row r="3729" spans="1:11" x14ac:dyDescent="0.35">
      <c r="A3729" t="s">
        <v>3766</v>
      </c>
      <c r="B3729">
        <v>20</v>
      </c>
      <c r="C3729" t="s">
        <v>12</v>
      </c>
      <c r="D3729" t="s">
        <v>21</v>
      </c>
      <c r="E3729">
        <v>38</v>
      </c>
      <c r="F3729" t="s">
        <v>33</v>
      </c>
      <c r="G3729" t="s">
        <v>27</v>
      </c>
      <c r="H3729" s="1">
        <v>42.63</v>
      </c>
      <c r="I3729" t="s">
        <v>24</v>
      </c>
      <c r="J3729">
        <v>0</v>
      </c>
      <c r="K3729">
        <v>4</v>
      </c>
    </row>
    <row r="3730" spans="1:11" x14ac:dyDescent="0.35">
      <c r="A3730" t="s">
        <v>3767</v>
      </c>
      <c r="B3730">
        <v>29</v>
      </c>
      <c r="C3730" t="s">
        <v>12</v>
      </c>
      <c r="D3730" t="s">
        <v>30</v>
      </c>
      <c r="E3730">
        <v>12</v>
      </c>
      <c r="F3730" t="s">
        <v>22</v>
      </c>
      <c r="G3730" t="s">
        <v>15</v>
      </c>
      <c r="H3730" s="1">
        <v>416.61</v>
      </c>
      <c r="I3730" t="s">
        <v>28</v>
      </c>
      <c r="J3730">
        <v>0</v>
      </c>
      <c r="K3730">
        <v>8</v>
      </c>
    </row>
    <row r="3731" spans="1:11" x14ac:dyDescent="0.35">
      <c r="A3731" t="s">
        <v>3768</v>
      </c>
      <c r="B3731">
        <v>62</v>
      </c>
      <c r="C3731" t="s">
        <v>12</v>
      </c>
      <c r="D3731" t="s">
        <v>30</v>
      </c>
      <c r="E3731">
        <v>8</v>
      </c>
      <c r="F3731" t="s">
        <v>33</v>
      </c>
      <c r="G3731" t="s">
        <v>15</v>
      </c>
      <c r="H3731" s="1">
        <v>117.63</v>
      </c>
      <c r="I3731" t="s">
        <v>24</v>
      </c>
      <c r="J3731">
        <v>0</v>
      </c>
      <c r="K3731">
        <v>9</v>
      </c>
    </row>
    <row r="3732" spans="1:11" x14ac:dyDescent="0.35">
      <c r="A3732" t="s">
        <v>3769</v>
      </c>
      <c r="B3732">
        <v>55</v>
      </c>
      <c r="C3732" t="s">
        <v>18</v>
      </c>
      <c r="D3732" t="s">
        <v>30</v>
      </c>
      <c r="E3732">
        <v>3</v>
      </c>
      <c r="F3732" t="s">
        <v>22</v>
      </c>
      <c r="G3732" t="s">
        <v>15</v>
      </c>
      <c r="H3732" s="1">
        <v>106.22</v>
      </c>
      <c r="I3732" t="s">
        <v>24</v>
      </c>
      <c r="J3732">
        <v>0</v>
      </c>
      <c r="K3732">
        <v>8</v>
      </c>
    </row>
    <row r="3733" spans="1:11" x14ac:dyDescent="0.35">
      <c r="A3733" t="s">
        <v>3770</v>
      </c>
      <c r="B3733">
        <v>18</v>
      </c>
      <c r="C3733" t="s">
        <v>18</v>
      </c>
      <c r="D3733" t="s">
        <v>13</v>
      </c>
      <c r="E3733">
        <v>9</v>
      </c>
      <c r="F3733" t="s">
        <v>33</v>
      </c>
      <c r="G3733" t="s">
        <v>27</v>
      </c>
      <c r="H3733" s="1">
        <v>23.78</v>
      </c>
      <c r="I3733" t="s">
        <v>24</v>
      </c>
      <c r="J3733">
        <v>1</v>
      </c>
      <c r="K3733">
        <v>4</v>
      </c>
    </row>
    <row r="3734" spans="1:11" x14ac:dyDescent="0.35">
      <c r="A3734" t="s">
        <v>3771</v>
      </c>
      <c r="B3734">
        <v>73</v>
      </c>
      <c r="C3734" t="s">
        <v>12</v>
      </c>
      <c r="D3734" t="s">
        <v>19</v>
      </c>
      <c r="E3734">
        <v>13</v>
      </c>
      <c r="F3734" t="s">
        <v>31</v>
      </c>
      <c r="G3734" t="s">
        <v>27</v>
      </c>
      <c r="H3734" s="1">
        <v>66.510000000000005</v>
      </c>
      <c r="I3734" t="s">
        <v>24</v>
      </c>
      <c r="J3734">
        <v>3</v>
      </c>
      <c r="K3734">
        <v>6</v>
      </c>
    </row>
    <row r="3735" spans="1:11" x14ac:dyDescent="0.35">
      <c r="A3735" t="s">
        <v>3772</v>
      </c>
      <c r="B3735">
        <v>50</v>
      </c>
      <c r="C3735" t="s">
        <v>12</v>
      </c>
      <c r="D3735" t="s">
        <v>19</v>
      </c>
      <c r="E3735">
        <v>7</v>
      </c>
      <c r="F3735" t="s">
        <v>26</v>
      </c>
      <c r="G3735" t="s">
        <v>34</v>
      </c>
      <c r="H3735" s="1">
        <v>184.67</v>
      </c>
      <c r="I3735" t="s">
        <v>43</v>
      </c>
      <c r="J3735">
        <v>2</v>
      </c>
      <c r="K3735">
        <v>8</v>
      </c>
    </row>
    <row r="3736" spans="1:11" x14ac:dyDescent="0.35">
      <c r="A3736" t="s">
        <v>3773</v>
      </c>
      <c r="B3736">
        <v>83</v>
      </c>
      <c r="C3736" t="s">
        <v>12</v>
      </c>
      <c r="D3736" t="s">
        <v>21</v>
      </c>
      <c r="E3736">
        <v>47</v>
      </c>
      <c r="F3736" t="s">
        <v>26</v>
      </c>
      <c r="G3736" t="s">
        <v>34</v>
      </c>
      <c r="H3736" s="1">
        <v>215.25</v>
      </c>
      <c r="I3736" t="s">
        <v>24</v>
      </c>
      <c r="J3736">
        <v>1</v>
      </c>
      <c r="K3736">
        <v>1</v>
      </c>
    </row>
    <row r="3737" spans="1:11" x14ac:dyDescent="0.35">
      <c r="A3737" t="s">
        <v>3774</v>
      </c>
      <c r="B3737">
        <v>37</v>
      </c>
      <c r="C3737" t="s">
        <v>12</v>
      </c>
      <c r="D3737" t="s">
        <v>21</v>
      </c>
      <c r="E3737">
        <v>34</v>
      </c>
      <c r="F3737" t="s">
        <v>31</v>
      </c>
      <c r="G3737" t="s">
        <v>15</v>
      </c>
      <c r="H3737" s="1">
        <v>302.61</v>
      </c>
      <c r="I3737" t="s">
        <v>24</v>
      </c>
      <c r="J3737">
        <v>2</v>
      </c>
      <c r="K3737">
        <v>1</v>
      </c>
    </row>
    <row r="3738" spans="1:11" x14ac:dyDescent="0.35">
      <c r="A3738" t="s">
        <v>3775</v>
      </c>
      <c r="B3738">
        <v>24</v>
      </c>
      <c r="C3738" t="s">
        <v>12</v>
      </c>
      <c r="D3738" t="s">
        <v>19</v>
      </c>
      <c r="E3738">
        <v>19</v>
      </c>
      <c r="F3738" t="s">
        <v>31</v>
      </c>
      <c r="G3738" t="s">
        <v>27</v>
      </c>
      <c r="H3738" s="1">
        <v>178.29</v>
      </c>
      <c r="I3738" t="s">
        <v>24</v>
      </c>
      <c r="J3738">
        <v>4</v>
      </c>
      <c r="K3738">
        <v>1</v>
      </c>
    </row>
    <row r="3739" spans="1:11" x14ac:dyDescent="0.35">
      <c r="A3739" t="s">
        <v>3776</v>
      </c>
      <c r="B3739">
        <v>25</v>
      </c>
      <c r="C3739" t="s">
        <v>18</v>
      </c>
      <c r="D3739" t="s">
        <v>19</v>
      </c>
      <c r="E3739">
        <v>17</v>
      </c>
      <c r="F3739" t="s">
        <v>14</v>
      </c>
      <c r="G3739" t="s">
        <v>37</v>
      </c>
      <c r="H3739" s="1">
        <v>0</v>
      </c>
      <c r="I3739" t="s">
        <v>16</v>
      </c>
      <c r="J3739">
        <v>0</v>
      </c>
      <c r="K3739">
        <v>7</v>
      </c>
    </row>
    <row r="3740" spans="1:11" x14ac:dyDescent="0.35">
      <c r="A3740" t="s">
        <v>3777</v>
      </c>
      <c r="B3740">
        <v>54</v>
      </c>
      <c r="C3740" t="s">
        <v>18</v>
      </c>
      <c r="D3740" t="s">
        <v>13</v>
      </c>
      <c r="E3740">
        <v>7</v>
      </c>
      <c r="F3740" t="s">
        <v>33</v>
      </c>
      <c r="G3740" t="s">
        <v>34</v>
      </c>
      <c r="H3740" s="1">
        <v>152.35</v>
      </c>
      <c r="I3740" t="s">
        <v>28</v>
      </c>
      <c r="J3740">
        <v>2</v>
      </c>
      <c r="K3740">
        <v>10</v>
      </c>
    </row>
    <row r="3741" spans="1:11" x14ac:dyDescent="0.35">
      <c r="A3741" t="s">
        <v>3778</v>
      </c>
      <c r="B3741">
        <v>70</v>
      </c>
      <c r="C3741" t="s">
        <v>18</v>
      </c>
      <c r="D3741" t="s">
        <v>30</v>
      </c>
      <c r="E3741">
        <v>10</v>
      </c>
      <c r="F3741" t="s">
        <v>14</v>
      </c>
      <c r="G3741" t="s">
        <v>27</v>
      </c>
      <c r="H3741" s="1">
        <v>0</v>
      </c>
      <c r="I3741" t="s">
        <v>16</v>
      </c>
      <c r="J3741">
        <v>1</v>
      </c>
      <c r="K3741">
        <v>6</v>
      </c>
    </row>
    <row r="3742" spans="1:11" x14ac:dyDescent="0.35">
      <c r="A3742" t="s">
        <v>3779</v>
      </c>
      <c r="B3742">
        <v>76</v>
      </c>
      <c r="C3742" t="s">
        <v>18</v>
      </c>
      <c r="D3742" t="s">
        <v>19</v>
      </c>
      <c r="E3742">
        <v>17</v>
      </c>
      <c r="F3742" t="s">
        <v>31</v>
      </c>
      <c r="G3742" t="s">
        <v>15</v>
      </c>
      <c r="H3742" s="1">
        <v>357.35</v>
      </c>
      <c r="I3742" t="s">
        <v>28</v>
      </c>
      <c r="J3742">
        <v>1</v>
      </c>
      <c r="K3742">
        <v>4</v>
      </c>
    </row>
    <row r="3743" spans="1:11" x14ac:dyDescent="0.35">
      <c r="A3743" t="s">
        <v>3780</v>
      </c>
      <c r="B3743">
        <v>33</v>
      </c>
      <c r="C3743" t="s">
        <v>18</v>
      </c>
      <c r="D3743" t="s">
        <v>30</v>
      </c>
      <c r="E3743">
        <v>5</v>
      </c>
      <c r="F3743" t="s">
        <v>31</v>
      </c>
      <c r="G3743" t="s">
        <v>23</v>
      </c>
      <c r="H3743" s="1">
        <v>188.45</v>
      </c>
      <c r="I3743" t="s">
        <v>24</v>
      </c>
      <c r="J3743">
        <v>0</v>
      </c>
      <c r="K3743">
        <v>7</v>
      </c>
    </row>
    <row r="3744" spans="1:11" x14ac:dyDescent="0.35">
      <c r="A3744" t="s">
        <v>3781</v>
      </c>
      <c r="B3744">
        <v>61</v>
      </c>
      <c r="C3744" t="s">
        <v>528</v>
      </c>
      <c r="D3744" t="s">
        <v>19</v>
      </c>
      <c r="E3744">
        <v>20</v>
      </c>
      <c r="F3744" t="s">
        <v>33</v>
      </c>
      <c r="G3744" t="s">
        <v>23</v>
      </c>
      <c r="H3744" s="1">
        <v>279.57</v>
      </c>
      <c r="I3744" t="s">
        <v>24</v>
      </c>
      <c r="J3744">
        <v>2</v>
      </c>
      <c r="K3744">
        <v>2</v>
      </c>
    </row>
    <row r="3745" spans="1:11" x14ac:dyDescent="0.35">
      <c r="A3745" t="s">
        <v>3782</v>
      </c>
      <c r="B3745">
        <v>77</v>
      </c>
      <c r="C3745" t="s">
        <v>12</v>
      </c>
      <c r="D3745" t="s">
        <v>57</v>
      </c>
      <c r="E3745">
        <v>36</v>
      </c>
      <c r="F3745" t="s">
        <v>33</v>
      </c>
      <c r="G3745" t="s">
        <v>27</v>
      </c>
      <c r="H3745" s="1">
        <v>64.040000000000006</v>
      </c>
      <c r="I3745" t="s">
        <v>24</v>
      </c>
      <c r="J3745">
        <v>0</v>
      </c>
      <c r="K3745">
        <v>2</v>
      </c>
    </row>
    <row r="3746" spans="1:11" x14ac:dyDescent="0.35">
      <c r="A3746" t="s">
        <v>3783</v>
      </c>
      <c r="B3746">
        <v>69</v>
      </c>
      <c r="C3746" t="s">
        <v>12</v>
      </c>
      <c r="D3746" t="s">
        <v>13</v>
      </c>
      <c r="E3746">
        <v>15</v>
      </c>
      <c r="F3746" t="s">
        <v>26</v>
      </c>
      <c r="G3746" t="s">
        <v>27</v>
      </c>
      <c r="H3746" s="1">
        <v>17.22</v>
      </c>
      <c r="I3746" t="s">
        <v>24</v>
      </c>
      <c r="J3746">
        <v>0</v>
      </c>
      <c r="K3746">
        <v>6</v>
      </c>
    </row>
    <row r="3747" spans="1:11" x14ac:dyDescent="0.35">
      <c r="A3747" t="s">
        <v>3784</v>
      </c>
      <c r="B3747">
        <v>44</v>
      </c>
      <c r="C3747" t="s">
        <v>12</v>
      </c>
      <c r="D3747" t="s">
        <v>120</v>
      </c>
      <c r="E3747">
        <v>40</v>
      </c>
      <c r="F3747" t="s">
        <v>33</v>
      </c>
      <c r="G3747" t="s">
        <v>34</v>
      </c>
      <c r="H3747" s="1">
        <v>92.32</v>
      </c>
      <c r="I3747" t="s">
        <v>24</v>
      </c>
      <c r="J3747">
        <v>3</v>
      </c>
      <c r="K3747">
        <v>2</v>
      </c>
    </row>
    <row r="3748" spans="1:11" x14ac:dyDescent="0.35">
      <c r="A3748" t="s">
        <v>3785</v>
      </c>
      <c r="B3748">
        <v>83</v>
      </c>
      <c r="C3748" t="s">
        <v>12</v>
      </c>
      <c r="D3748" t="s">
        <v>19</v>
      </c>
      <c r="E3748">
        <v>9</v>
      </c>
      <c r="F3748" t="s">
        <v>26</v>
      </c>
      <c r="G3748" t="s">
        <v>23</v>
      </c>
      <c r="H3748" s="1">
        <v>564.05999999999995</v>
      </c>
      <c r="I3748" t="s">
        <v>24</v>
      </c>
      <c r="J3748">
        <v>1</v>
      </c>
      <c r="K3748">
        <v>6</v>
      </c>
    </row>
    <row r="3749" spans="1:11" x14ac:dyDescent="0.35">
      <c r="A3749" t="s">
        <v>3786</v>
      </c>
      <c r="B3749">
        <v>30</v>
      </c>
      <c r="C3749" t="s">
        <v>18</v>
      </c>
      <c r="D3749" t="s">
        <v>13</v>
      </c>
      <c r="E3749">
        <v>17</v>
      </c>
      <c r="F3749" t="s">
        <v>26</v>
      </c>
      <c r="G3749" t="s">
        <v>23</v>
      </c>
      <c r="H3749" s="1">
        <v>123.88</v>
      </c>
      <c r="I3749" t="s">
        <v>28</v>
      </c>
      <c r="J3749">
        <v>2</v>
      </c>
      <c r="K3749">
        <v>4</v>
      </c>
    </row>
    <row r="3750" spans="1:11" x14ac:dyDescent="0.35">
      <c r="A3750" t="s">
        <v>3787</v>
      </c>
      <c r="B3750">
        <v>18</v>
      </c>
      <c r="C3750" t="s">
        <v>18</v>
      </c>
      <c r="D3750" t="s">
        <v>13</v>
      </c>
      <c r="E3750">
        <v>14</v>
      </c>
      <c r="F3750" t="s">
        <v>26</v>
      </c>
      <c r="G3750" t="s">
        <v>15</v>
      </c>
      <c r="H3750" s="1">
        <v>129.32</v>
      </c>
      <c r="I3750" t="s">
        <v>24</v>
      </c>
      <c r="J3750">
        <v>0</v>
      </c>
      <c r="K3750">
        <v>5</v>
      </c>
    </row>
    <row r="3751" spans="1:11" x14ac:dyDescent="0.35">
      <c r="A3751" t="s">
        <v>3788</v>
      </c>
      <c r="B3751">
        <v>81</v>
      </c>
      <c r="C3751" t="s">
        <v>12</v>
      </c>
      <c r="D3751" t="s">
        <v>19</v>
      </c>
      <c r="E3751">
        <v>15</v>
      </c>
      <c r="F3751" t="s">
        <v>22</v>
      </c>
      <c r="G3751" t="s">
        <v>34</v>
      </c>
      <c r="H3751" s="1">
        <v>117.48</v>
      </c>
      <c r="I3751" t="s">
        <v>24</v>
      </c>
      <c r="J3751">
        <v>1</v>
      </c>
      <c r="K3751">
        <v>4</v>
      </c>
    </row>
    <row r="3752" spans="1:11" x14ac:dyDescent="0.35">
      <c r="A3752" t="s">
        <v>3789</v>
      </c>
      <c r="B3752">
        <v>81</v>
      </c>
      <c r="C3752" t="s">
        <v>12</v>
      </c>
      <c r="D3752" t="s">
        <v>19</v>
      </c>
      <c r="E3752">
        <v>18</v>
      </c>
      <c r="F3752" t="s">
        <v>22</v>
      </c>
      <c r="G3752" t="s">
        <v>23</v>
      </c>
      <c r="H3752" s="1">
        <v>226.36</v>
      </c>
      <c r="I3752" t="s">
        <v>24</v>
      </c>
      <c r="J3752">
        <v>0</v>
      </c>
      <c r="K3752">
        <v>6</v>
      </c>
    </row>
    <row r="3753" spans="1:11" x14ac:dyDescent="0.35">
      <c r="A3753" t="s">
        <v>3790</v>
      </c>
      <c r="B3753">
        <v>26</v>
      </c>
      <c r="C3753" t="s">
        <v>12</v>
      </c>
      <c r="D3753" t="s">
        <v>41</v>
      </c>
      <c r="E3753">
        <v>13</v>
      </c>
      <c r="F3753" t="s">
        <v>33</v>
      </c>
      <c r="G3753" t="s">
        <v>23</v>
      </c>
      <c r="H3753" s="1">
        <v>215.4</v>
      </c>
      <c r="I3753" t="s">
        <v>24</v>
      </c>
      <c r="J3753">
        <v>3</v>
      </c>
      <c r="K3753">
        <v>8</v>
      </c>
    </row>
    <row r="3754" spans="1:11" x14ac:dyDescent="0.35">
      <c r="A3754" t="s">
        <v>3791</v>
      </c>
      <c r="B3754">
        <v>23</v>
      </c>
      <c r="C3754" t="s">
        <v>12</v>
      </c>
      <c r="D3754" t="s">
        <v>30</v>
      </c>
      <c r="E3754">
        <v>13</v>
      </c>
      <c r="F3754" t="s">
        <v>14</v>
      </c>
      <c r="G3754" t="s">
        <v>23</v>
      </c>
      <c r="H3754" s="1">
        <v>0</v>
      </c>
      <c r="I3754" t="s">
        <v>16</v>
      </c>
      <c r="J3754">
        <v>0</v>
      </c>
      <c r="K3754">
        <v>4</v>
      </c>
    </row>
    <row r="3755" spans="1:11" x14ac:dyDescent="0.35">
      <c r="A3755" t="s">
        <v>3792</v>
      </c>
      <c r="B3755">
        <v>57</v>
      </c>
      <c r="C3755" t="s">
        <v>12</v>
      </c>
      <c r="D3755" t="s">
        <v>19</v>
      </c>
      <c r="E3755">
        <v>23</v>
      </c>
      <c r="F3755" t="s">
        <v>14</v>
      </c>
      <c r="G3755" t="s">
        <v>34</v>
      </c>
      <c r="H3755" s="1">
        <v>0</v>
      </c>
      <c r="I3755" t="s">
        <v>16</v>
      </c>
      <c r="J3755">
        <v>3</v>
      </c>
      <c r="K3755">
        <v>1</v>
      </c>
    </row>
    <row r="3756" spans="1:11" x14ac:dyDescent="0.35">
      <c r="A3756" t="s">
        <v>3793</v>
      </c>
      <c r="B3756">
        <v>55</v>
      </c>
      <c r="C3756" t="s">
        <v>18</v>
      </c>
      <c r="D3756" t="s">
        <v>19</v>
      </c>
      <c r="E3756">
        <v>11</v>
      </c>
      <c r="F3756" t="s">
        <v>31</v>
      </c>
      <c r="G3756" t="s">
        <v>15</v>
      </c>
      <c r="H3756" s="1">
        <v>201.06</v>
      </c>
      <c r="I3756" t="s">
        <v>24</v>
      </c>
      <c r="J3756">
        <v>0</v>
      </c>
      <c r="K3756">
        <v>6</v>
      </c>
    </row>
    <row r="3757" spans="1:11" x14ac:dyDescent="0.35">
      <c r="A3757" t="s">
        <v>3794</v>
      </c>
      <c r="B3757">
        <v>69</v>
      </c>
      <c r="C3757" t="s">
        <v>18</v>
      </c>
      <c r="D3757" t="s">
        <v>200</v>
      </c>
      <c r="E3757">
        <v>9</v>
      </c>
      <c r="F3757" t="s">
        <v>26</v>
      </c>
      <c r="G3757" t="s">
        <v>27</v>
      </c>
      <c r="H3757" s="1">
        <v>15.87</v>
      </c>
      <c r="I3757" t="s">
        <v>24</v>
      </c>
      <c r="J3757">
        <v>2</v>
      </c>
      <c r="K3757">
        <v>6</v>
      </c>
    </row>
    <row r="3758" spans="1:11" x14ac:dyDescent="0.35">
      <c r="A3758" t="s">
        <v>3795</v>
      </c>
      <c r="B3758">
        <v>22</v>
      </c>
      <c r="C3758" t="s">
        <v>18</v>
      </c>
      <c r="D3758" t="s">
        <v>19</v>
      </c>
      <c r="E3758">
        <v>11</v>
      </c>
      <c r="F3758" t="s">
        <v>31</v>
      </c>
      <c r="G3758" t="s">
        <v>37</v>
      </c>
      <c r="H3758" s="1">
        <v>214.9</v>
      </c>
      <c r="I3758" t="s">
        <v>24</v>
      </c>
      <c r="J3758">
        <v>0</v>
      </c>
      <c r="K3758">
        <v>7</v>
      </c>
    </row>
    <row r="3759" spans="1:11" x14ac:dyDescent="0.35">
      <c r="A3759" t="s">
        <v>3796</v>
      </c>
      <c r="B3759">
        <v>70</v>
      </c>
      <c r="C3759" t="s">
        <v>12</v>
      </c>
      <c r="D3759" t="s">
        <v>19</v>
      </c>
      <c r="E3759">
        <v>23</v>
      </c>
      <c r="F3759" t="s">
        <v>14</v>
      </c>
      <c r="G3759" t="s">
        <v>34</v>
      </c>
      <c r="H3759" s="1">
        <v>0</v>
      </c>
      <c r="I3759" t="s">
        <v>16</v>
      </c>
      <c r="J3759">
        <v>0</v>
      </c>
      <c r="K3759">
        <v>1</v>
      </c>
    </row>
    <row r="3760" spans="1:11" x14ac:dyDescent="0.35">
      <c r="A3760" t="s">
        <v>3797</v>
      </c>
      <c r="B3760">
        <v>84</v>
      </c>
      <c r="C3760" t="s">
        <v>12</v>
      </c>
      <c r="D3760" t="s">
        <v>13</v>
      </c>
      <c r="E3760">
        <v>23</v>
      </c>
      <c r="F3760" t="s">
        <v>33</v>
      </c>
      <c r="G3760" t="s">
        <v>27</v>
      </c>
      <c r="H3760" s="1">
        <v>121.93</v>
      </c>
      <c r="I3760" t="s">
        <v>24</v>
      </c>
      <c r="J3760">
        <v>3</v>
      </c>
      <c r="K3760">
        <v>5</v>
      </c>
    </row>
    <row r="3761" spans="1:11" x14ac:dyDescent="0.35">
      <c r="A3761" t="s">
        <v>3798</v>
      </c>
      <c r="B3761">
        <v>23</v>
      </c>
      <c r="C3761" t="s">
        <v>12</v>
      </c>
      <c r="D3761" t="s">
        <v>30</v>
      </c>
      <c r="E3761">
        <v>9</v>
      </c>
      <c r="F3761" t="s">
        <v>22</v>
      </c>
      <c r="G3761" t="s">
        <v>23</v>
      </c>
      <c r="H3761" s="1">
        <v>126.3</v>
      </c>
      <c r="I3761" t="s">
        <v>24</v>
      </c>
      <c r="J3761">
        <v>3</v>
      </c>
      <c r="K3761">
        <v>4</v>
      </c>
    </row>
    <row r="3762" spans="1:11" x14ac:dyDescent="0.35">
      <c r="A3762" t="s">
        <v>3799</v>
      </c>
      <c r="B3762">
        <v>46</v>
      </c>
      <c r="C3762" t="s">
        <v>18</v>
      </c>
      <c r="D3762" t="s">
        <v>21</v>
      </c>
      <c r="E3762">
        <v>46</v>
      </c>
      <c r="F3762" t="s">
        <v>14</v>
      </c>
      <c r="G3762" t="s">
        <v>37</v>
      </c>
      <c r="H3762" s="1">
        <v>0</v>
      </c>
      <c r="I3762" t="s">
        <v>16</v>
      </c>
      <c r="J3762">
        <v>1</v>
      </c>
      <c r="K3762">
        <v>4</v>
      </c>
    </row>
    <row r="3763" spans="1:11" x14ac:dyDescent="0.35">
      <c r="A3763" t="s">
        <v>3800</v>
      </c>
      <c r="B3763">
        <v>49</v>
      </c>
      <c r="C3763" t="s">
        <v>12</v>
      </c>
      <c r="D3763" t="s">
        <v>19</v>
      </c>
      <c r="E3763">
        <v>22</v>
      </c>
      <c r="F3763" t="s">
        <v>31</v>
      </c>
      <c r="G3763" t="s">
        <v>27</v>
      </c>
      <c r="H3763" s="1">
        <v>116.76</v>
      </c>
      <c r="I3763" t="s">
        <v>28</v>
      </c>
      <c r="J3763">
        <v>1</v>
      </c>
      <c r="K3763">
        <v>1</v>
      </c>
    </row>
    <row r="3764" spans="1:11" x14ac:dyDescent="0.35">
      <c r="A3764" t="s">
        <v>3801</v>
      </c>
      <c r="B3764">
        <v>79</v>
      </c>
      <c r="C3764" t="s">
        <v>12</v>
      </c>
      <c r="D3764" t="s">
        <v>30</v>
      </c>
      <c r="E3764">
        <v>8</v>
      </c>
      <c r="F3764" t="s">
        <v>26</v>
      </c>
      <c r="G3764" t="s">
        <v>15</v>
      </c>
      <c r="H3764" s="1">
        <v>253.93</v>
      </c>
      <c r="I3764" t="s">
        <v>28</v>
      </c>
      <c r="J3764">
        <v>0</v>
      </c>
      <c r="K3764">
        <v>8</v>
      </c>
    </row>
    <row r="3765" spans="1:11" x14ac:dyDescent="0.35">
      <c r="A3765" t="s">
        <v>3802</v>
      </c>
      <c r="B3765">
        <v>34</v>
      </c>
      <c r="C3765" t="s">
        <v>18</v>
      </c>
      <c r="D3765" t="s">
        <v>13</v>
      </c>
      <c r="E3765">
        <v>18</v>
      </c>
      <c r="F3765" t="s">
        <v>31</v>
      </c>
      <c r="G3765" t="s">
        <v>27</v>
      </c>
      <c r="H3765" s="1">
        <v>52.35</v>
      </c>
      <c r="I3765" t="s">
        <v>24</v>
      </c>
      <c r="J3765">
        <v>1</v>
      </c>
      <c r="K3765">
        <v>5</v>
      </c>
    </row>
    <row r="3766" spans="1:11" x14ac:dyDescent="0.35">
      <c r="A3766" t="s">
        <v>3803</v>
      </c>
      <c r="B3766">
        <v>22</v>
      </c>
      <c r="C3766" t="s">
        <v>12</v>
      </c>
      <c r="D3766" t="s">
        <v>19</v>
      </c>
      <c r="E3766">
        <v>7</v>
      </c>
      <c r="F3766" t="s">
        <v>31</v>
      </c>
      <c r="G3766" t="s">
        <v>27</v>
      </c>
      <c r="H3766" s="1">
        <v>76.2</v>
      </c>
      <c r="I3766" t="s">
        <v>24</v>
      </c>
      <c r="J3766">
        <v>0</v>
      </c>
      <c r="K3766">
        <v>7</v>
      </c>
    </row>
    <row r="3767" spans="1:11" x14ac:dyDescent="0.35">
      <c r="A3767" t="s">
        <v>3804</v>
      </c>
      <c r="B3767">
        <v>28</v>
      </c>
      <c r="C3767" t="s">
        <v>18</v>
      </c>
      <c r="D3767" t="s">
        <v>21</v>
      </c>
      <c r="E3767">
        <v>27</v>
      </c>
      <c r="F3767" t="s">
        <v>26</v>
      </c>
      <c r="G3767" t="s">
        <v>27</v>
      </c>
      <c r="H3767" s="1">
        <v>145.96</v>
      </c>
      <c r="I3767" t="s">
        <v>24</v>
      </c>
      <c r="J3767">
        <v>1</v>
      </c>
      <c r="K3767">
        <v>2</v>
      </c>
    </row>
    <row r="3768" spans="1:11" x14ac:dyDescent="0.35">
      <c r="A3768" t="s">
        <v>3805</v>
      </c>
      <c r="B3768">
        <v>70</v>
      </c>
      <c r="C3768" t="s">
        <v>189</v>
      </c>
      <c r="D3768" t="s">
        <v>19</v>
      </c>
      <c r="E3768">
        <v>24</v>
      </c>
      <c r="F3768" t="s">
        <v>22</v>
      </c>
      <c r="G3768" t="s">
        <v>27</v>
      </c>
      <c r="H3768" s="1">
        <v>33.49</v>
      </c>
      <c r="I3768" t="s">
        <v>24</v>
      </c>
      <c r="J3768">
        <v>4</v>
      </c>
      <c r="K3768">
        <v>3</v>
      </c>
    </row>
    <row r="3769" spans="1:11" x14ac:dyDescent="0.35">
      <c r="A3769" t="s">
        <v>3806</v>
      </c>
      <c r="B3769">
        <v>53</v>
      </c>
      <c r="C3769" t="s">
        <v>18</v>
      </c>
      <c r="D3769" t="s">
        <v>19</v>
      </c>
      <c r="E3769">
        <v>15</v>
      </c>
      <c r="F3769" t="s">
        <v>31</v>
      </c>
      <c r="G3769" t="s">
        <v>27</v>
      </c>
      <c r="H3769" s="1">
        <v>24.84</v>
      </c>
      <c r="I3769" t="s">
        <v>24</v>
      </c>
      <c r="J3769">
        <v>0</v>
      </c>
      <c r="K3769">
        <v>7</v>
      </c>
    </row>
    <row r="3770" spans="1:11" x14ac:dyDescent="0.35">
      <c r="A3770" t="s">
        <v>3807</v>
      </c>
      <c r="B3770">
        <v>66</v>
      </c>
      <c r="C3770" t="s">
        <v>18</v>
      </c>
      <c r="D3770" t="s">
        <v>19</v>
      </c>
      <c r="E3770">
        <v>16</v>
      </c>
      <c r="F3770" t="s">
        <v>31</v>
      </c>
      <c r="G3770" t="s">
        <v>34</v>
      </c>
      <c r="H3770" s="1">
        <v>185.69</v>
      </c>
      <c r="I3770" t="s">
        <v>24</v>
      </c>
      <c r="J3770">
        <v>2</v>
      </c>
      <c r="K3770">
        <v>8</v>
      </c>
    </row>
    <row r="3771" spans="1:11" x14ac:dyDescent="0.35">
      <c r="A3771" t="s">
        <v>3808</v>
      </c>
      <c r="B3771">
        <v>84</v>
      </c>
      <c r="C3771" t="s">
        <v>18</v>
      </c>
      <c r="D3771" t="s">
        <v>19</v>
      </c>
      <c r="E3771">
        <v>24</v>
      </c>
      <c r="F3771" t="s">
        <v>33</v>
      </c>
      <c r="G3771" t="s">
        <v>23</v>
      </c>
      <c r="H3771" s="1">
        <v>462.63</v>
      </c>
      <c r="I3771" t="s">
        <v>24</v>
      </c>
      <c r="J3771">
        <v>2</v>
      </c>
      <c r="K3771">
        <v>4</v>
      </c>
    </row>
    <row r="3772" spans="1:11" x14ac:dyDescent="0.35">
      <c r="A3772" t="s">
        <v>3809</v>
      </c>
      <c r="B3772">
        <v>55</v>
      </c>
      <c r="C3772" t="s">
        <v>12</v>
      </c>
      <c r="D3772" t="s">
        <v>13</v>
      </c>
      <c r="E3772">
        <v>11</v>
      </c>
      <c r="F3772" t="s">
        <v>22</v>
      </c>
      <c r="G3772" t="s">
        <v>15</v>
      </c>
      <c r="H3772" s="1">
        <v>434.9</v>
      </c>
      <c r="I3772" t="s">
        <v>24</v>
      </c>
      <c r="J3772">
        <v>1</v>
      </c>
      <c r="K3772">
        <v>5</v>
      </c>
    </row>
    <row r="3773" spans="1:11" x14ac:dyDescent="0.35">
      <c r="A3773" t="s">
        <v>3810</v>
      </c>
      <c r="B3773">
        <v>64</v>
      </c>
      <c r="C3773" t="s">
        <v>18</v>
      </c>
      <c r="D3773" t="s">
        <v>13</v>
      </c>
      <c r="E3773">
        <v>10</v>
      </c>
      <c r="F3773" t="s">
        <v>31</v>
      </c>
      <c r="G3773" t="s">
        <v>27</v>
      </c>
      <c r="H3773" s="1">
        <v>141.02000000000001</v>
      </c>
      <c r="I3773" t="s">
        <v>24</v>
      </c>
      <c r="J3773">
        <v>0</v>
      </c>
      <c r="K3773">
        <v>5</v>
      </c>
    </row>
    <row r="3774" spans="1:11" x14ac:dyDescent="0.35">
      <c r="A3774" t="s">
        <v>3811</v>
      </c>
      <c r="B3774">
        <v>72</v>
      </c>
      <c r="C3774" t="s">
        <v>18</v>
      </c>
      <c r="D3774" t="s">
        <v>19</v>
      </c>
      <c r="E3774">
        <v>8</v>
      </c>
      <c r="F3774" t="s">
        <v>14</v>
      </c>
      <c r="G3774" t="s">
        <v>23</v>
      </c>
      <c r="H3774" s="1">
        <v>0</v>
      </c>
      <c r="I3774" t="s">
        <v>16</v>
      </c>
      <c r="J3774">
        <v>0</v>
      </c>
      <c r="K3774">
        <v>10</v>
      </c>
    </row>
    <row r="3775" spans="1:11" x14ac:dyDescent="0.35">
      <c r="A3775" t="s">
        <v>3812</v>
      </c>
      <c r="B3775">
        <v>70</v>
      </c>
      <c r="C3775" t="s">
        <v>18</v>
      </c>
      <c r="D3775" t="s">
        <v>19</v>
      </c>
      <c r="E3775">
        <v>22</v>
      </c>
      <c r="F3775" t="s">
        <v>22</v>
      </c>
      <c r="G3775" t="s">
        <v>15</v>
      </c>
      <c r="H3775" s="1">
        <v>433.73</v>
      </c>
      <c r="I3775" t="s">
        <v>28</v>
      </c>
      <c r="J3775">
        <v>3</v>
      </c>
      <c r="K3775">
        <v>4</v>
      </c>
    </row>
    <row r="3776" spans="1:11" x14ac:dyDescent="0.35">
      <c r="A3776" t="s">
        <v>3813</v>
      </c>
      <c r="B3776">
        <v>37</v>
      </c>
      <c r="C3776" t="s">
        <v>12</v>
      </c>
      <c r="D3776" t="s">
        <v>19</v>
      </c>
      <c r="E3776">
        <v>21</v>
      </c>
      <c r="F3776" t="s">
        <v>31</v>
      </c>
      <c r="G3776" t="s">
        <v>23</v>
      </c>
      <c r="H3776" s="1">
        <v>143.13999999999999</v>
      </c>
      <c r="I3776" t="s">
        <v>24</v>
      </c>
      <c r="J3776">
        <v>1</v>
      </c>
      <c r="K3776">
        <v>1</v>
      </c>
    </row>
    <row r="3777" spans="1:11" x14ac:dyDescent="0.35">
      <c r="A3777" t="s">
        <v>3814</v>
      </c>
      <c r="B3777">
        <v>40</v>
      </c>
      <c r="C3777" t="s">
        <v>12</v>
      </c>
      <c r="D3777" t="s">
        <v>13</v>
      </c>
      <c r="E3777">
        <v>12</v>
      </c>
      <c r="F3777" t="s">
        <v>31</v>
      </c>
      <c r="G3777" t="s">
        <v>34</v>
      </c>
      <c r="H3777" s="1">
        <v>107.33</v>
      </c>
      <c r="I3777" t="s">
        <v>24</v>
      </c>
      <c r="J3777">
        <v>1</v>
      </c>
      <c r="K3777">
        <v>4</v>
      </c>
    </row>
    <row r="3778" spans="1:11" x14ac:dyDescent="0.35">
      <c r="A3778" t="s">
        <v>3815</v>
      </c>
      <c r="B3778">
        <v>27</v>
      </c>
      <c r="C3778" t="s">
        <v>18</v>
      </c>
      <c r="D3778" t="s">
        <v>19</v>
      </c>
      <c r="E3778">
        <v>14</v>
      </c>
      <c r="F3778" t="s">
        <v>26</v>
      </c>
      <c r="G3778" t="s">
        <v>37</v>
      </c>
      <c r="H3778" s="1">
        <v>115.99</v>
      </c>
      <c r="I3778" t="s">
        <v>24</v>
      </c>
      <c r="J3778">
        <v>1</v>
      </c>
      <c r="K3778">
        <v>4</v>
      </c>
    </row>
    <row r="3779" spans="1:11" x14ac:dyDescent="0.35">
      <c r="A3779" t="s">
        <v>3816</v>
      </c>
      <c r="B3779">
        <v>40</v>
      </c>
      <c r="C3779" t="s">
        <v>12</v>
      </c>
      <c r="D3779" t="s">
        <v>19</v>
      </c>
      <c r="E3779">
        <v>8</v>
      </c>
      <c r="F3779" t="s">
        <v>22</v>
      </c>
      <c r="G3779" t="s">
        <v>15</v>
      </c>
      <c r="H3779" s="1">
        <v>87.43</v>
      </c>
      <c r="I3779" t="s">
        <v>24</v>
      </c>
      <c r="J3779">
        <v>0</v>
      </c>
      <c r="K3779">
        <v>10</v>
      </c>
    </row>
    <row r="3780" spans="1:11" x14ac:dyDescent="0.35">
      <c r="A3780" t="s">
        <v>3817</v>
      </c>
      <c r="B3780">
        <v>72</v>
      </c>
      <c r="C3780" t="s">
        <v>12</v>
      </c>
      <c r="D3780" t="s">
        <v>19</v>
      </c>
      <c r="E3780">
        <v>17</v>
      </c>
      <c r="F3780" t="s">
        <v>22</v>
      </c>
      <c r="G3780" t="s">
        <v>23</v>
      </c>
      <c r="H3780" s="1">
        <v>291.5</v>
      </c>
      <c r="I3780" t="s">
        <v>28</v>
      </c>
      <c r="J3780">
        <v>1</v>
      </c>
      <c r="K3780">
        <v>7</v>
      </c>
    </row>
    <row r="3781" spans="1:11" x14ac:dyDescent="0.35">
      <c r="A3781" t="s">
        <v>3818</v>
      </c>
      <c r="B3781">
        <v>56</v>
      </c>
      <c r="C3781" t="s">
        <v>18</v>
      </c>
      <c r="D3781" t="s">
        <v>21</v>
      </c>
      <c r="E3781">
        <v>36</v>
      </c>
      <c r="F3781" t="s">
        <v>26</v>
      </c>
      <c r="G3781" t="s">
        <v>27</v>
      </c>
      <c r="H3781" s="1">
        <v>131.31</v>
      </c>
      <c r="I3781" t="s">
        <v>28</v>
      </c>
      <c r="J3781">
        <v>2</v>
      </c>
      <c r="K3781">
        <v>5</v>
      </c>
    </row>
    <row r="3782" spans="1:11" x14ac:dyDescent="0.35">
      <c r="A3782" t="s">
        <v>3819</v>
      </c>
      <c r="B3782">
        <v>62</v>
      </c>
      <c r="C3782" t="s">
        <v>12</v>
      </c>
      <c r="D3782" t="s">
        <v>30</v>
      </c>
      <c r="E3782">
        <v>10</v>
      </c>
      <c r="F3782" t="s">
        <v>31</v>
      </c>
      <c r="G3782" t="s">
        <v>23</v>
      </c>
      <c r="H3782" s="1">
        <v>125.57</v>
      </c>
      <c r="I3782" t="s">
        <v>24</v>
      </c>
      <c r="J3782">
        <v>0</v>
      </c>
      <c r="K3782">
        <v>4</v>
      </c>
    </row>
    <row r="3783" spans="1:11" x14ac:dyDescent="0.35">
      <c r="A3783" t="s">
        <v>3820</v>
      </c>
      <c r="B3783">
        <v>24</v>
      </c>
      <c r="C3783" t="s">
        <v>12</v>
      </c>
      <c r="D3783" t="s">
        <v>21</v>
      </c>
      <c r="E3783">
        <v>29</v>
      </c>
      <c r="F3783" t="s">
        <v>31</v>
      </c>
      <c r="G3783" t="s">
        <v>37</v>
      </c>
      <c r="H3783" s="1">
        <v>132.02000000000001</v>
      </c>
      <c r="I3783" t="s">
        <v>24</v>
      </c>
      <c r="J3783">
        <v>4</v>
      </c>
      <c r="K3783">
        <v>5</v>
      </c>
    </row>
    <row r="3784" spans="1:11" x14ac:dyDescent="0.35">
      <c r="A3784" t="s">
        <v>3821</v>
      </c>
      <c r="B3784">
        <v>71</v>
      </c>
      <c r="C3784" t="s">
        <v>12</v>
      </c>
      <c r="D3784" t="s">
        <v>57</v>
      </c>
      <c r="E3784">
        <v>43</v>
      </c>
      <c r="F3784" t="s">
        <v>26</v>
      </c>
      <c r="G3784" t="s">
        <v>34</v>
      </c>
      <c r="H3784" s="1">
        <v>104.28</v>
      </c>
      <c r="I3784" t="s">
        <v>28</v>
      </c>
      <c r="J3784">
        <v>3</v>
      </c>
      <c r="K3784">
        <v>3</v>
      </c>
    </row>
    <row r="3785" spans="1:11" x14ac:dyDescent="0.35">
      <c r="A3785" t="s">
        <v>3822</v>
      </c>
      <c r="B3785">
        <v>63</v>
      </c>
      <c r="C3785" t="s">
        <v>12</v>
      </c>
      <c r="D3785" t="s">
        <v>19</v>
      </c>
      <c r="E3785">
        <v>15</v>
      </c>
      <c r="F3785" t="s">
        <v>22</v>
      </c>
      <c r="G3785" t="s">
        <v>23</v>
      </c>
      <c r="H3785" s="1">
        <v>361.76</v>
      </c>
      <c r="I3785" t="s">
        <v>43</v>
      </c>
      <c r="J3785">
        <v>1</v>
      </c>
      <c r="K3785">
        <v>5</v>
      </c>
    </row>
    <row r="3786" spans="1:11" x14ac:dyDescent="0.35">
      <c r="A3786" t="s">
        <v>3823</v>
      </c>
      <c r="B3786">
        <v>71</v>
      </c>
      <c r="C3786" t="s">
        <v>12</v>
      </c>
      <c r="D3786" t="s">
        <v>21</v>
      </c>
      <c r="E3786">
        <v>16</v>
      </c>
      <c r="F3786" t="s">
        <v>26</v>
      </c>
      <c r="G3786" t="s">
        <v>37</v>
      </c>
      <c r="H3786" s="1">
        <v>145.99</v>
      </c>
      <c r="I3786" t="s">
        <v>43</v>
      </c>
      <c r="J3786">
        <v>0</v>
      </c>
      <c r="K3786">
        <v>8</v>
      </c>
    </row>
    <row r="3787" spans="1:11" x14ac:dyDescent="0.35">
      <c r="A3787" t="s">
        <v>3824</v>
      </c>
      <c r="B3787">
        <v>42</v>
      </c>
      <c r="C3787" t="s">
        <v>12</v>
      </c>
      <c r="D3787" t="s">
        <v>19</v>
      </c>
      <c r="E3787">
        <v>7</v>
      </c>
      <c r="F3787" t="s">
        <v>22</v>
      </c>
      <c r="G3787" t="s">
        <v>27</v>
      </c>
      <c r="H3787" s="1">
        <v>56.88</v>
      </c>
      <c r="I3787" t="s">
        <v>24</v>
      </c>
      <c r="J3787">
        <v>2</v>
      </c>
      <c r="K3787">
        <v>7</v>
      </c>
    </row>
    <row r="3788" spans="1:11" x14ac:dyDescent="0.35">
      <c r="A3788" t="s">
        <v>3825</v>
      </c>
      <c r="B3788">
        <v>84</v>
      </c>
      <c r="C3788" t="s">
        <v>18</v>
      </c>
      <c r="D3788" t="s">
        <v>30</v>
      </c>
      <c r="E3788">
        <v>11</v>
      </c>
      <c r="F3788" t="s">
        <v>33</v>
      </c>
      <c r="G3788" t="s">
        <v>27</v>
      </c>
      <c r="H3788" s="1">
        <v>52.58</v>
      </c>
      <c r="I3788" t="s">
        <v>24</v>
      </c>
      <c r="J3788">
        <v>0</v>
      </c>
      <c r="K3788">
        <v>6</v>
      </c>
    </row>
    <row r="3789" spans="1:11" x14ac:dyDescent="0.35">
      <c r="A3789" t="s">
        <v>3826</v>
      </c>
      <c r="B3789">
        <v>77</v>
      </c>
      <c r="C3789" t="s">
        <v>12</v>
      </c>
      <c r="D3789" t="s">
        <v>19</v>
      </c>
      <c r="E3789">
        <v>12</v>
      </c>
      <c r="F3789" t="s">
        <v>33</v>
      </c>
      <c r="G3789" t="s">
        <v>15</v>
      </c>
      <c r="H3789" s="1">
        <v>188.82</v>
      </c>
      <c r="I3789" t="s">
        <v>24</v>
      </c>
      <c r="J3789">
        <v>3</v>
      </c>
      <c r="K3789">
        <v>8</v>
      </c>
    </row>
    <row r="3790" spans="1:11" x14ac:dyDescent="0.35">
      <c r="A3790" t="s">
        <v>3827</v>
      </c>
      <c r="B3790">
        <v>56</v>
      </c>
      <c r="C3790" t="s">
        <v>189</v>
      </c>
      <c r="D3790" t="s">
        <v>200</v>
      </c>
      <c r="E3790">
        <v>22</v>
      </c>
      <c r="F3790" t="s">
        <v>22</v>
      </c>
      <c r="G3790" t="s">
        <v>37</v>
      </c>
      <c r="H3790" s="1">
        <v>167.21</v>
      </c>
      <c r="I3790" t="s">
        <v>24</v>
      </c>
      <c r="J3790">
        <v>0</v>
      </c>
      <c r="K3790">
        <v>2</v>
      </c>
    </row>
    <row r="3791" spans="1:11" x14ac:dyDescent="0.35">
      <c r="A3791" t="s">
        <v>3828</v>
      </c>
      <c r="B3791">
        <v>25</v>
      </c>
      <c r="C3791" t="s">
        <v>18</v>
      </c>
      <c r="D3791" t="s">
        <v>19</v>
      </c>
      <c r="E3791">
        <v>19</v>
      </c>
      <c r="F3791" t="s">
        <v>14</v>
      </c>
      <c r="G3791" t="s">
        <v>37</v>
      </c>
      <c r="H3791" s="1">
        <v>0</v>
      </c>
      <c r="I3791" t="s">
        <v>16</v>
      </c>
      <c r="J3791">
        <v>2</v>
      </c>
      <c r="K3791">
        <v>1</v>
      </c>
    </row>
    <row r="3792" spans="1:11" x14ac:dyDescent="0.35">
      <c r="A3792" t="s">
        <v>3829</v>
      </c>
      <c r="B3792">
        <v>80</v>
      </c>
      <c r="C3792" t="s">
        <v>18</v>
      </c>
      <c r="D3792" t="s">
        <v>30</v>
      </c>
      <c r="E3792">
        <v>7</v>
      </c>
      <c r="F3792" t="s">
        <v>14</v>
      </c>
      <c r="G3792" t="s">
        <v>34</v>
      </c>
      <c r="H3792" s="1">
        <v>0</v>
      </c>
      <c r="I3792" t="s">
        <v>16</v>
      </c>
      <c r="J3792">
        <v>1</v>
      </c>
      <c r="K3792">
        <v>9</v>
      </c>
    </row>
    <row r="3793" spans="1:11" x14ac:dyDescent="0.35">
      <c r="A3793" t="s">
        <v>3830</v>
      </c>
      <c r="B3793">
        <v>63</v>
      </c>
      <c r="C3793" t="s">
        <v>12</v>
      </c>
      <c r="D3793" t="s">
        <v>120</v>
      </c>
      <c r="E3793">
        <v>13</v>
      </c>
      <c r="F3793" t="s">
        <v>22</v>
      </c>
      <c r="G3793" t="s">
        <v>23</v>
      </c>
      <c r="H3793" s="1">
        <v>443.4</v>
      </c>
      <c r="I3793" t="s">
        <v>24</v>
      </c>
      <c r="J3793">
        <v>1</v>
      </c>
      <c r="K3793">
        <v>8</v>
      </c>
    </row>
    <row r="3794" spans="1:11" x14ac:dyDescent="0.35">
      <c r="A3794" t="s">
        <v>3831</v>
      </c>
      <c r="B3794">
        <v>66</v>
      </c>
      <c r="C3794" t="s">
        <v>12</v>
      </c>
      <c r="D3794" t="s">
        <v>120</v>
      </c>
      <c r="E3794">
        <v>22</v>
      </c>
      <c r="F3794" t="s">
        <v>26</v>
      </c>
      <c r="G3794" t="s">
        <v>34</v>
      </c>
      <c r="H3794" s="1">
        <v>195.61</v>
      </c>
      <c r="I3794" t="s">
        <v>28</v>
      </c>
      <c r="J3794">
        <v>0</v>
      </c>
      <c r="K3794">
        <v>3</v>
      </c>
    </row>
    <row r="3795" spans="1:11" x14ac:dyDescent="0.35">
      <c r="A3795" t="s">
        <v>3832</v>
      </c>
      <c r="B3795">
        <v>51</v>
      </c>
      <c r="C3795" t="s">
        <v>18</v>
      </c>
      <c r="D3795" t="s">
        <v>30</v>
      </c>
      <c r="E3795">
        <v>6</v>
      </c>
      <c r="F3795" t="s">
        <v>31</v>
      </c>
      <c r="G3795" t="s">
        <v>15</v>
      </c>
      <c r="H3795" s="1">
        <v>81.23</v>
      </c>
      <c r="I3795" t="s">
        <v>24</v>
      </c>
      <c r="J3795">
        <v>0</v>
      </c>
      <c r="K3795">
        <v>9</v>
      </c>
    </row>
    <row r="3796" spans="1:11" x14ac:dyDescent="0.35">
      <c r="A3796" t="s">
        <v>3833</v>
      </c>
      <c r="B3796">
        <v>74</v>
      </c>
      <c r="C3796" t="s">
        <v>18</v>
      </c>
      <c r="D3796" t="s">
        <v>13</v>
      </c>
      <c r="E3796">
        <v>13</v>
      </c>
      <c r="F3796" t="s">
        <v>22</v>
      </c>
      <c r="G3796" t="s">
        <v>27</v>
      </c>
      <c r="H3796" s="1">
        <v>124.33</v>
      </c>
      <c r="I3796" t="s">
        <v>24</v>
      </c>
      <c r="J3796">
        <v>0</v>
      </c>
      <c r="K3796">
        <v>6</v>
      </c>
    </row>
    <row r="3797" spans="1:11" x14ac:dyDescent="0.35">
      <c r="A3797" t="s">
        <v>3834</v>
      </c>
      <c r="B3797">
        <v>85</v>
      </c>
      <c r="C3797" t="s">
        <v>18</v>
      </c>
      <c r="D3797" t="s">
        <v>13</v>
      </c>
      <c r="E3797">
        <v>12</v>
      </c>
      <c r="F3797" t="s">
        <v>31</v>
      </c>
      <c r="G3797" t="s">
        <v>37</v>
      </c>
      <c r="H3797" s="1">
        <v>199.07</v>
      </c>
      <c r="I3797" t="s">
        <v>24</v>
      </c>
      <c r="J3797">
        <v>3</v>
      </c>
      <c r="K3797">
        <v>5</v>
      </c>
    </row>
    <row r="3798" spans="1:11" x14ac:dyDescent="0.35">
      <c r="A3798" t="s">
        <v>3835</v>
      </c>
      <c r="B3798">
        <v>18</v>
      </c>
      <c r="C3798" t="s">
        <v>528</v>
      </c>
      <c r="D3798" t="s">
        <v>19</v>
      </c>
      <c r="E3798">
        <v>8</v>
      </c>
      <c r="F3798" t="s">
        <v>26</v>
      </c>
      <c r="G3798" t="s">
        <v>34</v>
      </c>
      <c r="H3798" s="1">
        <v>124.58</v>
      </c>
      <c r="I3798" t="s">
        <v>24</v>
      </c>
      <c r="J3798">
        <v>0</v>
      </c>
      <c r="K3798">
        <v>10</v>
      </c>
    </row>
    <row r="3799" spans="1:11" x14ac:dyDescent="0.35">
      <c r="A3799" t="s">
        <v>3836</v>
      </c>
      <c r="B3799">
        <v>85</v>
      </c>
      <c r="C3799" t="s">
        <v>12</v>
      </c>
      <c r="D3799" t="s">
        <v>19</v>
      </c>
      <c r="E3799">
        <v>19</v>
      </c>
      <c r="F3799" t="s">
        <v>22</v>
      </c>
      <c r="G3799" t="s">
        <v>34</v>
      </c>
      <c r="H3799" s="1">
        <v>127</v>
      </c>
      <c r="I3799" t="s">
        <v>43</v>
      </c>
      <c r="J3799">
        <v>3</v>
      </c>
      <c r="K3799">
        <v>3</v>
      </c>
    </row>
    <row r="3800" spans="1:11" x14ac:dyDescent="0.35">
      <c r="A3800" t="s">
        <v>3837</v>
      </c>
      <c r="B3800">
        <v>82</v>
      </c>
      <c r="C3800" t="s">
        <v>12</v>
      </c>
      <c r="D3800" t="s">
        <v>13</v>
      </c>
      <c r="E3800">
        <v>12</v>
      </c>
      <c r="F3800" t="s">
        <v>22</v>
      </c>
      <c r="G3800" t="s">
        <v>34</v>
      </c>
      <c r="H3800" s="1">
        <v>212.62</v>
      </c>
      <c r="I3800" t="s">
        <v>24</v>
      </c>
      <c r="J3800">
        <v>2</v>
      </c>
      <c r="K3800">
        <v>7</v>
      </c>
    </row>
    <row r="3801" spans="1:11" x14ac:dyDescent="0.35">
      <c r="A3801" t="s">
        <v>3838</v>
      </c>
      <c r="B3801">
        <v>68</v>
      </c>
      <c r="C3801" t="s">
        <v>12</v>
      </c>
      <c r="D3801" t="s">
        <v>30</v>
      </c>
      <c r="E3801">
        <v>13</v>
      </c>
      <c r="F3801" t="s">
        <v>33</v>
      </c>
      <c r="G3801" t="s">
        <v>34</v>
      </c>
      <c r="H3801" s="1">
        <v>145.37</v>
      </c>
      <c r="I3801" t="s">
        <v>24</v>
      </c>
      <c r="J3801">
        <v>1</v>
      </c>
      <c r="K3801">
        <v>5</v>
      </c>
    </row>
    <row r="3802" spans="1:11" x14ac:dyDescent="0.35">
      <c r="A3802" t="s">
        <v>3839</v>
      </c>
      <c r="B3802">
        <v>82</v>
      </c>
      <c r="C3802" t="s">
        <v>18</v>
      </c>
      <c r="D3802" t="s">
        <v>13</v>
      </c>
      <c r="E3802">
        <v>23</v>
      </c>
      <c r="F3802" t="s">
        <v>22</v>
      </c>
      <c r="G3802" t="s">
        <v>34</v>
      </c>
      <c r="H3802" s="1">
        <v>163.07</v>
      </c>
      <c r="I3802" t="s">
        <v>24</v>
      </c>
      <c r="J3802">
        <v>2</v>
      </c>
      <c r="K3802">
        <v>2</v>
      </c>
    </row>
    <row r="3803" spans="1:11" x14ac:dyDescent="0.35">
      <c r="A3803" t="s">
        <v>3840</v>
      </c>
      <c r="B3803">
        <v>57</v>
      </c>
      <c r="C3803" t="s">
        <v>18</v>
      </c>
      <c r="D3803" t="s">
        <v>47</v>
      </c>
      <c r="E3803">
        <v>12</v>
      </c>
      <c r="F3803" t="s">
        <v>22</v>
      </c>
      <c r="G3803" t="s">
        <v>27</v>
      </c>
      <c r="H3803" s="1">
        <v>141.77000000000001</v>
      </c>
      <c r="I3803" t="s">
        <v>24</v>
      </c>
      <c r="J3803">
        <v>3</v>
      </c>
      <c r="K3803">
        <v>4</v>
      </c>
    </row>
    <row r="3804" spans="1:11" x14ac:dyDescent="0.35">
      <c r="A3804" t="s">
        <v>3841</v>
      </c>
      <c r="B3804">
        <v>84</v>
      </c>
      <c r="C3804" t="s">
        <v>18</v>
      </c>
      <c r="D3804" t="s">
        <v>21</v>
      </c>
      <c r="E3804">
        <v>19</v>
      </c>
      <c r="F3804" t="s">
        <v>33</v>
      </c>
      <c r="G3804" t="s">
        <v>34</v>
      </c>
      <c r="H3804" s="1">
        <v>130.01</v>
      </c>
      <c r="I3804" t="s">
        <v>24</v>
      </c>
      <c r="J3804">
        <v>1</v>
      </c>
      <c r="K3804">
        <v>3</v>
      </c>
    </row>
    <row r="3805" spans="1:11" x14ac:dyDescent="0.35">
      <c r="A3805" t="s">
        <v>3842</v>
      </c>
      <c r="B3805">
        <v>76</v>
      </c>
      <c r="C3805" t="s">
        <v>12</v>
      </c>
      <c r="D3805" t="s">
        <v>19</v>
      </c>
      <c r="E3805">
        <v>6</v>
      </c>
      <c r="F3805" t="s">
        <v>22</v>
      </c>
      <c r="G3805" t="s">
        <v>23</v>
      </c>
      <c r="H3805" s="1">
        <v>175.74</v>
      </c>
      <c r="I3805" t="s">
        <v>24</v>
      </c>
      <c r="J3805">
        <v>0</v>
      </c>
      <c r="K3805">
        <v>8</v>
      </c>
    </row>
    <row r="3806" spans="1:11" x14ac:dyDescent="0.35">
      <c r="A3806" t="s">
        <v>3843</v>
      </c>
      <c r="B3806">
        <v>75</v>
      </c>
      <c r="C3806" t="s">
        <v>18</v>
      </c>
      <c r="D3806" t="s">
        <v>30</v>
      </c>
      <c r="E3806">
        <v>3</v>
      </c>
      <c r="F3806" t="s">
        <v>26</v>
      </c>
      <c r="G3806" t="s">
        <v>27</v>
      </c>
      <c r="H3806" s="1">
        <v>130.61000000000001</v>
      </c>
      <c r="I3806" t="s">
        <v>28</v>
      </c>
      <c r="J3806">
        <v>0</v>
      </c>
      <c r="K3806">
        <v>10</v>
      </c>
    </row>
    <row r="3807" spans="1:11" x14ac:dyDescent="0.35">
      <c r="A3807" t="s">
        <v>3844</v>
      </c>
      <c r="B3807">
        <v>44</v>
      </c>
      <c r="C3807" t="s">
        <v>18</v>
      </c>
      <c r="D3807" t="s">
        <v>21</v>
      </c>
      <c r="E3807">
        <v>46</v>
      </c>
      <c r="F3807" t="s">
        <v>14</v>
      </c>
      <c r="G3807" t="s">
        <v>27</v>
      </c>
      <c r="H3807" s="1">
        <v>0</v>
      </c>
      <c r="I3807" t="s">
        <v>16</v>
      </c>
      <c r="J3807">
        <v>2</v>
      </c>
      <c r="K3807">
        <v>4</v>
      </c>
    </row>
    <row r="3808" spans="1:11" x14ac:dyDescent="0.35">
      <c r="A3808" t="s">
        <v>3845</v>
      </c>
      <c r="B3808">
        <v>36</v>
      </c>
      <c r="C3808" t="s">
        <v>18</v>
      </c>
      <c r="D3808" t="s">
        <v>19</v>
      </c>
      <c r="E3808">
        <v>6</v>
      </c>
      <c r="F3808" t="s">
        <v>26</v>
      </c>
      <c r="G3808" t="s">
        <v>34</v>
      </c>
      <c r="H3808" s="1">
        <v>142.34</v>
      </c>
      <c r="I3808" t="s">
        <v>24</v>
      </c>
      <c r="J3808">
        <v>2</v>
      </c>
      <c r="K3808">
        <v>10</v>
      </c>
    </row>
    <row r="3809" spans="1:11" x14ac:dyDescent="0.35">
      <c r="A3809" t="s">
        <v>3846</v>
      </c>
      <c r="B3809">
        <v>84</v>
      </c>
      <c r="C3809" t="s">
        <v>12</v>
      </c>
      <c r="D3809" t="s">
        <v>21</v>
      </c>
      <c r="E3809">
        <v>42</v>
      </c>
      <c r="F3809" t="s">
        <v>33</v>
      </c>
      <c r="G3809" t="s">
        <v>23</v>
      </c>
      <c r="H3809" s="1">
        <v>202.28</v>
      </c>
      <c r="I3809" t="s">
        <v>24</v>
      </c>
      <c r="J3809">
        <v>2</v>
      </c>
      <c r="K3809">
        <v>5</v>
      </c>
    </row>
    <row r="3810" spans="1:11" x14ac:dyDescent="0.35">
      <c r="A3810" t="s">
        <v>3847</v>
      </c>
      <c r="B3810">
        <v>45</v>
      </c>
      <c r="C3810" t="s">
        <v>528</v>
      </c>
      <c r="D3810" t="s">
        <v>19</v>
      </c>
      <c r="E3810">
        <v>15</v>
      </c>
      <c r="F3810" t="s">
        <v>26</v>
      </c>
      <c r="G3810" t="s">
        <v>27</v>
      </c>
      <c r="H3810" s="1">
        <v>176.57</v>
      </c>
      <c r="I3810" t="s">
        <v>24</v>
      </c>
      <c r="J3810">
        <v>3</v>
      </c>
      <c r="K3810">
        <v>8</v>
      </c>
    </row>
    <row r="3811" spans="1:11" x14ac:dyDescent="0.35">
      <c r="A3811" t="s">
        <v>3848</v>
      </c>
      <c r="B3811">
        <v>65</v>
      </c>
      <c r="C3811" t="s">
        <v>18</v>
      </c>
      <c r="D3811" t="s">
        <v>21</v>
      </c>
      <c r="E3811">
        <v>20</v>
      </c>
      <c r="F3811" t="s">
        <v>22</v>
      </c>
      <c r="G3811" t="s">
        <v>23</v>
      </c>
      <c r="H3811" s="1">
        <v>537.22</v>
      </c>
      <c r="I3811" t="s">
        <v>24</v>
      </c>
      <c r="J3811">
        <v>1</v>
      </c>
      <c r="K3811">
        <v>5</v>
      </c>
    </row>
    <row r="3812" spans="1:11" x14ac:dyDescent="0.35">
      <c r="A3812" t="s">
        <v>3849</v>
      </c>
      <c r="B3812">
        <v>64</v>
      </c>
      <c r="C3812" t="s">
        <v>18</v>
      </c>
      <c r="D3812" t="s">
        <v>21</v>
      </c>
      <c r="E3812">
        <v>42</v>
      </c>
      <c r="F3812" t="s">
        <v>26</v>
      </c>
      <c r="G3812" t="s">
        <v>23</v>
      </c>
      <c r="H3812" s="1">
        <v>566.07000000000005</v>
      </c>
      <c r="I3812" t="s">
        <v>24</v>
      </c>
      <c r="J3812">
        <v>2</v>
      </c>
      <c r="K3812">
        <v>5</v>
      </c>
    </row>
    <row r="3813" spans="1:11" x14ac:dyDescent="0.35">
      <c r="A3813" t="s">
        <v>3850</v>
      </c>
      <c r="B3813">
        <v>69</v>
      </c>
      <c r="C3813" t="s">
        <v>12</v>
      </c>
      <c r="D3813" t="s">
        <v>21</v>
      </c>
      <c r="E3813">
        <v>14</v>
      </c>
      <c r="F3813" t="s">
        <v>31</v>
      </c>
      <c r="G3813" t="s">
        <v>34</v>
      </c>
      <c r="H3813" s="1">
        <v>90.65</v>
      </c>
      <c r="I3813" t="s">
        <v>24</v>
      </c>
      <c r="J3813">
        <v>0</v>
      </c>
      <c r="K3813">
        <v>7</v>
      </c>
    </row>
    <row r="3814" spans="1:11" x14ac:dyDescent="0.35">
      <c r="A3814" t="s">
        <v>3851</v>
      </c>
      <c r="B3814">
        <v>76</v>
      </c>
      <c r="C3814" t="s">
        <v>18</v>
      </c>
      <c r="D3814" t="s">
        <v>19</v>
      </c>
      <c r="E3814">
        <v>14</v>
      </c>
      <c r="F3814" t="s">
        <v>31</v>
      </c>
      <c r="G3814" t="s">
        <v>34</v>
      </c>
      <c r="H3814" s="1">
        <v>136.07</v>
      </c>
      <c r="I3814" t="s">
        <v>24</v>
      </c>
      <c r="J3814">
        <v>0</v>
      </c>
      <c r="K3814">
        <v>8</v>
      </c>
    </row>
    <row r="3815" spans="1:11" x14ac:dyDescent="0.35">
      <c r="A3815" t="s">
        <v>3852</v>
      </c>
      <c r="B3815">
        <v>63</v>
      </c>
      <c r="C3815" t="s">
        <v>18</v>
      </c>
      <c r="D3815" t="s">
        <v>19</v>
      </c>
      <c r="E3815">
        <v>16</v>
      </c>
      <c r="F3815" t="s">
        <v>33</v>
      </c>
      <c r="G3815" t="s">
        <v>37</v>
      </c>
      <c r="H3815" s="1">
        <v>175.71</v>
      </c>
      <c r="I3815" t="s">
        <v>24</v>
      </c>
      <c r="J3815">
        <v>0</v>
      </c>
      <c r="K3815">
        <v>6</v>
      </c>
    </row>
    <row r="3816" spans="1:11" x14ac:dyDescent="0.35">
      <c r="A3816" t="s">
        <v>3853</v>
      </c>
      <c r="B3816">
        <v>73</v>
      </c>
      <c r="C3816" t="s">
        <v>12</v>
      </c>
      <c r="D3816" t="s">
        <v>21</v>
      </c>
      <c r="E3816">
        <v>37</v>
      </c>
      <c r="F3816" t="s">
        <v>22</v>
      </c>
      <c r="G3816" t="s">
        <v>37</v>
      </c>
      <c r="H3816" s="1">
        <v>200.59</v>
      </c>
      <c r="I3816" t="s">
        <v>24</v>
      </c>
      <c r="J3816">
        <v>2</v>
      </c>
      <c r="K3816">
        <v>1</v>
      </c>
    </row>
    <row r="3817" spans="1:11" x14ac:dyDescent="0.35">
      <c r="A3817" t="s">
        <v>3854</v>
      </c>
      <c r="B3817">
        <v>25</v>
      </c>
      <c r="C3817" t="s">
        <v>12</v>
      </c>
      <c r="D3817" t="s">
        <v>21</v>
      </c>
      <c r="E3817">
        <v>42</v>
      </c>
      <c r="F3817" t="s">
        <v>22</v>
      </c>
      <c r="G3817" t="s">
        <v>37</v>
      </c>
      <c r="H3817" s="1">
        <v>168.57</v>
      </c>
      <c r="I3817" t="s">
        <v>24</v>
      </c>
      <c r="J3817">
        <v>4</v>
      </c>
      <c r="K3817">
        <v>4</v>
      </c>
    </row>
    <row r="3818" spans="1:11" x14ac:dyDescent="0.35">
      <c r="A3818" t="s">
        <v>3855</v>
      </c>
      <c r="B3818">
        <v>31</v>
      </c>
      <c r="C3818" t="s">
        <v>12</v>
      </c>
      <c r="D3818" t="s">
        <v>19</v>
      </c>
      <c r="E3818">
        <v>22</v>
      </c>
      <c r="F3818" t="s">
        <v>26</v>
      </c>
      <c r="G3818" t="s">
        <v>34</v>
      </c>
      <c r="H3818" s="1">
        <v>146.38999999999999</v>
      </c>
      <c r="I3818" t="s">
        <v>24</v>
      </c>
      <c r="J3818">
        <v>0</v>
      </c>
      <c r="K3818">
        <v>5</v>
      </c>
    </row>
    <row r="3819" spans="1:11" x14ac:dyDescent="0.35">
      <c r="A3819" t="s">
        <v>3856</v>
      </c>
      <c r="B3819">
        <v>30</v>
      </c>
      <c r="C3819" t="s">
        <v>12</v>
      </c>
      <c r="D3819" t="s">
        <v>13</v>
      </c>
      <c r="E3819">
        <v>9</v>
      </c>
      <c r="F3819" t="s">
        <v>33</v>
      </c>
      <c r="G3819" t="s">
        <v>15</v>
      </c>
      <c r="H3819" s="1">
        <v>122.27</v>
      </c>
      <c r="I3819" t="s">
        <v>24</v>
      </c>
      <c r="J3819">
        <v>3</v>
      </c>
      <c r="K3819">
        <v>4</v>
      </c>
    </row>
    <row r="3820" spans="1:11" x14ac:dyDescent="0.35">
      <c r="A3820" t="s">
        <v>3857</v>
      </c>
      <c r="B3820">
        <v>49</v>
      </c>
      <c r="C3820" t="s">
        <v>12</v>
      </c>
      <c r="D3820" t="s">
        <v>19</v>
      </c>
      <c r="E3820">
        <v>15</v>
      </c>
      <c r="F3820" t="s">
        <v>22</v>
      </c>
      <c r="G3820" t="s">
        <v>34</v>
      </c>
      <c r="H3820" s="1">
        <v>101.31</v>
      </c>
      <c r="I3820" t="s">
        <v>24</v>
      </c>
      <c r="J3820">
        <v>1</v>
      </c>
      <c r="K3820">
        <v>8</v>
      </c>
    </row>
    <row r="3821" spans="1:11" x14ac:dyDescent="0.35">
      <c r="A3821" t="s">
        <v>3858</v>
      </c>
      <c r="B3821">
        <v>32</v>
      </c>
      <c r="C3821" t="s">
        <v>18</v>
      </c>
      <c r="D3821" t="s">
        <v>19</v>
      </c>
      <c r="E3821">
        <v>15</v>
      </c>
      <c r="F3821" t="s">
        <v>26</v>
      </c>
      <c r="G3821" t="s">
        <v>23</v>
      </c>
      <c r="H3821" s="1">
        <v>202.57</v>
      </c>
      <c r="I3821" t="s">
        <v>28</v>
      </c>
      <c r="J3821">
        <v>2</v>
      </c>
      <c r="K3821">
        <v>8</v>
      </c>
    </row>
    <row r="3822" spans="1:11" x14ac:dyDescent="0.35">
      <c r="A3822" t="s">
        <v>3859</v>
      </c>
      <c r="B3822">
        <v>63</v>
      </c>
      <c r="C3822" t="s">
        <v>12</v>
      </c>
      <c r="D3822" t="s">
        <v>19</v>
      </c>
      <c r="E3822">
        <v>8</v>
      </c>
      <c r="F3822" t="s">
        <v>31</v>
      </c>
      <c r="G3822" t="s">
        <v>34</v>
      </c>
      <c r="H3822" s="1">
        <v>184.75</v>
      </c>
      <c r="I3822" t="s">
        <v>28</v>
      </c>
      <c r="J3822">
        <v>0</v>
      </c>
      <c r="K3822">
        <v>8</v>
      </c>
    </row>
    <row r="3823" spans="1:11" x14ac:dyDescent="0.35">
      <c r="A3823" t="s">
        <v>3860</v>
      </c>
      <c r="B3823">
        <v>84</v>
      </c>
      <c r="C3823" t="s">
        <v>18</v>
      </c>
      <c r="D3823" t="s">
        <v>21</v>
      </c>
      <c r="E3823">
        <v>45</v>
      </c>
      <c r="F3823" t="s">
        <v>22</v>
      </c>
      <c r="G3823" t="s">
        <v>34</v>
      </c>
      <c r="H3823" s="1">
        <v>209.75</v>
      </c>
      <c r="I3823" t="s">
        <v>24</v>
      </c>
      <c r="J3823">
        <v>0</v>
      </c>
      <c r="K3823">
        <v>4</v>
      </c>
    </row>
    <row r="3824" spans="1:11" x14ac:dyDescent="0.35">
      <c r="A3824" t="s">
        <v>3861</v>
      </c>
      <c r="B3824">
        <v>24</v>
      </c>
      <c r="C3824" t="s">
        <v>18</v>
      </c>
      <c r="D3824" t="s">
        <v>30</v>
      </c>
      <c r="E3824">
        <v>9</v>
      </c>
      <c r="F3824" t="s">
        <v>33</v>
      </c>
      <c r="G3824" t="s">
        <v>34</v>
      </c>
      <c r="H3824" s="1">
        <v>204.13</v>
      </c>
      <c r="I3824" t="s">
        <v>24</v>
      </c>
      <c r="J3824">
        <v>0</v>
      </c>
      <c r="K3824">
        <v>4</v>
      </c>
    </row>
    <row r="3825" spans="1:11" x14ac:dyDescent="0.35">
      <c r="A3825" t="s">
        <v>3862</v>
      </c>
      <c r="B3825">
        <v>73</v>
      </c>
      <c r="C3825" t="s">
        <v>18</v>
      </c>
      <c r="D3825" t="s">
        <v>47</v>
      </c>
      <c r="E3825">
        <v>6</v>
      </c>
      <c r="F3825" t="s">
        <v>22</v>
      </c>
      <c r="G3825" t="s">
        <v>23</v>
      </c>
      <c r="H3825" s="1">
        <v>373.55</v>
      </c>
      <c r="I3825" t="s">
        <v>24</v>
      </c>
      <c r="J3825">
        <v>1</v>
      </c>
      <c r="K3825">
        <v>7</v>
      </c>
    </row>
    <row r="3826" spans="1:11" x14ac:dyDescent="0.35">
      <c r="A3826" t="s">
        <v>3863</v>
      </c>
      <c r="B3826">
        <v>67</v>
      </c>
      <c r="C3826" t="s">
        <v>18</v>
      </c>
      <c r="D3826" t="s">
        <v>19</v>
      </c>
      <c r="E3826">
        <v>22</v>
      </c>
      <c r="F3826" t="s">
        <v>33</v>
      </c>
      <c r="G3826" t="s">
        <v>37</v>
      </c>
      <c r="H3826" s="1">
        <v>150.59</v>
      </c>
      <c r="I3826" t="s">
        <v>24</v>
      </c>
      <c r="J3826">
        <v>1</v>
      </c>
      <c r="K3826">
        <v>4</v>
      </c>
    </row>
    <row r="3827" spans="1:11" x14ac:dyDescent="0.35">
      <c r="A3827" t="s">
        <v>3864</v>
      </c>
      <c r="B3827">
        <v>62</v>
      </c>
      <c r="C3827" t="s">
        <v>18</v>
      </c>
      <c r="D3827" t="s">
        <v>19</v>
      </c>
      <c r="E3827">
        <v>23</v>
      </c>
      <c r="F3827" t="s">
        <v>33</v>
      </c>
      <c r="G3827" t="s">
        <v>15</v>
      </c>
      <c r="H3827" s="1">
        <v>429.67</v>
      </c>
      <c r="I3827" t="s">
        <v>28</v>
      </c>
      <c r="J3827">
        <v>2</v>
      </c>
      <c r="K3827">
        <v>5</v>
      </c>
    </row>
    <row r="3828" spans="1:11" x14ac:dyDescent="0.35">
      <c r="A3828" t="s">
        <v>3865</v>
      </c>
      <c r="B3828">
        <v>57</v>
      </c>
      <c r="C3828" t="s">
        <v>12</v>
      </c>
      <c r="D3828" t="s">
        <v>57</v>
      </c>
      <c r="E3828">
        <v>28</v>
      </c>
      <c r="F3828" t="s">
        <v>14</v>
      </c>
      <c r="G3828" t="s">
        <v>34</v>
      </c>
      <c r="H3828" s="1">
        <v>0</v>
      </c>
      <c r="I3828" t="s">
        <v>16</v>
      </c>
      <c r="J3828">
        <v>2</v>
      </c>
      <c r="K3828">
        <v>3</v>
      </c>
    </row>
    <row r="3829" spans="1:11" x14ac:dyDescent="0.35">
      <c r="A3829" t="s">
        <v>3866</v>
      </c>
      <c r="B3829">
        <v>49</v>
      </c>
      <c r="C3829" t="s">
        <v>12</v>
      </c>
      <c r="D3829" t="s">
        <v>19</v>
      </c>
      <c r="E3829">
        <v>23</v>
      </c>
      <c r="F3829" t="s">
        <v>33</v>
      </c>
      <c r="G3829" t="s">
        <v>23</v>
      </c>
      <c r="H3829" s="1">
        <v>503.46</v>
      </c>
      <c r="I3829" t="s">
        <v>24</v>
      </c>
      <c r="J3829">
        <v>2</v>
      </c>
      <c r="K3829">
        <v>4</v>
      </c>
    </row>
    <row r="3830" spans="1:11" x14ac:dyDescent="0.35">
      <c r="A3830" t="s">
        <v>3867</v>
      </c>
      <c r="B3830">
        <v>27</v>
      </c>
      <c r="C3830" t="s">
        <v>18</v>
      </c>
      <c r="D3830" t="s">
        <v>21</v>
      </c>
      <c r="E3830">
        <v>19</v>
      </c>
      <c r="F3830" t="s">
        <v>22</v>
      </c>
      <c r="G3830" t="s">
        <v>34</v>
      </c>
      <c r="H3830" s="1">
        <v>139.71</v>
      </c>
      <c r="I3830" t="s">
        <v>24</v>
      </c>
      <c r="J3830">
        <v>1</v>
      </c>
      <c r="K3830">
        <v>1</v>
      </c>
    </row>
    <row r="3831" spans="1:11" x14ac:dyDescent="0.35">
      <c r="A3831" t="s">
        <v>3868</v>
      </c>
      <c r="B3831">
        <v>26</v>
      </c>
      <c r="C3831" t="s">
        <v>18</v>
      </c>
      <c r="D3831" t="s">
        <v>13</v>
      </c>
      <c r="E3831">
        <v>10</v>
      </c>
      <c r="F3831" t="s">
        <v>26</v>
      </c>
      <c r="G3831" t="s">
        <v>37</v>
      </c>
      <c r="H3831" s="1">
        <v>93.42</v>
      </c>
      <c r="I3831" t="s">
        <v>24</v>
      </c>
      <c r="J3831">
        <v>1</v>
      </c>
      <c r="K3831">
        <v>5</v>
      </c>
    </row>
    <row r="3832" spans="1:11" x14ac:dyDescent="0.35">
      <c r="A3832" t="s">
        <v>3869</v>
      </c>
      <c r="B3832">
        <v>20</v>
      </c>
      <c r="C3832" t="s">
        <v>12</v>
      </c>
      <c r="D3832" t="s">
        <v>200</v>
      </c>
      <c r="E3832">
        <v>15</v>
      </c>
      <c r="F3832" t="s">
        <v>31</v>
      </c>
      <c r="G3832" t="s">
        <v>15</v>
      </c>
      <c r="H3832" s="1">
        <v>401.38</v>
      </c>
      <c r="I3832" t="s">
        <v>24</v>
      </c>
      <c r="J3832">
        <v>3</v>
      </c>
      <c r="K3832">
        <v>8</v>
      </c>
    </row>
    <row r="3833" spans="1:11" x14ac:dyDescent="0.35">
      <c r="A3833" t="s">
        <v>3870</v>
      </c>
      <c r="B3833">
        <v>46</v>
      </c>
      <c r="C3833" t="s">
        <v>18</v>
      </c>
      <c r="D3833" t="s">
        <v>19</v>
      </c>
      <c r="E3833">
        <v>12</v>
      </c>
      <c r="F3833" t="s">
        <v>31</v>
      </c>
      <c r="G3833" t="s">
        <v>27</v>
      </c>
      <c r="H3833" s="1">
        <v>175.44</v>
      </c>
      <c r="I3833" t="s">
        <v>24</v>
      </c>
      <c r="J3833">
        <v>2</v>
      </c>
      <c r="K3833">
        <v>4</v>
      </c>
    </row>
    <row r="3834" spans="1:11" x14ac:dyDescent="0.35">
      <c r="A3834" t="s">
        <v>3871</v>
      </c>
      <c r="B3834">
        <v>74</v>
      </c>
      <c r="C3834" t="s">
        <v>12</v>
      </c>
      <c r="D3834" t="s">
        <v>47</v>
      </c>
      <c r="E3834">
        <v>11</v>
      </c>
      <c r="F3834" t="s">
        <v>22</v>
      </c>
      <c r="G3834" t="s">
        <v>23</v>
      </c>
      <c r="H3834" s="1">
        <v>531.48</v>
      </c>
      <c r="I3834" t="s">
        <v>24</v>
      </c>
      <c r="J3834">
        <v>2</v>
      </c>
      <c r="K3834">
        <v>7</v>
      </c>
    </row>
    <row r="3835" spans="1:11" x14ac:dyDescent="0.35">
      <c r="A3835" t="s">
        <v>3872</v>
      </c>
      <c r="B3835">
        <v>64</v>
      </c>
      <c r="C3835" t="s">
        <v>18</v>
      </c>
      <c r="D3835" t="s">
        <v>19</v>
      </c>
      <c r="E3835">
        <v>23</v>
      </c>
      <c r="F3835" t="s">
        <v>22</v>
      </c>
      <c r="G3835" t="s">
        <v>34</v>
      </c>
      <c r="H3835" s="1">
        <v>201.83</v>
      </c>
      <c r="I3835" t="s">
        <v>24</v>
      </c>
      <c r="J3835">
        <v>1</v>
      </c>
      <c r="K3835">
        <v>3</v>
      </c>
    </row>
    <row r="3836" spans="1:11" x14ac:dyDescent="0.35">
      <c r="A3836" t="s">
        <v>3873</v>
      </c>
      <c r="B3836">
        <v>45</v>
      </c>
      <c r="C3836" t="s">
        <v>12</v>
      </c>
      <c r="D3836" t="s">
        <v>19</v>
      </c>
      <c r="E3836">
        <v>15</v>
      </c>
      <c r="F3836" t="s">
        <v>33</v>
      </c>
      <c r="G3836" t="s">
        <v>37</v>
      </c>
      <c r="H3836" s="1">
        <v>211.14</v>
      </c>
      <c r="I3836" t="s">
        <v>24</v>
      </c>
      <c r="J3836">
        <v>0</v>
      </c>
      <c r="K3836">
        <v>6</v>
      </c>
    </row>
    <row r="3837" spans="1:11" x14ac:dyDescent="0.35">
      <c r="A3837" t="s">
        <v>3874</v>
      </c>
      <c r="B3837">
        <v>35</v>
      </c>
      <c r="C3837" t="s">
        <v>18</v>
      </c>
      <c r="D3837" t="s">
        <v>13</v>
      </c>
      <c r="E3837">
        <v>17</v>
      </c>
      <c r="F3837" t="s">
        <v>33</v>
      </c>
      <c r="G3837" t="s">
        <v>27</v>
      </c>
      <c r="H3837" s="1">
        <v>127.16</v>
      </c>
      <c r="I3837" t="s">
        <v>24</v>
      </c>
      <c r="J3837">
        <v>0</v>
      </c>
      <c r="K3837">
        <v>7</v>
      </c>
    </row>
    <row r="3838" spans="1:11" x14ac:dyDescent="0.35">
      <c r="A3838" t="s">
        <v>3875</v>
      </c>
      <c r="B3838">
        <v>60</v>
      </c>
      <c r="C3838" t="s">
        <v>12</v>
      </c>
      <c r="D3838" t="s">
        <v>21</v>
      </c>
      <c r="E3838">
        <v>18</v>
      </c>
      <c r="F3838" t="s">
        <v>31</v>
      </c>
      <c r="G3838" t="s">
        <v>37</v>
      </c>
      <c r="H3838" s="1">
        <v>162.56</v>
      </c>
      <c r="I3838" t="s">
        <v>24</v>
      </c>
      <c r="J3838">
        <v>1</v>
      </c>
      <c r="K3838">
        <v>7</v>
      </c>
    </row>
    <row r="3839" spans="1:11" x14ac:dyDescent="0.35">
      <c r="A3839" t="s">
        <v>3876</v>
      </c>
      <c r="B3839">
        <v>82</v>
      </c>
      <c r="C3839" t="s">
        <v>18</v>
      </c>
      <c r="D3839" t="s">
        <v>19</v>
      </c>
      <c r="E3839">
        <v>11</v>
      </c>
      <c r="F3839" t="s">
        <v>33</v>
      </c>
      <c r="G3839" t="s">
        <v>27</v>
      </c>
      <c r="H3839" s="1">
        <v>138.07</v>
      </c>
      <c r="I3839" t="s">
        <v>24</v>
      </c>
      <c r="J3839">
        <v>3</v>
      </c>
      <c r="K3839">
        <v>4</v>
      </c>
    </row>
    <row r="3840" spans="1:11" x14ac:dyDescent="0.35">
      <c r="A3840" t="s">
        <v>3877</v>
      </c>
      <c r="B3840">
        <v>54</v>
      </c>
      <c r="C3840" t="s">
        <v>12</v>
      </c>
      <c r="D3840" t="s">
        <v>19</v>
      </c>
      <c r="E3840">
        <v>15</v>
      </c>
      <c r="F3840" t="s">
        <v>33</v>
      </c>
      <c r="G3840" t="s">
        <v>27</v>
      </c>
      <c r="H3840" s="1">
        <v>164.91</v>
      </c>
      <c r="I3840" t="s">
        <v>24</v>
      </c>
      <c r="J3840">
        <v>2</v>
      </c>
      <c r="K3840">
        <v>4</v>
      </c>
    </row>
    <row r="3841" spans="1:11" x14ac:dyDescent="0.35">
      <c r="A3841" t="s">
        <v>3878</v>
      </c>
      <c r="B3841">
        <v>29</v>
      </c>
      <c r="C3841" t="s">
        <v>18</v>
      </c>
      <c r="D3841" t="s">
        <v>13</v>
      </c>
      <c r="E3841">
        <v>21</v>
      </c>
      <c r="F3841" t="s">
        <v>31</v>
      </c>
      <c r="G3841" t="s">
        <v>15</v>
      </c>
      <c r="H3841" s="1">
        <v>348.26</v>
      </c>
      <c r="I3841" t="s">
        <v>24</v>
      </c>
      <c r="J3841">
        <v>1</v>
      </c>
      <c r="K3841">
        <v>3</v>
      </c>
    </row>
    <row r="3842" spans="1:11" x14ac:dyDescent="0.35">
      <c r="A3842" t="s">
        <v>3879</v>
      </c>
      <c r="B3842">
        <v>20</v>
      </c>
      <c r="C3842" t="s">
        <v>18</v>
      </c>
      <c r="D3842" t="s">
        <v>30</v>
      </c>
      <c r="E3842">
        <v>4</v>
      </c>
      <c r="F3842" t="s">
        <v>22</v>
      </c>
      <c r="G3842" t="s">
        <v>23</v>
      </c>
      <c r="H3842" s="1">
        <v>519.54</v>
      </c>
      <c r="I3842" t="s">
        <v>24</v>
      </c>
      <c r="J3842">
        <v>0</v>
      </c>
      <c r="K3842">
        <v>8</v>
      </c>
    </row>
    <row r="3843" spans="1:11" x14ac:dyDescent="0.35">
      <c r="A3843" t="s">
        <v>3880</v>
      </c>
      <c r="B3843">
        <v>22</v>
      </c>
      <c r="C3843" t="s">
        <v>18</v>
      </c>
      <c r="D3843" t="s">
        <v>21</v>
      </c>
      <c r="E3843">
        <v>13</v>
      </c>
      <c r="F3843" t="s">
        <v>33</v>
      </c>
      <c r="G3843" t="s">
        <v>34</v>
      </c>
      <c r="H3843" s="1">
        <v>121.07</v>
      </c>
      <c r="I3843" t="s">
        <v>24</v>
      </c>
      <c r="J3843">
        <v>1</v>
      </c>
      <c r="K3843">
        <v>5</v>
      </c>
    </row>
    <row r="3844" spans="1:11" x14ac:dyDescent="0.35">
      <c r="A3844" t="s">
        <v>3881</v>
      </c>
      <c r="B3844">
        <v>25</v>
      </c>
      <c r="C3844" t="s">
        <v>12</v>
      </c>
      <c r="D3844" t="s">
        <v>30</v>
      </c>
      <c r="E3844">
        <v>2</v>
      </c>
      <c r="F3844" t="s">
        <v>33</v>
      </c>
      <c r="G3844" t="s">
        <v>15</v>
      </c>
      <c r="H3844" s="1">
        <v>189.71</v>
      </c>
      <c r="I3844" t="s">
        <v>24</v>
      </c>
      <c r="J3844">
        <v>1</v>
      </c>
      <c r="K3844">
        <v>9</v>
      </c>
    </row>
    <row r="3845" spans="1:11" x14ac:dyDescent="0.35">
      <c r="A3845" t="s">
        <v>3882</v>
      </c>
      <c r="B3845">
        <v>55</v>
      </c>
      <c r="C3845" t="s">
        <v>12</v>
      </c>
      <c r="D3845" t="s">
        <v>41</v>
      </c>
      <c r="E3845">
        <v>6</v>
      </c>
      <c r="F3845" t="s">
        <v>22</v>
      </c>
      <c r="G3845" t="s">
        <v>27</v>
      </c>
      <c r="H3845" s="1">
        <v>149.77000000000001</v>
      </c>
      <c r="I3845" t="s">
        <v>24</v>
      </c>
      <c r="J3845">
        <v>0</v>
      </c>
      <c r="K3845">
        <v>8</v>
      </c>
    </row>
    <row r="3846" spans="1:11" x14ac:dyDescent="0.35">
      <c r="A3846" t="s">
        <v>3883</v>
      </c>
      <c r="B3846">
        <v>75</v>
      </c>
      <c r="C3846" t="s">
        <v>18</v>
      </c>
      <c r="D3846" t="s">
        <v>41</v>
      </c>
      <c r="E3846">
        <v>8</v>
      </c>
      <c r="F3846" t="s">
        <v>26</v>
      </c>
      <c r="G3846" t="s">
        <v>15</v>
      </c>
      <c r="H3846" s="1">
        <v>396.1</v>
      </c>
      <c r="I3846" t="s">
        <v>24</v>
      </c>
      <c r="J3846">
        <v>0</v>
      </c>
      <c r="K3846">
        <v>7</v>
      </c>
    </row>
    <row r="3847" spans="1:11" x14ac:dyDescent="0.35">
      <c r="A3847" t="s">
        <v>3884</v>
      </c>
      <c r="B3847">
        <v>75</v>
      </c>
      <c r="C3847" t="s">
        <v>12</v>
      </c>
      <c r="D3847" t="s">
        <v>120</v>
      </c>
      <c r="E3847">
        <v>35</v>
      </c>
      <c r="F3847" t="s">
        <v>26</v>
      </c>
      <c r="G3847" t="s">
        <v>15</v>
      </c>
      <c r="H3847" s="1">
        <v>388.61</v>
      </c>
      <c r="I3847" t="s">
        <v>24</v>
      </c>
      <c r="J3847">
        <v>4</v>
      </c>
      <c r="K3847">
        <v>4</v>
      </c>
    </row>
    <row r="3848" spans="1:11" x14ac:dyDescent="0.35">
      <c r="A3848" t="s">
        <v>3885</v>
      </c>
      <c r="B3848">
        <v>50</v>
      </c>
      <c r="C3848" t="s">
        <v>18</v>
      </c>
      <c r="D3848" t="s">
        <v>21</v>
      </c>
      <c r="E3848">
        <v>45</v>
      </c>
      <c r="F3848" t="s">
        <v>22</v>
      </c>
      <c r="G3848" t="s">
        <v>15</v>
      </c>
      <c r="H3848" s="1">
        <v>169.96</v>
      </c>
      <c r="I3848" t="s">
        <v>24</v>
      </c>
      <c r="J3848">
        <v>2</v>
      </c>
      <c r="K3848">
        <v>5</v>
      </c>
    </row>
    <row r="3849" spans="1:11" x14ac:dyDescent="0.35">
      <c r="A3849" t="s">
        <v>3886</v>
      </c>
      <c r="B3849">
        <v>48</v>
      </c>
      <c r="C3849" t="s">
        <v>12</v>
      </c>
      <c r="D3849" t="s">
        <v>21</v>
      </c>
      <c r="E3849">
        <v>17</v>
      </c>
      <c r="F3849" t="s">
        <v>22</v>
      </c>
      <c r="G3849" t="s">
        <v>15</v>
      </c>
      <c r="H3849" s="1">
        <v>136.91</v>
      </c>
      <c r="I3849" t="s">
        <v>24</v>
      </c>
      <c r="J3849">
        <v>0</v>
      </c>
      <c r="K3849">
        <v>4</v>
      </c>
    </row>
    <row r="3850" spans="1:11" x14ac:dyDescent="0.35">
      <c r="A3850" t="s">
        <v>3887</v>
      </c>
      <c r="B3850">
        <v>58</v>
      </c>
      <c r="C3850" t="s">
        <v>18</v>
      </c>
      <c r="D3850" t="s">
        <v>30</v>
      </c>
      <c r="E3850">
        <v>11</v>
      </c>
      <c r="F3850" t="s">
        <v>33</v>
      </c>
      <c r="G3850" t="s">
        <v>23</v>
      </c>
      <c r="H3850" s="1">
        <v>118.58</v>
      </c>
      <c r="I3850" t="s">
        <v>24</v>
      </c>
      <c r="J3850">
        <v>0</v>
      </c>
      <c r="K3850">
        <v>6</v>
      </c>
    </row>
    <row r="3851" spans="1:11" x14ac:dyDescent="0.35">
      <c r="A3851" t="s">
        <v>3888</v>
      </c>
      <c r="B3851">
        <v>83</v>
      </c>
      <c r="C3851" t="s">
        <v>12</v>
      </c>
      <c r="D3851" t="s">
        <v>41</v>
      </c>
      <c r="E3851">
        <v>11</v>
      </c>
      <c r="F3851" t="s">
        <v>26</v>
      </c>
      <c r="G3851" t="s">
        <v>27</v>
      </c>
      <c r="H3851" s="1">
        <v>34.15</v>
      </c>
      <c r="I3851" t="s">
        <v>24</v>
      </c>
      <c r="J3851">
        <v>2</v>
      </c>
      <c r="K3851">
        <v>7</v>
      </c>
    </row>
    <row r="3852" spans="1:11" x14ac:dyDescent="0.35">
      <c r="A3852" t="s">
        <v>3889</v>
      </c>
      <c r="B3852">
        <v>50</v>
      </c>
      <c r="C3852" t="s">
        <v>12</v>
      </c>
      <c r="D3852" t="s">
        <v>13</v>
      </c>
      <c r="E3852">
        <v>24</v>
      </c>
      <c r="F3852" t="s">
        <v>31</v>
      </c>
      <c r="G3852" t="s">
        <v>34</v>
      </c>
      <c r="H3852" s="1">
        <v>136.81</v>
      </c>
      <c r="I3852" t="s">
        <v>24</v>
      </c>
      <c r="J3852">
        <v>4</v>
      </c>
      <c r="K3852">
        <v>2</v>
      </c>
    </row>
    <row r="3853" spans="1:11" x14ac:dyDescent="0.35">
      <c r="A3853" t="s">
        <v>3890</v>
      </c>
      <c r="B3853">
        <v>78</v>
      </c>
      <c r="C3853" t="s">
        <v>12</v>
      </c>
      <c r="D3853" t="s">
        <v>21</v>
      </c>
      <c r="E3853">
        <v>16</v>
      </c>
      <c r="F3853" t="s">
        <v>33</v>
      </c>
      <c r="G3853" t="s">
        <v>37</v>
      </c>
      <c r="H3853" s="1">
        <v>173.26</v>
      </c>
      <c r="I3853" t="s">
        <v>24</v>
      </c>
      <c r="J3853">
        <v>2</v>
      </c>
      <c r="K3853">
        <v>8</v>
      </c>
    </row>
    <row r="3854" spans="1:11" x14ac:dyDescent="0.35">
      <c r="A3854" t="s">
        <v>3891</v>
      </c>
      <c r="B3854">
        <v>27</v>
      </c>
      <c r="C3854" t="s">
        <v>18</v>
      </c>
      <c r="D3854" t="s">
        <v>19</v>
      </c>
      <c r="E3854">
        <v>9</v>
      </c>
      <c r="F3854" t="s">
        <v>31</v>
      </c>
      <c r="G3854" t="s">
        <v>37</v>
      </c>
      <c r="H3854" s="1">
        <v>142.80000000000001</v>
      </c>
      <c r="I3854" t="s">
        <v>24</v>
      </c>
      <c r="J3854">
        <v>3</v>
      </c>
      <c r="K3854">
        <v>5</v>
      </c>
    </row>
    <row r="3855" spans="1:11" x14ac:dyDescent="0.35">
      <c r="A3855" t="s">
        <v>3892</v>
      </c>
      <c r="B3855">
        <v>48</v>
      </c>
      <c r="C3855" t="s">
        <v>18</v>
      </c>
      <c r="D3855" t="s">
        <v>19</v>
      </c>
      <c r="E3855">
        <v>11</v>
      </c>
      <c r="F3855" t="s">
        <v>22</v>
      </c>
      <c r="G3855" t="s">
        <v>23</v>
      </c>
      <c r="H3855" s="1">
        <v>312.41000000000003</v>
      </c>
      <c r="I3855" t="s">
        <v>24</v>
      </c>
      <c r="J3855">
        <v>1</v>
      </c>
      <c r="K3855">
        <v>8</v>
      </c>
    </row>
    <row r="3856" spans="1:11" x14ac:dyDescent="0.35">
      <c r="A3856" t="s">
        <v>3893</v>
      </c>
      <c r="B3856">
        <v>26</v>
      </c>
      <c r="C3856" t="s">
        <v>18</v>
      </c>
      <c r="D3856" t="s">
        <v>21</v>
      </c>
      <c r="E3856">
        <v>46</v>
      </c>
      <c r="F3856" t="s">
        <v>22</v>
      </c>
      <c r="G3856" t="s">
        <v>15</v>
      </c>
      <c r="H3856" s="1">
        <v>376.29</v>
      </c>
      <c r="I3856" t="s">
        <v>24</v>
      </c>
      <c r="J3856">
        <v>2</v>
      </c>
      <c r="K3856">
        <v>5</v>
      </c>
    </row>
    <row r="3857" spans="1:11" x14ac:dyDescent="0.35">
      <c r="A3857" t="s">
        <v>3894</v>
      </c>
      <c r="B3857">
        <v>37</v>
      </c>
      <c r="C3857" t="s">
        <v>18</v>
      </c>
      <c r="D3857" t="s">
        <v>19</v>
      </c>
      <c r="E3857">
        <v>14</v>
      </c>
      <c r="F3857" t="s">
        <v>22</v>
      </c>
      <c r="G3857" t="s">
        <v>23</v>
      </c>
      <c r="H3857" s="1">
        <v>522.25</v>
      </c>
      <c r="I3857" t="s">
        <v>28</v>
      </c>
      <c r="J3857">
        <v>1</v>
      </c>
      <c r="K3857">
        <v>5</v>
      </c>
    </row>
    <row r="3858" spans="1:11" x14ac:dyDescent="0.35">
      <c r="A3858" t="s">
        <v>3895</v>
      </c>
      <c r="B3858">
        <v>51</v>
      </c>
      <c r="C3858" t="s">
        <v>18</v>
      </c>
      <c r="D3858" t="s">
        <v>200</v>
      </c>
      <c r="E3858">
        <v>23</v>
      </c>
      <c r="F3858" t="s">
        <v>26</v>
      </c>
      <c r="G3858" t="s">
        <v>23</v>
      </c>
      <c r="H3858" s="1">
        <v>354.81</v>
      </c>
      <c r="I3858" t="s">
        <v>28</v>
      </c>
      <c r="J3858">
        <v>0</v>
      </c>
      <c r="K3858">
        <v>2</v>
      </c>
    </row>
    <row r="3859" spans="1:11" x14ac:dyDescent="0.35">
      <c r="A3859" t="s">
        <v>3896</v>
      </c>
      <c r="B3859">
        <v>36</v>
      </c>
      <c r="C3859" t="s">
        <v>18</v>
      </c>
      <c r="D3859" t="s">
        <v>41</v>
      </c>
      <c r="E3859">
        <v>4</v>
      </c>
      <c r="F3859" t="s">
        <v>22</v>
      </c>
      <c r="G3859" t="s">
        <v>27</v>
      </c>
      <c r="H3859" s="1">
        <v>173.36</v>
      </c>
      <c r="I3859" t="s">
        <v>24</v>
      </c>
      <c r="J3859">
        <v>0</v>
      </c>
      <c r="K3859">
        <v>8</v>
      </c>
    </row>
    <row r="3860" spans="1:11" x14ac:dyDescent="0.35">
      <c r="A3860" t="s">
        <v>3897</v>
      </c>
      <c r="B3860">
        <v>85</v>
      </c>
      <c r="C3860" t="s">
        <v>18</v>
      </c>
      <c r="D3860" t="s">
        <v>19</v>
      </c>
      <c r="E3860">
        <v>10</v>
      </c>
      <c r="F3860" t="s">
        <v>26</v>
      </c>
      <c r="G3860" t="s">
        <v>34</v>
      </c>
      <c r="H3860" s="1">
        <v>143.37</v>
      </c>
      <c r="I3860" t="s">
        <v>24</v>
      </c>
      <c r="J3860">
        <v>2</v>
      </c>
      <c r="K3860">
        <v>5</v>
      </c>
    </row>
    <row r="3861" spans="1:11" x14ac:dyDescent="0.35">
      <c r="A3861" t="s">
        <v>3898</v>
      </c>
      <c r="B3861">
        <v>39</v>
      </c>
      <c r="C3861" t="s">
        <v>12</v>
      </c>
      <c r="D3861" t="s">
        <v>21</v>
      </c>
      <c r="E3861">
        <v>31</v>
      </c>
      <c r="F3861" t="s">
        <v>22</v>
      </c>
      <c r="G3861" t="s">
        <v>15</v>
      </c>
      <c r="H3861" s="1">
        <v>267.98</v>
      </c>
      <c r="I3861" t="s">
        <v>24</v>
      </c>
      <c r="J3861">
        <v>1</v>
      </c>
      <c r="K3861">
        <v>1</v>
      </c>
    </row>
    <row r="3862" spans="1:11" x14ac:dyDescent="0.35">
      <c r="A3862" t="s">
        <v>3899</v>
      </c>
      <c r="B3862">
        <v>37</v>
      </c>
      <c r="C3862" t="s">
        <v>18</v>
      </c>
      <c r="D3862" t="s">
        <v>21</v>
      </c>
      <c r="E3862">
        <v>24</v>
      </c>
      <c r="F3862" t="s">
        <v>22</v>
      </c>
      <c r="G3862" t="s">
        <v>37</v>
      </c>
      <c r="H3862" s="1">
        <v>194.11</v>
      </c>
      <c r="I3862" t="s">
        <v>24</v>
      </c>
      <c r="J3862">
        <v>3</v>
      </c>
      <c r="K3862">
        <v>5</v>
      </c>
    </row>
    <row r="3863" spans="1:11" x14ac:dyDescent="0.35">
      <c r="A3863" t="s">
        <v>3900</v>
      </c>
      <c r="B3863">
        <v>51</v>
      </c>
      <c r="C3863" t="s">
        <v>18</v>
      </c>
      <c r="D3863" t="s">
        <v>19</v>
      </c>
      <c r="E3863">
        <v>14</v>
      </c>
      <c r="F3863" t="s">
        <v>31</v>
      </c>
      <c r="G3863" t="s">
        <v>23</v>
      </c>
      <c r="H3863" s="1">
        <v>452.01</v>
      </c>
      <c r="I3863" t="s">
        <v>24</v>
      </c>
      <c r="J3863">
        <v>0</v>
      </c>
      <c r="K3863">
        <v>7</v>
      </c>
    </row>
    <row r="3864" spans="1:11" x14ac:dyDescent="0.35">
      <c r="A3864" t="s">
        <v>3901</v>
      </c>
      <c r="B3864">
        <v>69</v>
      </c>
      <c r="C3864" t="s">
        <v>12</v>
      </c>
      <c r="D3864" t="s">
        <v>19</v>
      </c>
      <c r="E3864">
        <v>24</v>
      </c>
      <c r="F3864" t="s">
        <v>31</v>
      </c>
      <c r="G3864" t="s">
        <v>34</v>
      </c>
      <c r="H3864" s="1">
        <v>170.28</v>
      </c>
      <c r="I3864" t="s">
        <v>24</v>
      </c>
      <c r="J3864">
        <v>4</v>
      </c>
      <c r="K3864">
        <v>1</v>
      </c>
    </row>
    <row r="3865" spans="1:11" x14ac:dyDescent="0.35">
      <c r="A3865" t="s">
        <v>3902</v>
      </c>
      <c r="B3865">
        <v>78</v>
      </c>
      <c r="C3865" t="s">
        <v>18</v>
      </c>
      <c r="D3865" t="s">
        <v>19</v>
      </c>
      <c r="E3865">
        <v>14</v>
      </c>
      <c r="F3865" t="s">
        <v>26</v>
      </c>
      <c r="G3865" t="s">
        <v>37</v>
      </c>
      <c r="H3865" s="1">
        <v>131.51</v>
      </c>
      <c r="I3865" t="s">
        <v>24</v>
      </c>
      <c r="J3865">
        <v>3</v>
      </c>
      <c r="K3865">
        <v>8</v>
      </c>
    </row>
    <row r="3866" spans="1:11" x14ac:dyDescent="0.35">
      <c r="A3866" t="s">
        <v>3903</v>
      </c>
      <c r="B3866">
        <v>72</v>
      </c>
      <c r="C3866" t="s">
        <v>18</v>
      </c>
      <c r="D3866" t="s">
        <v>21</v>
      </c>
      <c r="E3866">
        <v>28</v>
      </c>
      <c r="F3866" t="s">
        <v>26</v>
      </c>
      <c r="G3866" t="s">
        <v>15</v>
      </c>
      <c r="H3866" s="1">
        <v>307.86</v>
      </c>
      <c r="I3866" t="s">
        <v>24</v>
      </c>
      <c r="J3866">
        <v>0</v>
      </c>
      <c r="K3866">
        <v>2</v>
      </c>
    </row>
    <row r="3867" spans="1:11" x14ac:dyDescent="0.35">
      <c r="A3867" t="s">
        <v>3904</v>
      </c>
      <c r="B3867">
        <v>32</v>
      </c>
      <c r="C3867" t="s">
        <v>12</v>
      </c>
      <c r="D3867" t="s">
        <v>21</v>
      </c>
      <c r="E3867">
        <v>31</v>
      </c>
      <c r="F3867" t="s">
        <v>22</v>
      </c>
      <c r="G3867" t="s">
        <v>27</v>
      </c>
      <c r="H3867" s="1">
        <v>176.51</v>
      </c>
      <c r="I3867" t="s">
        <v>24</v>
      </c>
      <c r="J3867">
        <v>0</v>
      </c>
      <c r="K3867">
        <v>2</v>
      </c>
    </row>
    <row r="3868" spans="1:11" x14ac:dyDescent="0.35">
      <c r="A3868" t="s">
        <v>3905</v>
      </c>
      <c r="B3868">
        <v>22</v>
      </c>
      <c r="C3868" t="s">
        <v>18</v>
      </c>
      <c r="D3868" t="s">
        <v>21</v>
      </c>
      <c r="E3868">
        <v>46</v>
      </c>
      <c r="F3868" t="s">
        <v>22</v>
      </c>
      <c r="G3868" t="s">
        <v>27</v>
      </c>
      <c r="H3868" s="1">
        <v>41.41</v>
      </c>
      <c r="I3868" t="s">
        <v>24</v>
      </c>
      <c r="J3868">
        <v>1</v>
      </c>
      <c r="K3868">
        <v>3</v>
      </c>
    </row>
    <row r="3869" spans="1:11" x14ac:dyDescent="0.35">
      <c r="A3869" t="s">
        <v>3906</v>
      </c>
      <c r="B3869">
        <v>24</v>
      </c>
      <c r="C3869" t="s">
        <v>12</v>
      </c>
      <c r="D3869" t="s">
        <v>21</v>
      </c>
      <c r="E3869">
        <v>43</v>
      </c>
      <c r="F3869" t="s">
        <v>26</v>
      </c>
      <c r="G3869" t="s">
        <v>23</v>
      </c>
      <c r="H3869" s="1">
        <v>476.12</v>
      </c>
      <c r="I3869" t="s">
        <v>24</v>
      </c>
      <c r="J3869">
        <v>2</v>
      </c>
      <c r="K3869">
        <v>4</v>
      </c>
    </row>
    <row r="3870" spans="1:11" x14ac:dyDescent="0.35">
      <c r="A3870" t="s">
        <v>3907</v>
      </c>
      <c r="B3870">
        <v>39</v>
      </c>
      <c r="C3870" t="s">
        <v>12</v>
      </c>
      <c r="D3870" t="s">
        <v>21</v>
      </c>
      <c r="E3870">
        <v>30</v>
      </c>
      <c r="F3870" t="s">
        <v>31</v>
      </c>
      <c r="G3870" t="s">
        <v>37</v>
      </c>
      <c r="H3870" s="1">
        <v>203.5</v>
      </c>
      <c r="I3870" t="s">
        <v>24</v>
      </c>
      <c r="J3870">
        <v>1</v>
      </c>
      <c r="K3870">
        <v>5</v>
      </c>
    </row>
    <row r="3871" spans="1:11" x14ac:dyDescent="0.35">
      <c r="A3871" t="s">
        <v>3908</v>
      </c>
      <c r="B3871">
        <v>43</v>
      </c>
      <c r="C3871" t="s">
        <v>12</v>
      </c>
      <c r="D3871" t="s">
        <v>21</v>
      </c>
      <c r="E3871">
        <v>31</v>
      </c>
      <c r="F3871" t="s">
        <v>31</v>
      </c>
      <c r="G3871" t="s">
        <v>34</v>
      </c>
      <c r="H3871" s="1">
        <v>195.14</v>
      </c>
      <c r="I3871" t="s">
        <v>28</v>
      </c>
      <c r="J3871">
        <v>1</v>
      </c>
      <c r="K3871">
        <v>3</v>
      </c>
    </row>
    <row r="3872" spans="1:11" x14ac:dyDescent="0.35">
      <c r="A3872" t="s">
        <v>3909</v>
      </c>
      <c r="B3872">
        <v>60</v>
      </c>
      <c r="C3872" t="s">
        <v>528</v>
      </c>
      <c r="D3872" t="s">
        <v>19</v>
      </c>
      <c r="E3872">
        <v>13</v>
      </c>
      <c r="F3872" t="s">
        <v>14</v>
      </c>
      <c r="G3872" t="s">
        <v>23</v>
      </c>
      <c r="H3872" s="1">
        <v>0</v>
      </c>
      <c r="I3872" t="s">
        <v>16</v>
      </c>
      <c r="J3872">
        <v>0</v>
      </c>
      <c r="K3872">
        <v>4</v>
      </c>
    </row>
    <row r="3873" spans="1:11" x14ac:dyDescent="0.35">
      <c r="A3873" t="s">
        <v>3910</v>
      </c>
      <c r="B3873">
        <v>79</v>
      </c>
      <c r="C3873" t="s">
        <v>12</v>
      </c>
      <c r="D3873" t="s">
        <v>21</v>
      </c>
      <c r="E3873">
        <v>27</v>
      </c>
      <c r="F3873" t="s">
        <v>22</v>
      </c>
      <c r="G3873" t="s">
        <v>23</v>
      </c>
      <c r="H3873" s="1">
        <v>265.66000000000003</v>
      </c>
      <c r="I3873" t="s">
        <v>28</v>
      </c>
      <c r="J3873">
        <v>4</v>
      </c>
      <c r="K3873">
        <v>2</v>
      </c>
    </row>
    <row r="3874" spans="1:11" x14ac:dyDescent="0.35">
      <c r="A3874" t="s">
        <v>3911</v>
      </c>
      <c r="B3874">
        <v>63</v>
      </c>
      <c r="C3874" t="s">
        <v>12</v>
      </c>
      <c r="D3874" t="s">
        <v>19</v>
      </c>
      <c r="E3874">
        <v>11</v>
      </c>
      <c r="F3874" t="s">
        <v>22</v>
      </c>
      <c r="G3874" t="s">
        <v>37</v>
      </c>
      <c r="H3874" s="1">
        <v>157.78</v>
      </c>
      <c r="I3874" t="s">
        <v>24</v>
      </c>
      <c r="J3874">
        <v>0</v>
      </c>
      <c r="K3874">
        <v>7</v>
      </c>
    </row>
    <row r="3875" spans="1:11" x14ac:dyDescent="0.35">
      <c r="A3875" t="s">
        <v>3912</v>
      </c>
      <c r="B3875">
        <v>85</v>
      </c>
      <c r="C3875" t="s">
        <v>18</v>
      </c>
      <c r="D3875" t="s">
        <v>19</v>
      </c>
      <c r="E3875">
        <v>12</v>
      </c>
      <c r="F3875" t="s">
        <v>22</v>
      </c>
      <c r="G3875" t="s">
        <v>23</v>
      </c>
      <c r="H3875" s="1">
        <v>105.42</v>
      </c>
      <c r="I3875" t="s">
        <v>24</v>
      </c>
      <c r="J3875">
        <v>1</v>
      </c>
      <c r="K3875">
        <v>4</v>
      </c>
    </row>
    <row r="3876" spans="1:11" x14ac:dyDescent="0.35">
      <c r="A3876" t="s">
        <v>3913</v>
      </c>
      <c r="B3876">
        <v>31</v>
      </c>
      <c r="C3876" t="s">
        <v>18</v>
      </c>
      <c r="D3876" t="s">
        <v>21</v>
      </c>
      <c r="E3876">
        <v>47</v>
      </c>
      <c r="F3876" t="s">
        <v>22</v>
      </c>
      <c r="G3876" t="s">
        <v>27</v>
      </c>
      <c r="H3876" s="1">
        <v>179.88</v>
      </c>
      <c r="I3876" t="s">
        <v>24</v>
      </c>
      <c r="J3876">
        <v>2</v>
      </c>
      <c r="K3876">
        <v>5</v>
      </c>
    </row>
    <row r="3877" spans="1:11" x14ac:dyDescent="0.35">
      <c r="A3877" t="s">
        <v>3914</v>
      </c>
      <c r="B3877">
        <v>35</v>
      </c>
      <c r="C3877" t="s">
        <v>12</v>
      </c>
      <c r="D3877" t="s">
        <v>13</v>
      </c>
      <c r="E3877">
        <v>17</v>
      </c>
      <c r="F3877" t="s">
        <v>14</v>
      </c>
      <c r="G3877" t="s">
        <v>34</v>
      </c>
      <c r="H3877" s="1">
        <v>0</v>
      </c>
      <c r="I3877" t="s">
        <v>16</v>
      </c>
      <c r="J3877">
        <v>3</v>
      </c>
      <c r="K3877">
        <v>7</v>
      </c>
    </row>
    <row r="3878" spans="1:11" x14ac:dyDescent="0.35">
      <c r="A3878" t="s">
        <v>3915</v>
      </c>
      <c r="B3878">
        <v>44</v>
      </c>
      <c r="C3878" t="s">
        <v>12</v>
      </c>
      <c r="D3878" t="s">
        <v>21</v>
      </c>
      <c r="E3878">
        <v>40</v>
      </c>
      <c r="F3878" t="s">
        <v>31</v>
      </c>
      <c r="G3878" t="s">
        <v>37</v>
      </c>
      <c r="H3878" s="1">
        <v>106.06</v>
      </c>
      <c r="I3878" t="s">
        <v>24</v>
      </c>
      <c r="J3878">
        <v>1</v>
      </c>
      <c r="K3878">
        <v>5</v>
      </c>
    </row>
    <row r="3879" spans="1:11" x14ac:dyDescent="0.35">
      <c r="A3879" t="s">
        <v>3916</v>
      </c>
      <c r="B3879">
        <v>47</v>
      </c>
      <c r="C3879" t="s">
        <v>12</v>
      </c>
      <c r="D3879" t="s">
        <v>21</v>
      </c>
      <c r="E3879">
        <v>14</v>
      </c>
      <c r="F3879" t="s">
        <v>14</v>
      </c>
      <c r="G3879" t="s">
        <v>34</v>
      </c>
      <c r="H3879" s="1">
        <v>0</v>
      </c>
      <c r="I3879" t="s">
        <v>16</v>
      </c>
      <c r="J3879">
        <v>0</v>
      </c>
      <c r="K3879">
        <v>4</v>
      </c>
    </row>
    <row r="3880" spans="1:11" x14ac:dyDescent="0.35">
      <c r="A3880" t="s">
        <v>3917</v>
      </c>
      <c r="B3880">
        <v>46</v>
      </c>
      <c r="C3880" t="s">
        <v>12</v>
      </c>
      <c r="D3880" t="s">
        <v>21</v>
      </c>
      <c r="E3880">
        <v>41</v>
      </c>
      <c r="F3880" t="s">
        <v>33</v>
      </c>
      <c r="G3880" t="s">
        <v>34</v>
      </c>
      <c r="H3880" s="1">
        <v>162.81</v>
      </c>
      <c r="I3880" t="s">
        <v>24</v>
      </c>
      <c r="J3880">
        <v>1</v>
      </c>
      <c r="K3880">
        <v>5</v>
      </c>
    </row>
    <row r="3881" spans="1:11" x14ac:dyDescent="0.35">
      <c r="A3881" t="s">
        <v>3918</v>
      </c>
      <c r="B3881">
        <v>39</v>
      </c>
      <c r="C3881" t="s">
        <v>18</v>
      </c>
      <c r="D3881" t="s">
        <v>21</v>
      </c>
      <c r="E3881">
        <v>17</v>
      </c>
      <c r="F3881" t="s">
        <v>31</v>
      </c>
      <c r="G3881" t="s">
        <v>27</v>
      </c>
      <c r="H3881" s="1">
        <v>15.96</v>
      </c>
      <c r="I3881" t="s">
        <v>24</v>
      </c>
      <c r="J3881">
        <v>2</v>
      </c>
      <c r="K3881">
        <v>6</v>
      </c>
    </row>
    <row r="3882" spans="1:11" x14ac:dyDescent="0.35">
      <c r="A3882" t="s">
        <v>3919</v>
      </c>
      <c r="B3882">
        <v>24</v>
      </c>
      <c r="C3882" t="s">
        <v>12</v>
      </c>
      <c r="D3882" t="s">
        <v>13</v>
      </c>
      <c r="E3882">
        <v>21</v>
      </c>
      <c r="F3882" t="s">
        <v>22</v>
      </c>
      <c r="G3882" t="s">
        <v>37</v>
      </c>
      <c r="H3882" s="1">
        <v>168.77</v>
      </c>
      <c r="I3882" t="s">
        <v>28</v>
      </c>
      <c r="J3882">
        <v>4</v>
      </c>
      <c r="K3882">
        <v>1</v>
      </c>
    </row>
    <row r="3883" spans="1:11" x14ac:dyDescent="0.35">
      <c r="A3883" t="s">
        <v>3920</v>
      </c>
      <c r="B3883">
        <v>42</v>
      </c>
      <c r="C3883" t="s">
        <v>18</v>
      </c>
      <c r="D3883" t="s">
        <v>19</v>
      </c>
      <c r="E3883">
        <v>22</v>
      </c>
      <c r="F3883" t="s">
        <v>31</v>
      </c>
      <c r="G3883" t="s">
        <v>34</v>
      </c>
      <c r="H3883" s="1">
        <v>123.35</v>
      </c>
      <c r="I3883" t="s">
        <v>24</v>
      </c>
      <c r="J3883">
        <v>0</v>
      </c>
      <c r="K3883">
        <v>4</v>
      </c>
    </row>
    <row r="3884" spans="1:11" x14ac:dyDescent="0.35">
      <c r="A3884" t="s">
        <v>3921</v>
      </c>
      <c r="B3884">
        <v>37</v>
      </c>
      <c r="C3884" t="s">
        <v>18</v>
      </c>
      <c r="D3884" t="s">
        <v>19</v>
      </c>
      <c r="E3884">
        <v>7</v>
      </c>
      <c r="F3884" t="s">
        <v>14</v>
      </c>
      <c r="G3884" t="s">
        <v>15</v>
      </c>
      <c r="H3884" s="1">
        <v>0</v>
      </c>
      <c r="I3884" t="s">
        <v>16</v>
      </c>
      <c r="J3884">
        <v>2</v>
      </c>
      <c r="K3884">
        <v>9</v>
      </c>
    </row>
    <row r="3885" spans="1:11" x14ac:dyDescent="0.35">
      <c r="A3885" t="s">
        <v>3922</v>
      </c>
      <c r="B3885">
        <v>36</v>
      </c>
      <c r="C3885" t="s">
        <v>12</v>
      </c>
      <c r="D3885" t="s">
        <v>41</v>
      </c>
      <c r="E3885">
        <v>5</v>
      </c>
      <c r="F3885" t="s">
        <v>22</v>
      </c>
      <c r="G3885" t="s">
        <v>34</v>
      </c>
      <c r="H3885" s="1">
        <v>193.2</v>
      </c>
      <c r="I3885" t="s">
        <v>24</v>
      </c>
      <c r="J3885">
        <v>0</v>
      </c>
      <c r="K3885">
        <v>7</v>
      </c>
    </row>
    <row r="3886" spans="1:11" x14ac:dyDescent="0.35">
      <c r="A3886" t="s">
        <v>3923</v>
      </c>
      <c r="B3886">
        <v>85</v>
      </c>
      <c r="C3886" t="s">
        <v>18</v>
      </c>
      <c r="D3886" t="s">
        <v>19</v>
      </c>
      <c r="E3886">
        <v>11</v>
      </c>
      <c r="F3886" t="s">
        <v>33</v>
      </c>
      <c r="G3886" t="s">
        <v>15</v>
      </c>
      <c r="H3886" s="1">
        <v>237.35</v>
      </c>
      <c r="I3886" t="s">
        <v>24</v>
      </c>
      <c r="J3886">
        <v>0</v>
      </c>
      <c r="K3886">
        <v>7</v>
      </c>
    </row>
    <row r="3887" spans="1:11" x14ac:dyDescent="0.35">
      <c r="A3887" t="s">
        <v>3924</v>
      </c>
      <c r="B3887">
        <v>21</v>
      </c>
      <c r="C3887" t="s">
        <v>18</v>
      </c>
      <c r="D3887" t="s">
        <v>19</v>
      </c>
      <c r="E3887">
        <v>6</v>
      </c>
      <c r="F3887" t="s">
        <v>31</v>
      </c>
      <c r="G3887" t="s">
        <v>23</v>
      </c>
      <c r="H3887" s="1">
        <v>116.92</v>
      </c>
      <c r="I3887" t="s">
        <v>24</v>
      </c>
      <c r="J3887">
        <v>0</v>
      </c>
      <c r="K3887">
        <v>7</v>
      </c>
    </row>
    <row r="3888" spans="1:11" x14ac:dyDescent="0.35">
      <c r="A3888" t="s">
        <v>3925</v>
      </c>
      <c r="B3888">
        <v>49</v>
      </c>
      <c r="C3888" t="s">
        <v>12</v>
      </c>
      <c r="D3888" t="s">
        <v>13</v>
      </c>
      <c r="E3888">
        <v>24</v>
      </c>
      <c r="F3888" t="s">
        <v>31</v>
      </c>
      <c r="G3888" t="s">
        <v>34</v>
      </c>
      <c r="H3888" s="1">
        <v>183.49</v>
      </c>
      <c r="I3888" t="s">
        <v>24</v>
      </c>
      <c r="J3888">
        <v>1</v>
      </c>
      <c r="K3888">
        <v>4</v>
      </c>
    </row>
    <row r="3889" spans="1:11" x14ac:dyDescent="0.35">
      <c r="A3889" t="s">
        <v>3926</v>
      </c>
      <c r="B3889">
        <v>28</v>
      </c>
      <c r="C3889" t="s">
        <v>18</v>
      </c>
      <c r="D3889" t="s">
        <v>21</v>
      </c>
      <c r="E3889">
        <v>23</v>
      </c>
      <c r="F3889" t="s">
        <v>14</v>
      </c>
      <c r="G3889" t="s">
        <v>34</v>
      </c>
      <c r="H3889" s="1">
        <v>0</v>
      </c>
      <c r="I3889" t="s">
        <v>16</v>
      </c>
      <c r="J3889">
        <v>3</v>
      </c>
      <c r="K3889">
        <v>5</v>
      </c>
    </row>
    <row r="3890" spans="1:11" x14ac:dyDescent="0.35">
      <c r="A3890" t="s">
        <v>3927</v>
      </c>
      <c r="B3890">
        <v>25</v>
      </c>
      <c r="C3890" t="s">
        <v>18</v>
      </c>
      <c r="D3890" t="s">
        <v>47</v>
      </c>
      <c r="E3890">
        <v>10</v>
      </c>
      <c r="F3890" t="s">
        <v>33</v>
      </c>
      <c r="G3890" t="s">
        <v>15</v>
      </c>
      <c r="H3890" s="1">
        <v>354.19</v>
      </c>
      <c r="I3890" t="s">
        <v>24</v>
      </c>
      <c r="J3890">
        <v>1</v>
      </c>
      <c r="K3890">
        <v>4</v>
      </c>
    </row>
    <row r="3891" spans="1:11" x14ac:dyDescent="0.35">
      <c r="A3891" t="s">
        <v>3928</v>
      </c>
      <c r="B3891">
        <v>83</v>
      </c>
      <c r="C3891" t="s">
        <v>18</v>
      </c>
      <c r="D3891" t="s">
        <v>30</v>
      </c>
      <c r="E3891">
        <v>6</v>
      </c>
      <c r="F3891" t="s">
        <v>22</v>
      </c>
      <c r="G3891" t="s">
        <v>34</v>
      </c>
      <c r="H3891" s="1">
        <v>131.03</v>
      </c>
      <c r="I3891" t="s">
        <v>24</v>
      </c>
      <c r="J3891">
        <v>0</v>
      </c>
      <c r="K3891">
        <v>9</v>
      </c>
    </row>
    <row r="3892" spans="1:11" x14ac:dyDescent="0.35">
      <c r="A3892" t="s">
        <v>3929</v>
      </c>
      <c r="B3892">
        <v>32</v>
      </c>
      <c r="C3892" t="s">
        <v>18</v>
      </c>
      <c r="D3892" t="s">
        <v>41</v>
      </c>
      <c r="E3892">
        <v>6</v>
      </c>
      <c r="F3892" t="s">
        <v>31</v>
      </c>
      <c r="G3892" t="s">
        <v>37</v>
      </c>
      <c r="H3892" s="1">
        <v>207.09</v>
      </c>
      <c r="I3892" t="s">
        <v>24</v>
      </c>
      <c r="J3892">
        <v>1</v>
      </c>
      <c r="K3892">
        <v>9</v>
      </c>
    </row>
    <row r="3893" spans="1:11" x14ac:dyDescent="0.35">
      <c r="A3893" t="s">
        <v>3930</v>
      </c>
      <c r="B3893">
        <v>61</v>
      </c>
      <c r="C3893" t="s">
        <v>12</v>
      </c>
      <c r="D3893" t="s">
        <v>19</v>
      </c>
      <c r="E3893">
        <v>17</v>
      </c>
      <c r="F3893" t="s">
        <v>33</v>
      </c>
      <c r="G3893" t="s">
        <v>37</v>
      </c>
      <c r="H3893" s="1">
        <v>133.52000000000001</v>
      </c>
      <c r="I3893" t="s">
        <v>24</v>
      </c>
      <c r="J3893">
        <v>3</v>
      </c>
      <c r="K3893">
        <v>4</v>
      </c>
    </row>
    <row r="3894" spans="1:11" x14ac:dyDescent="0.35">
      <c r="A3894" t="s">
        <v>3931</v>
      </c>
      <c r="B3894">
        <v>47</v>
      </c>
      <c r="C3894" t="s">
        <v>18</v>
      </c>
      <c r="D3894" t="s">
        <v>120</v>
      </c>
      <c r="E3894">
        <v>38</v>
      </c>
      <c r="F3894" t="s">
        <v>31</v>
      </c>
      <c r="G3894" t="s">
        <v>23</v>
      </c>
      <c r="H3894" s="1">
        <v>382.79</v>
      </c>
      <c r="I3894" t="s">
        <v>43</v>
      </c>
      <c r="J3894">
        <v>4</v>
      </c>
      <c r="K3894">
        <v>1</v>
      </c>
    </row>
    <row r="3895" spans="1:11" x14ac:dyDescent="0.35">
      <c r="A3895" t="s">
        <v>3932</v>
      </c>
      <c r="B3895">
        <v>65</v>
      </c>
      <c r="C3895" t="s">
        <v>12</v>
      </c>
      <c r="D3895" t="s">
        <v>21</v>
      </c>
      <c r="E3895">
        <v>42</v>
      </c>
      <c r="F3895" t="s">
        <v>26</v>
      </c>
      <c r="G3895" t="s">
        <v>27</v>
      </c>
      <c r="H3895" s="1">
        <v>78.36</v>
      </c>
      <c r="I3895" t="s">
        <v>24</v>
      </c>
      <c r="J3895">
        <v>3</v>
      </c>
      <c r="K3895">
        <v>2</v>
      </c>
    </row>
    <row r="3896" spans="1:11" x14ac:dyDescent="0.35">
      <c r="A3896" t="s">
        <v>3933</v>
      </c>
      <c r="B3896">
        <v>83</v>
      </c>
      <c r="C3896" t="s">
        <v>18</v>
      </c>
      <c r="D3896" t="s">
        <v>30</v>
      </c>
      <c r="E3896">
        <v>10</v>
      </c>
      <c r="F3896" t="s">
        <v>26</v>
      </c>
      <c r="G3896" t="s">
        <v>34</v>
      </c>
      <c r="H3896" s="1">
        <v>179.56</v>
      </c>
      <c r="I3896" t="s">
        <v>24</v>
      </c>
      <c r="J3896">
        <v>1</v>
      </c>
      <c r="K3896">
        <v>7</v>
      </c>
    </row>
    <row r="3897" spans="1:11" x14ac:dyDescent="0.35">
      <c r="A3897" t="s">
        <v>3934</v>
      </c>
      <c r="B3897">
        <v>45</v>
      </c>
      <c r="C3897" t="s">
        <v>18</v>
      </c>
      <c r="D3897" t="s">
        <v>19</v>
      </c>
      <c r="E3897">
        <v>11</v>
      </c>
      <c r="F3897" t="s">
        <v>22</v>
      </c>
      <c r="G3897" t="s">
        <v>27</v>
      </c>
      <c r="H3897" s="1">
        <v>175.58</v>
      </c>
      <c r="I3897" t="s">
        <v>24</v>
      </c>
      <c r="J3897">
        <v>0</v>
      </c>
      <c r="K3897">
        <v>4</v>
      </c>
    </row>
    <row r="3898" spans="1:11" x14ac:dyDescent="0.35">
      <c r="A3898" t="s">
        <v>3935</v>
      </c>
      <c r="B3898">
        <v>37</v>
      </c>
      <c r="C3898" t="s">
        <v>18</v>
      </c>
      <c r="D3898" t="s">
        <v>19</v>
      </c>
      <c r="E3898">
        <v>19</v>
      </c>
      <c r="F3898" t="s">
        <v>31</v>
      </c>
      <c r="G3898" t="s">
        <v>15</v>
      </c>
      <c r="H3898" s="1">
        <v>359.64</v>
      </c>
      <c r="I3898" t="s">
        <v>24</v>
      </c>
      <c r="J3898">
        <v>2</v>
      </c>
      <c r="K3898">
        <v>4</v>
      </c>
    </row>
    <row r="3899" spans="1:11" x14ac:dyDescent="0.35">
      <c r="A3899" t="s">
        <v>3936</v>
      </c>
      <c r="B3899">
        <v>37</v>
      </c>
      <c r="C3899" t="s">
        <v>18</v>
      </c>
      <c r="D3899" t="s">
        <v>13</v>
      </c>
      <c r="E3899">
        <v>23</v>
      </c>
      <c r="F3899" t="s">
        <v>33</v>
      </c>
      <c r="G3899" t="s">
        <v>34</v>
      </c>
      <c r="H3899" s="1">
        <v>138.62</v>
      </c>
      <c r="I3899" t="s">
        <v>24</v>
      </c>
      <c r="J3899">
        <v>1</v>
      </c>
      <c r="K3899">
        <v>3</v>
      </c>
    </row>
    <row r="3900" spans="1:11" x14ac:dyDescent="0.35">
      <c r="A3900" t="s">
        <v>3937</v>
      </c>
      <c r="B3900">
        <v>82</v>
      </c>
      <c r="C3900" t="s">
        <v>12</v>
      </c>
      <c r="D3900" t="s">
        <v>21</v>
      </c>
      <c r="E3900">
        <v>22</v>
      </c>
      <c r="F3900" t="s">
        <v>22</v>
      </c>
      <c r="G3900" t="s">
        <v>34</v>
      </c>
      <c r="H3900" s="1">
        <v>139.26</v>
      </c>
      <c r="I3900" t="s">
        <v>24</v>
      </c>
      <c r="J3900">
        <v>3</v>
      </c>
      <c r="K3900">
        <v>2</v>
      </c>
    </row>
    <row r="3901" spans="1:11" x14ac:dyDescent="0.35">
      <c r="A3901" t="s">
        <v>3938</v>
      </c>
      <c r="B3901">
        <v>31</v>
      </c>
      <c r="C3901" t="s">
        <v>18</v>
      </c>
      <c r="D3901" t="s">
        <v>21</v>
      </c>
      <c r="E3901">
        <v>23</v>
      </c>
      <c r="F3901" t="s">
        <v>33</v>
      </c>
      <c r="G3901" t="s">
        <v>37</v>
      </c>
      <c r="H3901" s="1">
        <v>114.08</v>
      </c>
      <c r="I3901" t="s">
        <v>24</v>
      </c>
      <c r="J3901">
        <v>2</v>
      </c>
      <c r="K3901">
        <v>4</v>
      </c>
    </row>
    <row r="3902" spans="1:11" x14ac:dyDescent="0.35">
      <c r="A3902" t="s">
        <v>3939</v>
      </c>
      <c r="B3902">
        <v>56</v>
      </c>
      <c r="C3902" t="s">
        <v>12</v>
      </c>
      <c r="D3902" t="s">
        <v>13</v>
      </c>
      <c r="E3902">
        <v>23</v>
      </c>
      <c r="F3902" t="s">
        <v>33</v>
      </c>
      <c r="G3902" t="s">
        <v>34</v>
      </c>
      <c r="H3902" s="1">
        <v>124.56</v>
      </c>
      <c r="I3902" t="s">
        <v>24</v>
      </c>
      <c r="J3902">
        <v>4</v>
      </c>
      <c r="K3902">
        <v>3</v>
      </c>
    </row>
    <row r="3903" spans="1:11" x14ac:dyDescent="0.35">
      <c r="A3903" t="s">
        <v>3940</v>
      </c>
      <c r="B3903">
        <v>53</v>
      </c>
      <c r="C3903" t="s">
        <v>18</v>
      </c>
      <c r="D3903" t="s">
        <v>21</v>
      </c>
      <c r="E3903">
        <v>12</v>
      </c>
      <c r="F3903" t="s">
        <v>26</v>
      </c>
      <c r="G3903" t="s">
        <v>34</v>
      </c>
      <c r="H3903" s="1">
        <v>172.47</v>
      </c>
      <c r="I3903" t="s">
        <v>28</v>
      </c>
      <c r="J3903">
        <v>2</v>
      </c>
      <c r="K3903">
        <v>5</v>
      </c>
    </row>
    <row r="3904" spans="1:11" x14ac:dyDescent="0.35">
      <c r="A3904" t="s">
        <v>3941</v>
      </c>
      <c r="B3904">
        <v>74</v>
      </c>
      <c r="C3904" t="s">
        <v>18</v>
      </c>
      <c r="D3904" t="s">
        <v>21</v>
      </c>
      <c r="E3904">
        <v>34</v>
      </c>
      <c r="F3904" t="s">
        <v>31</v>
      </c>
      <c r="G3904" t="s">
        <v>37</v>
      </c>
      <c r="H3904" s="1">
        <v>144.38999999999999</v>
      </c>
      <c r="I3904" t="s">
        <v>24</v>
      </c>
      <c r="J3904">
        <v>2</v>
      </c>
      <c r="K3904">
        <v>4</v>
      </c>
    </row>
    <row r="3905" spans="1:11" x14ac:dyDescent="0.35">
      <c r="A3905" t="s">
        <v>3942</v>
      </c>
      <c r="B3905">
        <v>75</v>
      </c>
      <c r="C3905" t="s">
        <v>12</v>
      </c>
      <c r="D3905" t="s">
        <v>19</v>
      </c>
      <c r="E3905">
        <v>10</v>
      </c>
      <c r="F3905" t="s">
        <v>22</v>
      </c>
      <c r="G3905" t="s">
        <v>37</v>
      </c>
      <c r="H3905" s="1">
        <v>173.33</v>
      </c>
      <c r="I3905" t="s">
        <v>24</v>
      </c>
      <c r="J3905">
        <v>1</v>
      </c>
      <c r="K3905">
        <v>5</v>
      </c>
    </row>
    <row r="3906" spans="1:11" x14ac:dyDescent="0.35">
      <c r="A3906" t="s">
        <v>3943</v>
      </c>
      <c r="B3906">
        <v>41</v>
      </c>
      <c r="C3906" t="s">
        <v>18</v>
      </c>
      <c r="D3906" t="s">
        <v>21</v>
      </c>
      <c r="E3906">
        <v>25</v>
      </c>
      <c r="F3906" t="s">
        <v>33</v>
      </c>
      <c r="G3906" t="s">
        <v>34</v>
      </c>
      <c r="H3906" s="1">
        <v>154.72999999999999</v>
      </c>
      <c r="I3906" t="s">
        <v>24</v>
      </c>
      <c r="J3906">
        <v>0</v>
      </c>
      <c r="K3906">
        <v>2</v>
      </c>
    </row>
    <row r="3907" spans="1:11" x14ac:dyDescent="0.35">
      <c r="A3907" t="s">
        <v>3944</v>
      </c>
      <c r="B3907">
        <v>22</v>
      </c>
      <c r="C3907" t="s">
        <v>12</v>
      </c>
      <c r="D3907" t="s">
        <v>19</v>
      </c>
      <c r="E3907">
        <v>14</v>
      </c>
      <c r="F3907" t="s">
        <v>22</v>
      </c>
      <c r="G3907" t="s">
        <v>15</v>
      </c>
      <c r="H3907" s="1">
        <v>384.64</v>
      </c>
      <c r="I3907" t="s">
        <v>24</v>
      </c>
      <c r="J3907">
        <v>0</v>
      </c>
      <c r="K3907">
        <v>7</v>
      </c>
    </row>
    <row r="3908" spans="1:11" x14ac:dyDescent="0.35">
      <c r="A3908" t="s">
        <v>3945</v>
      </c>
      <c r="B3908">
        <v>58</v>
      </c>
      <c r="C3908" t="s">
        <v>12</v>
      </c>
      <c r="D3908" t="s">
        <v>19</v>
      </c>
      <c r="E3908">
        <v>21</v>
      </c>
      <c r="F3908" t="s">
        <v>33</v>
      </c>
      <c r="G3908" t="s">
        <v>37</v>
      </c>
      <c r="H3908" s="1">
        <v>106.47</v>
      </c>
      <c r="I3908" t="s">
        <v>24</v>
      </c>
      <c r="J3908">
        <v>2</v>
      </c>
      <c r="K3908">
        <v>4</v>
      </c>
    </row>
    <row r="3909" spans="1:11" x14ac:dyDescent="0.35">
      <c r="A3909" t="s">
        <v>3946</v>
      </c>
      <c r="B3909">
        <v>31</v>
      </c>
      <c r="C3909" t="s">
        <v>18</v>
      </c>
      <c r="D3909" t="s">
        <v>13</v>
      </c>
      <c r="E3909">
        <v>23</v>
      </c>
      <c r="F3909" t="s">
        <v>22</v>
      </c>
      <c r="G3909" t="s">
        <v>34</v>
      </c>
      <c r="H3909" s="1">
        <v>182.33</v>
      </c>
      <c r="I3909" t="s">
        <v>24</v>
      </c>
      <c r="J3909">
        <v>4</v>
      </c>
      <c r="K3909">
        <v>2</v>
      </c>
    </row>
    <row r="3910" spans="1:11" x14ac:dyDescent="0.35">
      <c r="A3910" t="s">
        <v>3947</v>
      </c>
      <c r="B3910">
        <v>52</v>
      </c>
      <c r="C3910" t="s">
        <v>18</v>
      </c>
      <c r="D3910" t="s">
        <v>30</v>
      </c>
      <c r="E3910">
        <v>10</v>
      </c>
      <c r="F3910" t="s">
        <v>33</v>
      </c>
      <c r="G3910" t="s">
        <v>37</v>
      </c>
      <c r="H3910" s="1">
        <v>107.19</v>
      </c>
      <c r="I3910" t="s">
        <v>24</v>
      </c>
      <c r="J3910">
        <v>3</v>
      </c>
      <c r="K3910">
        <v>6</v>
      </c>
    </row>
    <row r="3911" spans="1:11" x14ac:dyDescent="0.35">
      <c r="A3911" t="s">
        <v>3948</v>
      </c>
      <c r="B3911">
        <v>50</v>
      </c>
      <c r="C3911" t="s">
        <v>12</v>
      </c>
      <c r="D3911" t="s">
        <v>21</v>
      </c>
      <c r="E3911">
        <v>48</v>
      </c>
      <c r="F3911" t="s">
        <v>33</v>
      </c>
      <c r="G3911" t="s">
        <v>27</v>
      </c>
      <c r="H3911" s="1">
        <v>108.57</v>
      </c>
      <c r="I3911" t="s">
        <v>24</v>
      </c>
      <c r="J3911">
        <v>1</v>
      </c>
      <c r="K3911">
        <v>3</v>
      </c>
    </row>
    <row r="3912" spans="1:11" x14ac:dyDescent="0.35">
      <c r="A3912" t="s">
        <v>3949</v>
      </c>
      <c r="B3912">
        <v>48</v>
      </c>
      <c r="C3912" t="s">
        <v>12</v>
      </c>
      <c r="D3912" t="s">
        <v>19</v>
      </c>
      <c r="E3912">
        <v>10</v>
      </c>
      <c r="F3912" t="s">
        <v>14</v>
      </c>
      <c r="G3912" t="s">
        <v>23</v>
      </c>
      <c r="H3912" s="1">
        <v>0</v>
      </c>
      <c r="I3912" t="s">
        <v>16</v>
      </c>
      <c r="J3912">
        <v>2</v>
      </c>
      <c r="K3912">
        <v>4</v>
      </c>
    </row>
    <row r="3913" spans="1:11" x14ac:dyDescent="0.35">
      <c r="A3913" t="s">
        <v>3950</v>
      </c>
      <c r="B3913">
        <v>18</v>
      </c>
      <c r="C3913" t="s">
        <v>528</v>
      </c>
      <c r="D3913" t="s">
        <v>41</v>
      </c>
      <c r="E3913">
        <v>11</v>
      </c>
      <c r="F3913" t="s">
        <v>22</v>
      </c>
      <c r="G3913" t="s">
        <v>15</v>
      </c>
      <c r="H3913" s="1">
        <v>439.95</v>
      </c>
      <c r="I3913" t="s">
        <v>43</v>
      </c>
      <c r="J3913">
        <v>1</v>
      </c>
      <c r="K3913">
        <v>7</v>
      </c>
    </row>
    <row r="3914" spans="1:11" x14ac:dyDescent="0.35">
      <c r="A3914" t="s">
        <v>3951</v>
      </c>
      <c r="B3914">
        <v>40</v>
      </c>
      <c r="C3914" t="s">
        <v>18</v>
      </c>
      <c r="D3914" t="s">
        <v>19</v>
      </c>
      <c r="E3914">
        <v>16</v>
      </c>
      <c r="F3914" t="s">
        <v>33</v>
      </c>
      <c r="G3914" t="s">
        <v>23</v>
      </c>
      <c r="H3914" s="1">
        <v>569.35</v>
      </c>
      <c r="I3914" t="s">
        <v>28</v>
      </c>
      <c r="J3914">
        <v>0</v>
      </c>
      <c r="K3914">
        <v>5</v>
      </c>
    </row>
    <row r="3915" spans="1:11" x14ac:dyDescent="0.35">
      <c r="A3915" t="s">
        <v>3952</v>
      </c>
      <c r="B3915">
        <v>58</v>
      </c>
      <c r="C3915" t="s">
        <v>18</v>
      </c>
      <c r="D3915" t="s">
        <v>13</v>
      </c>
      <c r="E3915">
        <v>21</v>
      </c>
      <c r="F3915" t="s">
        <v>26</v>
      </c>
      <c r="G3915" t="s">
        <v>34</v>
      </c>
      <c r="H3915" s="1">
        <v>191.35</v>
      </c>
      <c r="I3915" t="s">
        <v>24</v>
      </c>
      <c r="J3915">
        <v>3</v>
      </c>
      <c r="K3915">
        <v>4</v>
      </c>
    </row>
    <row r="3916" spans="1:11" x14ac:dyDescent="0.35">
      <c r="A3916" t="s">
        <v>3953</v>
      </c>
      <c r="B3916">
        <v>26</v>
      </c>
      <c r="C3916" t="s">
        <v>12</v>
      </c>
      <c r="D3916" t="s">
        <v>30</v>
      </c>
      <c r="E3916">
        <v>8</v>
      </c>
      <c r="F3916" t="s">
        <v>22</v>
      </c>
      <c r="G3916" t="s">
        <v>27</v>
      </c>
      <c r="H3916" s="1">
        <v>129.41</v>
      </c>
      <c r="I3916" t="s">
        <v>43</v>
      </c>
      <c r="J3916">
        <v>0</v>
      </c>
      <c r="K3916">
        <v>7</v>
      </c>
    </row>
    <row r="3917" spans="1:11" x14ac:dyDescent="0.35">
      <c r="A3917" t="s">
        <v>3954</v>
      </c>
      <c r="B3917">
        <v>52</v>
      </c>
      <c r="C3917" t="s">
        <v>12</v>
      </c>
      <c r="D3917" t="s">
        <v>19</v>
      </c>
      <c r="E3917">
        <v>9</v>
      </c>
      <c r="F3917" t="s">
        <v>33</v>
      </c>
      <c r="G3917" t="s">
        <v>15</v>
      </c>
      <c r="H3917" s="1">
        <v>398.83</v>
      </c>
      <c r="I3917" t="s">
        <v>24</v>
      </c>
      <c r="J3917">
        <v>1</v>
      </c>
      <c r="K3917">
        <v>6</v>
      </c>
    </row>
    <row r="3918" spans="1:11" x14ac:dyDescent="0.35">
      <c r="A3918" t="s">
        <v>3955</v>
      </c>
      <c r="B3918">
        <v>32</v>
      </c>
      <c r="C3918" t="s">
        <v>12</v>
      </c>
      <c r="D3918" t="s">
        <v>19</v>
      </c>
      <c r="E3918">
        <v>10</v>
      </c>
      <c r="F3918" t="s">
        <v>26</v>
      </c>
      <c r="G3918" t="s">
        <v>34</v>
      </c>
      <c r="H3918" s="1">
        <v>142.59</v>
      </c>
      <c r="I3918" t="s">
        <v>28</v>
      </c>
      <c r="J3918">
        <v>2</v>
      </c>
      <c r="K3918">
        <v>4</v>
      </c>
    </row>
    <row r="3919" spans="1:11" x14ac:dyDescent="0.35">
      <c r="A3919" t="s">
        <v>3956</v>
      </c>
      <c r="B3919">
        <v>18</v>
      </c>
      <c r="C3919" t="s">
        <v>12</v>
      </c>
      <c r="D3919" t="s">
        <v>41</v>
      </c>
      <c r="E3919">
        <v>3</v>
      </c>
      <c r="F3919" t="s">
        <v>31</v>
      </c>
      <c r="G3919" t="s">
        <v>37</v>
      </c>
      <c r="H3919" s="1">
        <v>161.44999999999999</v>
      </c>
      <c r="I3919" t="s">
        <v>24</v>
      </c>
      <c r="J3919">
        <v>2</v>
      </c>
      <c r="K3919">
        <v>10</v>
      </c>
    </row>
    <row r="3920" spans="1:11" x14ac:dyDescent="0.35">
      <c r="A3920" t="s">
        <v>3957</v>
      </c>
      <c r="B3920">
        <v>52</v>
      </c>
      <c r="C3920" t="s">
        <v>18</v>
      </c>
      <c r="D3920" t="s">
        <v>41</v>
      </c>
      <c r="E3920">
        <v>12</v>
      </c>
      <c r="F3920" t="s">
        <v>33</v>
      </c>
      <c r="G3920" t="s">
        <v>34</v>
      </c>
      <c r="H3920" s="1">
        <v>214.44</v>
      </c>
      <c r="I3920" t="s">
        <v>24</v>
      </c>
      <c r="J3920">
        <v>0</v>
      </c>
      <c r="K3920">
        <v>6</v>
      </c>
    </row>
    <row r="3921" spans="1:11" x14ac:dyDescent="0.35">
      <c r="A3921" t="s">
        <v>3958</v>
      </c>
      <c r="B3921">
        <v>25</v>
      </c>
      <c r="C3921" t="s">
        <v>12</v>
      </c>
      <c r="D3921" t="s">
        <v>21</v>
      </c>
      <c r="E3921">
        <v>25</v>
      </c>
      <c r="F3921" t="s">
        <v>33</v>
      </c>
      <c r="G3921" t="s">
        <v>27</v>
      </c>
      <c r="H3921" s="1">
        <v>177.61</v>
      </c>
      <c r="I3921" t="s">
        <v>24</v>
      </c>
      <c r="J3921">
        <v>3</v>
      </c>
      <c r="K3921">
        <v>2</v>
      </c>
    </row>
    <row r="3922" spans="1:11" x14ac:dyDescent="0.35">
      <c r="A3922" t="s">
        <v>3959</v>
      </c>
      <c r="B3922">
        <v>25</v>
      </c>
      <c r="C3922" t="s">
        <v>12</v>
      </c>
      <c r="D3922" t="s">
        <v>30</v>
      </c>
      <c r="E3922">
        <v>11</v>
      </c>
      <c r="F3922" t="s">
        <v>22</v>
      </c>
      <c r="G3922" t="s">
        <v>23</v>
      </c>
      <c r="H3922" s="1">
        <v>586.33000000000004</v>
      </c>
      <c r="I3922" t="s">
        <v>24</v>
      </c>
      <c r="J3922">
        <v>0</v>
      </c>
      <c r="K3922">
        <v>8</v>
      </c>
    </row>
    <row r="3923" spans="1:11" x14ac:dyDescent="0.35">
      <c r="A3923" t="s">
        <v>3960</v>
      </c>
      <c r="B3923">
        <v>31</v>
      </c>
      <c r="C3923" t="s">
        <v>12</v>
      </c>
      <c r="D3923" t="s">
        <v>19</v>
      </c>
      <c r="E3923">
        <v>10</v>
      </c>
      <c r="F3923" t="s">
        <v>14</v>
      </c>
      <c r="G3923" t="s">
        <v>34</v>
      </c>
      <c r="H3923" s="1">
        <v>0</v>
      </c>
      <c r="I3923" t="s">
        <v>16</v>
      </c>
      <c r="J3923">
        <v>1</v>
      </c>
      <c r="K3923">
        <v>4</v>
      </c>
    </row>
    <row r="3924" spans="1:11" x14ac:dyDescent="0.35">
      <c r="A3924" t="s">
        <v>3961</v>
      </c>
      <c r="B3924">
        <v>61</v>
      </c>
      <c r="C3924" t="s">
        <v>12</v>
      </c>
      <c r="D3924" t="s">
        <v>13</v>
      </c>
      <c r="E3924">
        <v>19</v>
      </c>
      <c r="F3924" t="s">
        <v>31</v>
      </c>
      <c r="G3924" t="s">
        <v>15</v>
      </c>
      <c r="H3924" s="1">
        <v>113.35</v>
      </c>
      <c r="I3924" t="s">
        <v>24</v>
      </c>
      <c r="J3924">
        <v>2</v>
      </c>
      <c r="K3924">
        <v>3</v>
      </c>
    </row>
    <row r="3925" spans="1:11" x14ac:dyDescent="0.35">
      <c r="A3925" t="s">
        <v>3962</v>
      </c>
      <c r="B3925">
        <v>50</v>
      </c>
      <c r="C3925" t="s">
        <v>18</v>
      </c>
      <c r="D3925" t="s">
        <v>19</v>
      </c>
      <c r="E3925">
        <v>14</v>
      </c>
      <c r="F3925" t="s">
        <v>31</v>
      </c>
      <c r="G3925" t="s">
        <v>15</v>
      </c>
      <c r="H3925" s="1">
        <v>298.98</v>
      </c>
      <c r="I3925" t="s">
        <v>28</v>
      </c>
      <c r="J3925">
        <v>0</v>
      </c>
      <c r="K3925">
        <v>4</v>
      </c>
    </row>
    <row r="3926" spans="1:11" x14ac:dyDescent="0.35">
      <c r="A3926" t="s">
        <v>3963</v>
      </c>
      <c r="B3926">
        <v>52</v>
      </c>
      <c r="C3926" t="s">
        <v>12</v>
      </c>
      <c r="D3926" t="s">
        <v>19</v>
      </c>
      <c r="E3926">
        <v>17</v>
      </c>
      <c r="F3926" t="s">
        <v>26</v>
      </c>
      <c r="G3926" t="s">
        <v>15</v>
      </c>
      <c r="H3926" s="1">
        <v>367.18</v>
      </c>
      <c r="I3926" t="s">
        <v>24</v>
      </c>
      <c r="J3926">
        <v>0</v>
      </c>
      <c r="K3926">
        <v>7</v>
      </c>
    </row>
    <row r="3927" spans="1:11" x14ac:dyDescent="0.35">
      <c r="A3927" t="s">
        <v>3964</v>
      </c>
      <c r="B3927">
        <v>57</v>
      </c>
      <c r="C3927" t="s">
        <v>12</v>
      </c>
      <c r="D3927" t="s">
        <v>19</v>
      </c>
      <c r="E3927">
        <v>14</v>
      </c>
      <c r="F3927" t="s">
        <v>22</v>
      </c>
      <c r="G3927" t="s">
        <v>37</v>
      </c>
      <c r="H3927" s="1">
        <v>102.89</v>
      </c>
      <c r="I3927" t="s">
        <v>28</v>
      </c>
      <c r="J3927">
        <v>3</v>
      </c>
      <c r="K3927">
        <v>5</v>
      </c>
    </row>
    <row r="3928" spans="1:11" x14ac:dyDescent="0.35">
      <c r="A3928" t="s">
        <v>3965</v>
      </c>
      <c r="B3928">
        <v>65</v>
      </c>
      <c r="C3928" t="s">
        <v>18</v>
      </c>
      <c r="D3928" t="s">
        <v>21</v>
      </c>
      <c r="E3928">
        <v>44</v>
      </c>
      <c r="F3928" t="s">
        <v>22</v>
      </c>
      <c r="G3928" t="s">
        <v>27</v>
      </c>
      <c r="H3928" s="1">
        <v>15.41</v>
      </c>
      <c r="I3928" t="s">
        <v>24</v>
      </c>
      <c r="J3928">
        <v>1</v>
      </c>
      <c r="K3928">
        <v>3</v>
      </c>
    </row>
    <row r="3929" spans="1:11" x14ac:dyDescent="0.35">
      <c r="A3929" t="s">
        <v>3966</v>
      </c>
      <c r="B3929">
        <v>29</v>
      </c>
      <c r="C3929" t="s">
        <v>189</v>
      </c>
      <c r="D3929" t="s">
        <v>30</v>
      </c>
      <c r="E3929">
        <v>7</v>
      </c>
      <c r="F3929" t="s">
        <v>33</v>
      </c>
      <c r="G3929" t="s">
        <v>27</v>
      </c>
      <c r="H3929" s="1">
        <v>102.25</v>
      </c>
      <c r="I3929" t="s">
        <v>43</v>
      </c>
      <c r="J3929">
        <v>0</v>
      </c>
      <c r="K3929">
        <v>7</v>
      </c>
    </row>
    <row r="3930" spans="1:11" x14ac:dyDescent="0.35">
      <c r="A3930" t="s">
        <v>3967</v>
      </c>
      <c r="B3930">
        <v>72</v>
      </c>
      <c r="C3930" t="s">
        <v>18</v>
      </c>
      <c r="D3930" t="s">
        <v>21</v>
      </c>
      <c r="E3930">
        <v>20</v>
      </c>
      <c r="F3930" t="s">
        <v>22</v>
      </c>
      <c r="G3930" t="s">
        <v>15</v>
      </c>
      <c r="H3930" s="1">
        <v>213.13</v>
      </c>
      <c r="I3930" t="s">
        <v>24</v>
      </c>
      <c r="J3930">
        <v>2</v>
      </c>
      <c r="K3930">
        <v>3</v>
      </c>
    </row>
    <row r="3931" spans="1:11" x14ac:dyDescent="0.35">
      <c r="A3931" t="s">
        <v>3968</v>
      </c>
      <c r="B3931">
        <v>20</v>
      </c>
      <c r="C3931" t="s">
        <v>18</v>
      </c>
      <c r="D3931" t="s">
        <v>19</v>
      </c>
      <c r="E3931">
        <v>7</v>
      </c>
      <c r="F3931" t="s">
        <v>22</v>
      </c>
      <c r="G3931" t="s">
        <v>34</v>
      </c>
      <c r="H3931" s="1">
        <v>187.07</v>
      </c>
      <c r="I3931" t="s">
        <v>24</v>
      </c>
      <c r="J3931">
        <v>2</v>
      </c>
      <c r="K3931">
        <v>10</v>
      </c>
    </row>
    <row r="3932" spans="1:11" x14ac:dyDescent="0.35">
      <c r="A3932" t="s">
        <v>3969</v>
      </c>
      <c r="B3932">
        <v>62</v>
      </c>
      <c r="C3932" t="s">
        <v>12</v>
      </c>
      <c r="D3932" t="s">
        <v>21</v>
      </c>
      <c r="E3932">
        <v>24</v>
      </c>
      <c r="F3932" t="s">
        <v>33</v>
      </c>
      <c r="G3932" t="s">
        <v>23</v>
      </c>
      <c r="H3932" s="1">
        <v>368.46</v>
      </c>
      <c r="I3932" t="s">
        <v>24</v>
      </c>
      <c r="J3932">
        <v>2</v>
      </c>
      <c r="K3932">
        <v>5</v>
      </c>
    </row>
    <row r="3933" spans="1:11" x14ac:dyDescent="0.35">
      <c r="A3933" t="s">
        <v>3970</v>
      </c>
      <c r="B3933">
        <v>20</v>
      </c>
      <c r="C3933" t="s">
        <v>12</v>
      </c>
      <c r="D3933" t="s">
        <v>19</v>
      </c>
      <c r="E3933">
        <v>10</v>
      </c>
      <c r="F3933" t="s">
        <v>22</v>
      </c>
      <c r="G3933" t="s">
        <v>37</v>
      </c>
      <c r="H3933" s="1">
        <v>199.07</v>
      </c>
      <c r="I3933" t="s">
        <v>24</v>
      </c>
      <c r="J3933">
        <v>0</v>
      </c>
      <c r="K3933">
        <v>8</v>
      </c>
    </row>
    <row r="3934" spans="1:11" x14ac:dyDescent="0.35">
      <c r="A3934" t="s">
        <v>3971</v>
      </c>
      <c r="B3934">
        <v>59</v>
      </c>
      <c r="C3934" t="s">
        <v>18</v>
      </c>
      <c r="D3934" t="s">
        <v>47</v>
      </c>
      <c r="E3934">
        <v>6</v>
      </c>
      <c r="F3934" t="s">
        <v>22</v>
      </c>
      <c r="G3934" t="s">
        <v>15</v>
      </c>
      <c r="H3934" s="1">
        <v>409.33</v>
      </c>
      <c r="I3934" t="s">
        <v>24</v>
      </c>
      <c r="J3934">
        <v>0</v>
      </c>
      <c r="K3934">
        <v>7</v>
      </c>
    </row>
    <row r="3935" spans="1:11" x14ac:dyDescent="0.35">
      <c r="A3935" t="s">
        <v>3972</v>
      </c>
      <c r="B3935">
        <v>67</v>
      </c>
      <c r="C3935" t="s">
        <v>18</v>
      </c>
      <c r="D3935" t="s">
        <v>19</v>
      </c>
      <c r="E3935">
        <v>8</v>
      </c>
      <c r="F3935" t="s">
        <v>33</v>
      </c>
      <c r="G3935" t="s">
        <v>15</v>
      </c>
      <c r="H3935" s="1">
        <v>288.14999999999998</v>
      </c>
      <c r="I3935" t="s">
        <v>24</v>
      </c>
      <c r="J3935">
        <v>1</v>
      </c>
      <c r="K3935">
        <v>9</v>
      </c>
    </row>
    <row r="3936" spans="1:11" x14ac:dyDescent="0.35">
      <c r="A3936" t="s">
        <v>3973</v>
      </c>
      <c r="B3936">
        <v>49</v>
      </c>
      <c r="C3936" t="s">
        <v>18</v>
      </c>
      <c r="D3936" t="s">
        <v>19</v>
      </c>
      <c r="E3936">
        <v>12</v>
      </c>
      <c r="F3936" t="s">
        <v>22</v>
      </c>
      <c r="G3936" t="s">
        <v>37</v>
      </c>
      <c r="H3936" s="1">
        <v>163.37</v>
      </c>
      <c r="I3936" t="s">
        <v>24</v>
      </c>
      <c r="J3936">
        <v>2</v>
      </c>
      <c r="K3936">
        <v>5</v>
      </c>
    </row>
    <row r="3937" spans="1:11" x14ac:dyDescent="0.35">
      <c r="A3937" t="s">
        <v>3974</v>
      </c>
      <c r="B3937">
        <v>81</v>
      </c>
      <c r="C3937" t="s">
        <v>12</v>
      </c>
      <c r="D3937" t="s">
        <v>19</v>
      </c>
      <c r="E3937">
        <v>22</v>
      </c>
      <c r="F3937" t="s">
        <v>26</v>
      </c>
      <c r="G3937" t="s">
        <v>23</v>
      </c>
      <c r="H3937" s="1">
        <v>295.68</v>
      </c>
      <c r="I3937" t="s">
        <v>24</v>
      </c>
      <c r="J3937">
        <v>4</v>
      </c>
      <c r="K3937">
        <v>4</v>
      </c>
    </row>
    <row r="3938" spans="1:11" x14ac:dyDescent="0.35">
      <c r="A3938" t="s">
        <v>3975</v>
      </c>
      <c r="B3938">
        <v>24</v>
      </c>
      <c r="C3938" t="s">
        <v>18</v>
      </c>
      <c r="D3938" t="s">
        <v>19</v>
      </c>
      <c r="E3938">
        <v>11</v>
      </c>
      <c r="F3938" t="s">
        <v>33</v>
      </c>
      <c r="G3938" t="s">
        <v>34</v>
      </c>
      <c r="H3938" s="1">
        <v>207.25</v>
      </c>
      <c r="I3938" t="s">
        <v>28</v>
      </c>
      <c r="J3938">
        <v>0</v>
      </c>
      <c r="K3938">
        <v>5</v>
      </c>
    </row>
    <row r="3939" spans="1:11" x14ac:dyDescent="0.35">
      <c r="A3939" t="s">
        <v>3976</v>
      </c>
      <c r="B3939">
        <v>26</v>
      </c>
      <c r="C3939" t="s">
        <v>12</v>
      </c>
      <c r="D3939" t="s">
        <v>19</v>
      </c>
      <c r="E3939">
        <v>14</v>
      </c>
      <c r="F3939" t="s">
        <v>26</v>
      </c>
      <c r="G3939" t="s">
        <v>27</v>
      </c>
      <c r="H3939" s="1">
        <v>155.25</v>
      </c>
      <c r="I3939" t="s">
        <v>24</v>
      </c>
      <c r="J3939">
        <v>3</v>
      </c>
      <c r="K3939">
        <v>6</v>
      </c>
    </row>
    <row r="3940" spans="1:11" x14ac:dyDescent="0.35">
      <c r="A3940" t="s">
        <v>3977</v>
      </c>
      <c r="B3940">
        <v>67</v>
      </c>
      <c r="C3940" t="s">
        <v>18</v>
      </c>
      <c r="D3940" t="s">
        <v>41</v>
      </c>
      <c r="E3940">
        <v>6</v>
      </c>
      <c r="F3940" t="s">
        <v>26</v>
      </c>
      <c r="G3940" t="s">
        <v>15</v>
      </c>
      <c r="H3940" s="1">
        <v>180.3</v>
      </c>
      <c r="I3940" t="s">
        <v>24</v>
      </c>
      <c r="J3940">
        <v>1</v>
      </c>
      <c r="K3940">
        <v>7</v>
      </c>
    </row>
    <row r="3941" spans="1:11" x14ac:dyDescent="0.35">
      <c r="A3941" t="s">
        <v>3978</v>
      </c>
      <c r="B3941">
        <v>63</v>
      </c>
      <c r="C3941" t="s">
        <v>12</v>
      </c>
      <c r="D3941" t="s">
        <v>21</v>
      </c>
      <c r="E3941">
        <v>31</v>
      </c>
      <c r="F3941" t="s">
        <v>26</v>
      </c>
      <c r="G3941" t="s">
        <v>27</v>
      </c>
      <c r="H3941" s="1">
        <v>157.59</v>
      </c>
      <c r="I3941" t="s">
        <v>24</v>
      </c>
      <c r="J3941">
        <v>4</v>
      </c>
      <c r="K3941">
        <v>2</v>
      </c>
    </row>
    <row r="3942" spans="1:11" x14ac:dyDescent="0.35">
      <c r="A3942" t="s">
        <v>3979</v>
      </c>
      <c r="B3942">
        <v>80</v>
      </c>
      <c r="C3942" t="s">
        <v>12</v>
      </c>
      <c r="D3942" t="s">
        <v>41</v>
      </c>
      <c r="E3942">
        <v>6</v>
      </c>
      <c r="F3942" t="s">
        <v>14</v>
      </c>
      <c r="G3942" t="s">
        <v>27</v>
      </c>
      <c r="H3942" s="1">
        <v>0</v>
      </c>
      <c r="I3942" t="s">
        <v>16</v>
      </c>
      <c r="J3942">
        <v>0</v>
      </c>
      <c r="K3942">
        <v>9</v>
      </c>
    </row>
    <row r="3943" spans="1:11" x14ac:dyDescent="0.35">
      <c r="A3943" t="s">
        <v>3980</v>
      </c>
      <c r="B3943">
        <v>81</v>
      </c>
      <c r="C3943" t="s">
        <v>12</v>
      </c>
      <c r="D3943" t="s">
        <v>19</v>
      </c>
      <c r="E3943">
        <v>15</v>
      </c>
      <c r="F3943" t="s">
        <v>22</v>
      </c>
      <c r="G3943" t="s">
        <v>15</v>
      </c>
      <c r="H3943" s="1">
        <v>240.28</v>
      </c>
      <c r="I3943" t="s">
        <v>24</v>
      </c>
      <c r="J3943">
        <v>1</v>
      </c>
      <c r="K3943">
        <v>7</v>
      </c>
    </row>
    <row r="3944" spans="1:11" x14ac:dyDescent="0.35">
      <c r="A3944" t="s">
        <v>3981</v>
      </c>
      <c r="B3944">
        <v>79</v>
      </c>
      <c r="C3944" t="s">
        <v>18</v>
      </c>
      <c r="D3944" t="s">
        <v>21</v>
      </c>
      <c r="E3944">
        <v>40</v>
      </c>
      <c r="F3944" t="s">
        <v>33</v>
      </c>
      <c r="G3944" t="s">
        <v>34</v>
      </c>
      <c r="H3944" s="1">
        <v>189.73</v>
      </c>
      <c r="I3944" t="s">
        <v>24</v>
      </c>
      <c r="J3944">
        <v>4</v>
      </c>
      <c r="K3944">
        <v>3</v>
      </c>
    </row>
    <row r="3945" spans="1:11" x14ac:dyDescent="0.35">
      <c r="A3945" t="s">
        <v>3982</v>
      </c>
      <c r="B3945">
        <v>83</v>
      </c>
      <c r="C3945" t="s">
        <v>18</v>
      </c>
      <c r="D3945" t="s">
        <v>19</v>
      </c>
      <c r="E3945">
        <v>14</v>
      </c>
      <c r="F3945" t="s">
        <v>33</v>
      </c>
      <c r="G3945" t="s">
        <v>37</v>
      </c>
      <c r="H3945" s="1">
        <v>138.53</v>
      </c>
      <c r="I3945" t="s">
        <v>43</v>
      </c>
      <c r="J3945">
        <v>1</v>
      </c>
      <c r="K3945">
        <v>5</v>
      </c>
    </row>
    <row r="3946" spans="1:11" x14ac:dyDescent="0.35">
      <c r="A3946" t="s">
        <v>3983</v>
      </c>
      <c r="B3946">
        <v>19</v>
      </c>
      <c r="C3946" t="s">
        <v>12</v>
      </c>
      <c r="D3946" t="s">
        <v>30</v>
      </c>
      <c r="E3946">
        <v>10</v>
      </c>
      <c r="F3946" t="s">
        <v>14</v>
      </c>
      <c r="G3946" t="s">
        <v>34</v>
      </c>
      <c r="H3946" s="1">
        <v>0</v>
      </c>
      <c r="I3946" t="s">
        <v>16</v>
      </c>
      <c r="J3946">
        <v>2</v>
      </c>
      <c r="K3946">
        <v>5</v>
      </c>
    </row>
    <row r="3947" spans="1:11" x14ac:dyDescent="0.35">
      <c r="A3947" t="s">
        <v>3984</v>
      </c>
      <c r="B3947">
        <v>62</v>
      </c>
      <c r="C3947" t="s">
        <v>18</v>
      </c>
      <c r="D3947" t="s">
        <v>21</v>
      </c>
      <c r="E3947">
        <v>25</v>
      </c>
      <c r="F3947" t="s">
        <v>22</v>
      </c>
      <c r="G3947" t="s">
        <v>34</v>
      </c>
      <c r="H3947" s="1">
        <v>105.45</v>
      </c>
      <c r="I3947" t="s">
        <v>24</v>
      </c>
      <c r="J3947">
        <v>1</v>
      </c>
      <c r="K3947">
        <v>3</v>
      </c>
    </row>
    <row r="3948" spans="1:11" x14ac:dyDescent="0.35">
      <c r="A3948" t="s">
        <v>3985</v>
      </c>
      <c r="B3948">
        <v>63</v>
      </c>
      <c r="C3948" t="s">
        <v>18</v>
      </c>
      <c r="D3948" t="s">
        <v>19</v>
      </c>
      <c r="E3948">
        <v>6</v>
      </c>
      <c r="F3948" t="s">
        <v>33</v>
      </c>
      <c r="G3948" t="s">
        <v>27</v>
      </c>
      <c r="H3948" s="1">
        <v>143.21</v>
      </c>
      <c r="I3948" t="s">
        <v>28</v>
      </c>
      <c r="J3948">
        <v>0</v>
      </c>
      <c r="K3948">
        <v>8</v>
      </c>
    </row>
    <row r="3949" spans="1:11" x14ac:dyDescent="0.35">
      <c r="A3949" t="s">
        <v>3986</v>
      </c>
      <c r="B3949">
        <v>44</v>
      </c>
      <c r="C3949" t="s">
        <v>18</v>
      </c>
      <c r="D3949" t="s">
        <v>19</v>
      </c>
      <c r="E3949">
        <v>14</v>
      </c>
      <c r="F3949" t="s">
        <v>26</v>
      </c>
      <c r="G3949" t="s">
        <v>37</v>
      </c>
      <c r="H3949" s="1">
        <v>157.28</v>
      </c>
      <c r="I3949" t="s">
        <v>24</v>
      </c>
      <c r="J3949">
        <v>2</v>
      </c>
      <c r="K3949">
        <v>5</v>
      </c>
    </row>
    <row r="3950" spans="1:11" x14ac:dyDescent="0.35">
      <c r="A3950" t="s">
        <v>3987</v>
      </c>
      <c r="B3950">
        <v>22</v>
      </c>
      <c r="C3950" t="s">
        <v>18</v>
      </c>
      <c r="D3950" t="s">
        <v>244</v>
      </c>
      <c r="E3950">
        <v>15</v>
      </c>
      <c r="F3950" t="s">
        <v>26</v>
      </c>
      <c r="G3950" t="s">
        <v>37</v>
      </c>
      <c r="H3950" s="1">
        <v>193.25</v>
      </c>
      <c r="I3950" t="s">
        <v>24</v>
      </c>
      <c r="J3950">
        <v>0</v>
      </c>
      <c r="K3950">
        <v>4</v>
      </c>
    </row>
    <row r="3951" spans="1:11" x14ac:dyDescent="0.35">
      <c r="A3951" t="s">
        <v>3988</v>
      </c>
      <c r="B3951">
        <v>82</v>
      </c>
      <c r="C3951" t="s">
        <v>12</v>
      </c>
      <c r="D3951" t="s">
        <v>30</v>
      </c>
      <c r="E3951">
        <v>13</v>
      </c>
      <c r="F3951" t="s">
        <v>33</v>
      </c>
      <c r="G3951" t="s">
        <v>15</v>
      </c>
      <c r="H3951" s="1">
        <v>230.44</v>
      </c>
      <c r="I3951" t="s">
        <v>24</v>
      </c>
      <c r="J3951">
        <v>1</v>
      </c>
      <c r="K3951">
        <v>8</v>
      </c>
    </row>
    <row r="3952" spans="1:11" x14ac:dyDescent="0.35">
      <c r="A3952" t="s">
        <v>3989</v>
      </c>
      <c r="B3952">
        <v>54</v>
      </c>
      <c r="C3952" t="s">
        <v>12</v>
      </c>
      <c r="D3952" t="s">
        <v>30</v>
      </c>
      <c r="E3952">
        <v>6</v>
      </c>
      <c r="F3952" t="s">
        <v>22</v>
      </c>
      <c r="G3952" t="s">
        <v>23</v>
      </c>
      <c r="H3952" s="1">
        <v>532.98</v>
      </c>
      <c r="I3952" t="s">
        <v>24</v>
      </c>
      <c r="J3952">
        <v>1</v>
      </c>
      <c r="K3952">
        <v>9</v>
      </c>
    </row>
    <row r="3953" spans="1:11" x14ac:dyDescent="0.35">
      <c r="A3953" t="s">
        <v>3990</v>
      </c>
      <c r="B3953">
        <v>61</v>
      </c>
      <c r="C3953" t="s">
        <v>18</v>
      </c>
      <c r="D3953" t="s">
        <v>19</v>
      </c>
      <c r="E3953">
        <v>19</v>
      </c>
      <c r="F3953" t="s">
        <v>33</v>
      </c>
      <c r="G3953" t="s">
        <v>34</v>
      </c>
      <c r="H3953" s="1">
        <v>214.3</v>
      </c>
      <c r="I3953" t="s">
        <v>24</v>
      </c>
      <c r="J3953">
        <v>1</v>
      </c>
      <c r="K3953">
        <v>3</v>
      </c>
    </row>
    <row r="3954" spans="1:11" x14ac:dyDescent="0.35">
      <c r="A3954" t="s">
        <v>3991</v>
      </c>
      <c r="B3954">
        <v>24</v>
      </c>
      <c r="C3954" t="s">
        <v>12</v>
      </c>
      <c r="D3954" t="s">
        <v>19</v>
      </c>
      <c r="E3954">
        <v>13</v>
      </c>
      <c r="F3954" t="s">
        <v>31</v>
      </c>
      <c r="G3954" t="s">
        <v>23</v>
      </c>
      <c r="H3954" s="1">
        <v>323.49</v>
      </c>
      <c r="I3954" t="s">
        <v>24</v>
      </c>
      <c r="J3954">
        <v>1</v>
      </c>
      <c r="K3954">
        <v>7</v>
      </c>
    </row>
    <row r="3955" spans="1:11" x14ac:dyDescent="0.35">
      <c r="A3955" t="s">
        <v>3992</v>
      </c>
      <c r="B3955">
        <v>54</v>
      </c>
      <c r="C3955" t="s">
        <v>12</v>
      </c>
      <c r="D3955" t="s">
        <v>200</v>
      </c>
      <c r="E3955">
        <v>18</v>
      </c>
      <c r="F3955" t="s">
        <v>33</v>
      </c>
      <c r="G3955" t="s">
        <v>34</v>
      </c>
      <c r="H3955" s="1">
        <v>112.29</v>
      </c>
      <c r="I3955" t="s">
        <v>24</v>
      </c>
      <c r="J3955">
        <v>1</v>
      </c>
      <c r="K3955">
        <v>6</v>
      </c>
    </row>
    <row r="3956" spans="1:11" x14ac:dyDescent="0.35">
      <c r="A3956" t="s">
        <v>3993</v>
      </c>
      <c r="B3956">
        <v>84</v>
      </c>
      <c r="C3956" t="s">
        <v>12</v>
      </c>
      <c r="D3956" t="s">
        <v>13</v>
      </c>
      <c r="E3956">
        <v>7</v>
      </c>
      <c r="F3956" t="s">
        <v>26</v>
      </c>
      <c r="G3956" t="s">
        <v>34</v>
      </c>
      <c r="H3956" s="1">
        <v>118.8</v>
      </c>
      <c r="I3956" t="s">
        <v>43</v>
      </c>
      <c r="J3956">
        <v>0</v>
      </c>
      <c r="K3956">
        <v>10</v>
      </c>
    </row>
    <row r="3957" spans="1:11" x14ac:dyDescent="0.35">
      <c r="A3957" t="s">
        <v>3994</v>
      </c>
      <c r="B3957">
        <v>84</v>
      </c>
      <c r="C3957" t="s">
        <v>18</v>
      </c>
      <c r="D3957" t="s">
        <v>21</v>
      </c>
      <c r="E3957">
        <v>26</v>
      </c>
      <c r="F3957" t="s">
        <v>33</v>
      </c>
      <c r="G3957" t="s">
        <v>23</v>
      </c>
      <c r="H3957" s="1">
        <v>419.79</v>
      </c>
      <c r="I3957" t="s">
        <v>28</v>
      </c>
      <c r="J3957">
        <v>3</v>
      </c>
      <c r="K3957">
        <v>4</v>
      </c>
    </row>
    <row r="3958" spans="1:11" x14ac:dyDescent="0.35">
      <c r="A3958" t="s">
        <v>3995</v>
      </c>
      <c r="B3958">
        <v>69</v>
      </c>
      <c r="C3958" t="s">
        <v>18</v>
      </c>
      <c r="D3958" t="s">
        <v>21</v>
      </c>
      <c r="E3958">
        <v>40</v>
      </c>
      <c r="F3958" t="s">
        <v>26</v>
      </c>
      <c r="G3958" t="s">
        <v>23</v>
      </c>
      <c r="H3958" s="1">
        <v>582.04</v>
      </c>
      <c r="I3958" t="s">
        <v>24</v>
      </c>
      <c r="J3958">
        <v>2</v>
      </c>
      <c r="K3958">
        <v>1</v>
      </c>
    </row>
    <row r="3959" spans="1:11" x14ac:dyDescent="0.35">
      <c r="A3959" t="s">
        <v>3996</v>
      </c>
      <c r="B3959">
        <v>24</v>
      </c>
      <c r="C3959" t="s">
        <v>18</v>
      </c>
      <c r="D3959" t="s">
        <v>19</v>
      </c>
      <c r="E3959">
        <v>20</v>
      </c>
      <c r="F3959" t="s">
        <v>26</v>
      </c>
      <c r="G3959" t="s">
        <v>34</v>
      </c>
      <c r="H3959" s="1">
        <v>183.65</v>
      </c>
      <c r="I3959" t="s">
        <v>24</v>
      </c>
      <c r="J3959">
        <v>3</v>
      </c>
      <c r="K3959">
        <v>5</v>
      </c>
    </row>
    <row r="3960" spans="1:11" x14ac:dyDescent="0.35">
      <c r="A3960" t="s">
        <v>3997</v>
      </c>
      <c r="B3960">
        <v>26</v>
      </c>
      <c r="C3960" t="s">
        <v>18</v>
      </c>
      <c r="D3960" t="s">
        <v>19</v>
      </c>
      <c r="E3960">
        <v>19</v>
      </c>
      <c r="F3960" t="s">
        <v>14</v>
      </c>
      <c r="G3960" t="s">
        <v>34</v>
      </c>
      <c r="H3960" s="1">
        <v>0</v>
      </c>
      <c r="I3960" t="s">
        <v>16</v>
      </c>
      <c r="J3960">
        <v>1</v>
      </c>
      <c r="K3960">
        <v>1</v>
      </c>
    </row>
    <row r="3961" spans="1:11" x14ac:dyDescent="0.35">
      <c r="A3961" t="s">
        <v>3998</v>
      </c>
      <c r="B3961">
        <v>81</v>
      </c>
      <c r="C3961" t="s">
        <v>18</v>
      </c>
      <c r="D3961" t="s">
        <v>13</v>
      </c>
      <c r="E3961">
        <v>15</v>
      </c>
      <c r="F3961" t="s">
        <v>33</v>
      </c>
      <c r="G3961" t="s">
        <v>34</v>
      </c>
      <c r="H3961" s="1">
        <v>156.97</v>
      </c>
      <c r="I3961" t="s">
        <v>28</v>
      </c>
      <c r="J3961">
        <v>1</v>
      </c>
      <c r="K3961">
        <v>4</v>
      </c>
    </row>
    <row r="3962" spans="1:11" x14ac:dyDescent="0.35">
      <c r="A3962" t="s">
        <v>3999</v>
      </c>
      <c r="B3962">
        <v>61</v>
      </c>
      <c r="C3962" t="s">
        <v>12</v>
      </c>
      <c r="D3962" t="s">
        <v>13</v>
      </c>
      <c r="E3962">
        <v>11</v>
      </c>
      <c r="F3962" t="s">
        <v>31</v>
      </c>
      <c r="G3962" t="s">
        <v>23</v>
      </c>
      <c r="H3962" s="1">
        <v>109.53</v>
      </c>
      <c r="I3962" t="s">
        <v>24</v>
      </c>
      <c r="J3962">
        <v>0</v>
      </c>
      <c r="K3962">
        <v>8</v>
      </c>
    </row>
    <row r="3963" spans="1:11" x14ac:dyDescent="0.35">
      <c r="A3963" t="s">
        <v>4000</v>
      </c>
      <c r="B3963">
        <v>45</v>
      </c>
      <c r="C3963" t="s">
        <v>12</v>
      </c>
      <c r="D3963" t="s">
        <v>13</v>
      </c>
      <c r="E3963">
        <v>20</v>
      </c>
      <c r="F3963" t="s">
        <v>22</v>
      </c>
      <c r="G3963" t="s">
        <v>27</v>
      </c>
      <c r="H3963" s="1">
        <v>165.78</v>
      </c>
      <c r="I3963" t="s">
        <v>28</v>
      </c>
      <c r="J3963">
        <v>1</v>
      </c>
      <c r="K3963">
        <v>4</v>
      </c>
    </row>
    <row r="3964" spans="1:11" x14ac:dyDescent="0.35">
      <c r="A3964" t="s">
        <v>4001</v>
      </c>
      <c r="B3964">
        <v>54</v>
      </c>
      <c r="C3964" t="s">
        <v>18</v>
      </c>
      <c r="D3964" t="s">
        <v>41</v>
      </c>
      <c r="E3964">
        <v>14</v>
      </c>
      <c r="F3964" t="s">
        <v>26</v>
      </c>
      <c r="G3964" t="s">
        <v>34</v>
      </c>
      <c r="H3964" s="1">
        <v>95.74</v>
      </c>
      <c r="I3964" t="s">
        <v>24</v>
      </c>
      <c r="J3964">
        <v>1</v>
      </c>
      <c r="K3964">
        <v>5</v>
      </c>
    </row>
    <row r="3965" spans="1:11" x14ac:dyDescent="0.35">
      <c r="A3965" t="s">
        <v>4002</v>
      </c>
      <c r="B3965">
        <v>37</v>
      </c>
      <c r="C3965" t="s">
        <v>18</v>
      </c>
      <c r="D3965" t="s">
        <v>19</v>
      </c>
      <c r="E3965">
        <v>14</v>
      </c>
      <c r="F3965" t="s">
        <v>14</v>
      </c>
      <c r="G3965" t="s">
        <v>15</v>
      </c>
      <c r="H3965" s="1">
        <v>0</v>
      </c>
      <c r="I3965" t="s">
        <v>16</v>
      </c>
      <c r="J3965">
        <v>0</v>
      </c>
      <c r="K3965">
        <v>8</v>
      </c>
    </row>
    <row r="3966" spans="1:11" x14ac:dyDescent="0.35">
      <c r="A3966" t="s">
        <v>4003</v>
      </c>
      <c r="B3966">
        <v>58</v>
      </c>
      <c r="C3966" t="s">
        <v>12</v>
      </c>
      <c r="D3966" t="s">
        <v>244</v>
      </c>
      <c r="E3966">
        <v>16</v>
      </c>
      <c r="F3966" t="s">
        <v>33</v>
      </c>
      <c r="G3966" t="s">
        <v>34</v>
      </c>
      <c r="H3966" s="1">
        <v>183.17</v>
      </c>
      <c r="I3966" t="s">
        <v>24</v>
      </c>
      <c r="J3966">
        <v>2</v>
      </c>
      <c r="K3966">
        <v>5</v>
      </c>
    </row>
    <row r="3967" spans="1:11" x14ac:dyDescent="0.35">
      <c r="A3967" t="s">
        <v>4004</v>
      </c>
      <c r="B3967">
        <v>72</v>
      </c>
      <c r="C3967" t="s">
        <v>12</v>
      </c>
      <c r="D3967" t="s">
        <v>21</v>
      </c>
      <c r="E3967">
        <v>44</v>
      </c>
      <c r="F3967" t="s">
        <v>14</v>
      </c>
      <c r="G3967" t="s">
        <v>15</v>
      </c>
      <c r="H3967" s="1">
        <v>0</v>
      </c>
      <c r="I3967" t="s">
        <v>16</v>
      </c>
      <c r="J3967">
        <v>3</v>
      </c>
      <c r="K3967">
        <v>1</v>
      </c>
    </row>
    <row r="3968" spans="1:11" x14ac:dyDescent="0.35">
      <c r="A3968" t="s">
        <v>4005</v>
      </c>
      <c r="B3968">
        <v>72</v>
      </c>
      <c r="C3968" t="s">
        <v>18</v>
      </c>
      <c r="D3968" t="s">
        <v>13</v>
      </c>
      <c r="E3968">
        <v>15</v>
      </c>
      <c r="F3968" t="s">
        <v>14</v>
      </c>
      <c r="G3968" t="s">
        <v>27</v>
      </c>
      <c r="H3968" s="1">
        <v>0</v>
      </c>
      <c r="I3968" t="s">
        <v>16</v>
      </c>
      <c r="J3968">
        <v>2</v>
      </c>
      <c r="K3968">
        <v>4</v>
      </c>
    </row>
    <row r="3969" spans="1:11" x14ac:dyDescent="0.35">
      <c r="A3969" t="s">
        <v>4006</v>
      </c>
      <c r="B3969">
        <v>34</v>
      </c>
      <c r="C3969" t="s">
        <v>12</v>
      </c>
      <c r="D3969" t="s">
        <v>13</v>
      </c>
      <c r="E3969">
        <v>7</v>
      </c>
      <c r="F3969" t="s">
        <v>26</v>
      </c>
      <c r="G3969" t="s">
        <v>34</v>
      </c>
      <c r="H3969" s="1">
        <v>198.37</v>
      </c>
      <c r="I3969" t="s">
        <v>24</v>
      </c>
      <c r="J3969">
        <v>0</v>
      </c>
      <c r="K3969">
        <v>8</v>
      </c>
    </row>
    <row r="3970" spans="1:11" x14ac:dyDescent="0.35">
      <c r="A3970" t="s">
        <v>4007</v>
      </c>
      <c r="B3970">
        <v>51</v>
      </c>
      <c r="C3970" t="s">
        <v>12</v>
      </c>
      <c r="D3970" t="s">
        <v>19</v>
      </c>
      <c r="E3970">
        <v>14</v>
      </c>
      <c r="F3970" t="s">
        <v>26</v>
      </c>
      <c r="G3970" t="s">
        <v>27</v>
      </c>
      <c r="H3970" s="1">
        <v>101.28</v>
      </c>
      <c r="I3970" t="s">
        <v>24</v>
      </c>
      <c r="J3970">
        <v>0</v>
      </c>
      <c r="K3970">
        <v>5</v>
      </c>
    </row>
    <row r="3971" spans="1:11" x14ac:dyDescent="0.35">
      <c r="A3971" t="s">
        <v>4008</v>
      </c>
      <c r="B3971">
        <v>76</v>
      </c>
      <c r="C3971" t="s">
        <v>12</v>
      </c>
      <c r="D3971" t="s">
        <v>13</v>
      </c>
      <c r="E3971">
        <v>8</v>
      </c>
      <c r="F3971" t="s">
        <v>31</v>
      </c>
      <c r="G3971" t="s">
        <v>15</v>
      </c>
      <c r="H3971" s="1">
        <v>424.94</v>
      </c>
      <c r="I3971" t="s">
        <v>28</v>
      </c>
      <c r="J3971">
        <v>0</v>
      </c>
      <c r="K3971">
        <v>8</v>
      </c>
    </row>
    <row r="3972" spans="1:11" x14ac:dyDescent="0.35">
      <c r="A3972" t="s">
        <v>4009</v>
      </c>
      <c r="B3972">
        <v>59</v>
      </c>
      <c r="C3972" t="s">
        <v>12</v>
      </c>
      <c r="D3972" t="s">
        <v>13</v>
      </c>
      <c r="E3972">
        <v>11</v>
      </c>
      <c r="F3972" t="s">
        <v>22</v>
      </c>
      <c r="G3972" t="s">
        <v>27</v>
      </c>
      <c r="H3972" s="1">
        <v>109.51</v>
      </c>
      <c r="I3972" t="s">
        <v>24</v>
      </c>
      <c r="J3972">
        <v>0</v>
      </c>
      <c r="K3972">
        <v>7</v>
      </c>
    </row>
    <row r="3973" spans="1:11" x14ac:dyDescent="0.35">
      <c r="A3973" t="s">
        <v>4010</v>
      </c>
      <c r="B3973">
        <v>38</v>
      </c>
      <c r="C3973" t="s">
        <v>12</v>
      </c>
      <c r="D3973" t="s">
        <v>21</v>
      </c>
      <c r="E3973">
        <v>27</v>
      </c>
      <c r="F3973" t="s">
        <v>22</v>
      </c>
      <c r="G3973" t="s">
        <v>15</v>
      </c>
      <c r="H3973" s="1">
        <v>307.61</v>
      </c>
      <c r="I3973" t="s">
        <v>24</v>
      </c>
      <c r="J3973">
        <v>0</v>
      </c>
      <c r="K3973">
        <v>5</v>
      </c>
    </row>
    <row r="3974" spans="1:11" x14ac:dyDescent="0.35">
      <c r="A3974" t="s">
        <v>4011</v>
      </c>
      <c r="B3974">
        <v>74</v>
      </c>
      <c r="C3974" t="s">
        <v>18</v>
      </c>
      <c r="D3974" t="s">
        <v>19</v>
      </c>
      <c r="E3974">
        <v>17</v>
      </c>
      <c r="F3974" t="s">
        <v>26</v>
      </c>
      <c r="G3974" t="s">
        <v>23</v>
      </c>
      <c r="H3974" s="1">
        <v>141.06</v>
      </c>
      <c r="I3974" t="s">
        <v>24</v>
      </c>
      <c r="J3974">
        <v>1</v>
      </c>
      <c r="K3974">
        <v>6</v>
      </c>
    </row>
    <row r="3975" spans="1:11" x14ac:dyDescent="0.35">
      <c r="A3975" t="s">
        <v>4012</v>
      </c>
      <c r="B3975">
        <v>27</v>
      </c>
      <c r="C3975" t="s">
        <v>12</v>
      </c>
      <c r="D3975" t="s">
        <v>19</v>
      </c>
      <c r="E3975">
        <v>10</v>
      </c>
      <c r="F3975" t="s">
        <v>31</v>
      </c>
      <c r="G3975" t="s">
        <v>23</v>
      </c>
      <c r="H3975" s="1">
        <v>130.77000000000001</v>
      </c>
      <c r="I3975" t="s">
        <v>24</v>
      </c>
      <c r="J3975">
        <v>0</v>
      </c>
      <c r="K3975">
        <v>6</v>
      </c>
    </row>
    <row r="3976" spans="1:11" x14ac:dyDescent="0.35">
      <c r="A3976" t="s">
        <v>4013</v>
      </c>
      <c r="B3976">
        <v>85</v>
      </c>
      <c r="C3976" t="s">
        <v>18</v>
      </c>
      <c r="D3976" t="s">
        <v>19</v>
      </c>
      <c r="E3976">
        <v>7</v>
      </c>
      <c r="F3976" t="s">
        <v>31</v>
      </c>
      <c r="G3976" t="s">
        <v>27</v>
      </c>
      <c r="H3976" s="1">
        <v>58.19</v>
      </c>
      <c r="I3976" t="s">
        <v>43</v>
      </c>
      <c r="J3976">
        <v>1</v>
      </c>
      <c r="K3976">
        <v>10</v>
      </c>
    </row>
    <row r="3977" spans="1:11" x14ac:dyDescent="0.35">
      <c r="A3977" t="s">
        <v>4014</v>
      </c>
      <c r="B3977">
        <v>27</v>
      </c>
      <c r="C3977" t="s">
        <v>12</v>
      </c>
      <c r="D3977" t="s">
        <v>19</v>
      </c>
      <c r="E3977">
        <v>15</v>
      </c>
      <c r="F3977" t="s">
        <v>22</v>
      </c>
      <c r="G3977" t="s">
        <v>15</v>
      </c>
      <c r="H3977" s="1">
        <v>424.86</v>
      </c>
      <c r="I3977" t="s">
        <v>43</v>
      </c>
      <c r="J3977">
        <v>3</v>
      </c>
      <c r="K3977">
        <v>5</v>
      </c>
    </row>
    <row r="3978" spans="1:11" x14ac:dyDescent="0.35">
      <c r="A3978" t="s">
        <v>4015</v>
      </c>
      <c r="B3978">
        <v>70</v>
      </c>
      <c r="C3978" t="s">
        <v>18</v>
      </c>
      <c r="D3978" t="s">
        <v>47</v>
      </c>
      <c r="E3978">
        <v>5</v>
      </c>
      <c r="F3978" t="s">
        <v>22</v>
      </c>
      <c r="G3978" t="s">
        <v>37</v>
      </c>
      <c r="H3978" s="1">
        <v>203.84</v>
      </c>
      <c r="I3978" t="s">
        <v>24</v>
      </c>
      <c r="J3978">
        <v>0</v>
      </c>
      <c r="K3978">
        <v>7</v>
      </c>
    </row>
    <row r="3979" spans="1:11" x14ac:dyDescent="0.35">
      <c r="A3979" t="s">
        <v>4016</v>
      </c>
      <c r="B3979">
        <v>74</v>
      </c>
      <c r="C3979" t="s">
        <v>12</v>
      </c>
      <c r="D3979" t="s">
        <v>21</v>
      </c>
      <c r="E3979">
        <v>28</v>
      </c>
      <c r="F3979" t="s">
        <v>33</v>
      </c>
      <c r="G3979" t="s">
        <v>37</v>
      </c>
      <c r="H3979" s="1">
        <v>164.5</v>
      </c>
      <c r="I3979" t="s">
        <v>24</v>
      </c>
      <c r="J3979">
        <v>0</v>
      </c>
      <c r="K3979">
        <v>5</v>
      </c>
    </row>
    <row r="3980" spans="1:11" x14ac:dyDescent="0.35">
      <c r="A3980" t="s">
        <v>4017</v>
      </c>
      <c r="B3980">
        <v>50</v>
      </c>
      <c r="C3980" t="s">
        <v>18</v>
      </c>
      <c r="D3980" t="s">
        <v>21</v>
      </c>
      <c r="E3980">
        <v>12</v>
      </c>
      <c r="F3980" t="s">
        <v>14</v>
      </c>
      <c r="G3980" t="s">
        <v>23</v>
      </c>
      <c r="H3980" s="1">
        <v>0</v>
      </c>
      <c r="I3980" t="s">
        <v>16</v>
      </c>
      <c r="J3980">
        <v>3</v>
      </c>
      <c r="K3980">
        <v>4</v>
      </c>
    </row>
    <row r="3981" spans="1:11" x14ac:dyDescent="0.35">
      <c r="A3981" t="s">
        <v>4018</v>
      </c>
      <c r="B3981">
        <v>78</v>
      </c>
      <c r="C3981" t="s">
        <v>18</v>
      </c>
      <c r="D3981" t="s">
        <v>19</v>
      </c>
      <c r="E3981">
        <v>19</v>
      </c>
      <c r="F3981" t="s">
        <v>26</v>
      </c>
      <c r="G3981" t="s">
        <v>27</v>
      </c>
      <c r="H3981" s="1">
        <v>158.01</v>
      </c>
      <c r="I3981" t="s">
        <v>24</v>
      </c>
      <c r="J3981">
        <v>1</v>
      </c>
      <c r="K3981">
        <v>5</v>
      </c>
    </row>
    <row r="3982" spans="1:11" x14ac:dyDescent="0.35">
      <c r="A3982" t="s">
        <v>4019</v>
      </c>
      <c r="B3982">
        <v>34</v>
      </c>
      <c r="C3982" t="s">
        <v>18</v>
      </c>
      <c r="D3982" t="s">
        <v>13</v>
      </c>
      <c r="E3982">
        <v>22</v>
      </c>
      <c r="F3982" t="s">
        <v>22</v>
      </c>
      <c r="G3982" t="s">
        <v>15</v>
      </c>
      <c r="H3982" s="1">
        <v>257.95999999999998</v>
      </c>
      <c r="I3982" t="s">
        <v>24</v>
      </c>
      <c r="J3982">
        <v>3</v>
      </c>
      <c r="K3982">
        <v>5</v>
      </c>
    </row>
    <row r="3983" spans="1:11" x14ac:dyDescent="0.35">
      <c r="A3983" t="s">
        <v>4020</v>
      </c>
      <c r="B3983">
        <v>48</v>
      </c>
      <c r="C3983" t="s">
        <v>18</v>
      </c>
      <c r="D3983" t="s">
        <v>21</v>
      </c>
      <c r="E3983">
        <v>23</v>
      </c>
      <c r="F3983" t="s">
        <v>22</v>
      </c>
      <c r="G3983" t="s">
        <v>27</v>
      </c>
      <c r="H3983" s="1">
        <v>39.58</v>
      </c>
      <c r="I3983" t="s">
        <v>24</v>
      </c>
      <c r="J3983">
        <v>2</v>
      </c>
      <c r="K3983">
        <v>5</v>
      </c>
    </row>
    <row r="3984" spans="1:11" x14ac:dyDescent="0.35">
      <c r="A3984" t="s">
        <v>4021</v>
      </c>
      <c r="B3984">
        <v>18</v>
      </c>
      <c r="C3984" t="s">
        <v>18</v>
      </c>
      <c r="D3984" t="s">
        <v>19</v>
      </c>
      <c r="E3984">
        <v>8</v>
      </c>
      <c r="F3984" t="s">
        <v>22</v>
      </c>
      <c r="G3984" t="s">
        <v>37</v>
      </c>
      <c r="H3984" s="1">
        <v>144.62</v>
      </c>
      <c r="I3984" t="s">
        <v>24</v>
      </c>
      <c r="J3984">
        <v>1</v>
      </c>
      <c r="K3984">
        <v>9</v>
      </c>
    </row>
    <row r="3985" spans="1:11" x14ac:dyDescent="0.35">
      <c r="A3985" t="s">
        <v>4022</v>
      </c>
      <c r="B3985">
        <v>59</v>
      </c>
      <c r="C3985" t="s">
        <v>18</v>
      </c>
      <c r="D3985" t="s">
        <v>19</v>
      </c>
      <c r="E3985">
        <v>7</v>
      </c>
      <c r="F3985" t="s">
        <v>33</v>
      </c>
      <c r="G3985" t="s">
        <v>15</v>
      </c>
      <c r="H3985" s="1">
        <v>219.33</v>
      </c>
      <c r="I3985" t="s">
        <v>24</v>
      </c>
      <c r="J3985">
        <v>0</v>
      </c>
      <c r="K3985">
        <v>7</v>
      </c>
    </row>
    <row r="3986" spans="1:11" x14ac:dyDescent="0.35">
      <c r="A3986" t="s">
        <v>4023</v>
      </c>
      <c r="B3986">
        <v>47</v>
      </c>
      <c r="C3986" t="s">
        <v>18</v>
      </c>
      <c r="D3986" t="s">
        <v>19</v>
      </c>
      <c r="E3986">
        <v>10</v>
      </c>
      <c r="F3986" t="s">
        <v>22</v>
      </c>
      <c r="G3986" t="s">
        <v>34</v>
      </c>
      <c r="H3986" s="1">
        <v>205.62</v>
      </c>
      <c r="I3986" t="s">
        <v>24</v>
      </c>
      <c r="J3986">
        <v>3</v>
      </c>
      <c r="K3986">
        <v>4</v>
      </c>
    </row>
    <row r="3987" spans="1:11" x14ac:dyDescent="0.35">
      <c r="A3987" t="s">
        <v>4024</v>
      </c>
      <c r="B3987">
        <v>81</v>
      </c>
      <c r="C3987" t="s">
        <v>18</v>
      </c>
      <c r="D3987" t="s">
        <v>19</v>
      </c>
      <c r="E3987">
        <v>16</v>
      </c>
      <c r="F3987" t="s">
        <v>22</v>
      </c>
      <c r="G3987" t="s">
        <v>37</v>
      </c>
      <c r="H3987" s="1">
        <v>129.77000000000001</v>
      </c>
      <c r="I3987" t="s">
        <v>24</v>
      </c>
      <c r="J3987">
        <v>0</v>
      </c>
      <c r="K3987">
        <v>8</v>
      </c>
    </row>
    <row r="3988" spans="1:11" x14ac:dyDescent="0.35">
      <c r="A3988" t="s">
        <v>4025</v>
      </c>
      <c r="B3988">
        <v>27</v>
      </c>
      <c r="C3988" t="s">
        <v>12</v>
      </c>
      <c r="D3988" t="s">
        <v>30</v>
      </c>
      <c r="E3988">
        <v>12</v>
      </c>
      <c r="F3988" t="s">
        <v>14</v>
      </c>
      <c r="G3988" t="s">
        <v>15</v>
      </c>
      <c r="H3988" s="1">
        <v>0</v>
      </c>
      <c r="I3988" t="s">
        <v>16</v>
      </c>
      <c r="J3988">
        <v>1</v>
      </c>
      <c r="K3988">
        <v>4</v>
      </c>
    </row>
    <row r="3989" spans="1:11" x14ac:dyDescent="0.35">
      <c r="A3989" t="s">
        <v>4026</v>
      </c>
      <c r="B3989">
        <v>37</v>
      </c>
      <c r="C3989" t="s">
        <v>12</v>
      </c>
      <c r="D3989" t="s">
        <v>47</v>
      </c>
      <c r="E3989">
        <v>4</v>
      </c>
      <c r="F3989" t="s">
        <v>26</v>
      </c>
      <c r="G3989" t="s">
        <v>15</v>
      </c>
      <c r="H3989" s="1">
        <v>190.42</v>
      </c>
      <c r="I3989" t="s">
        <v>24</v>
      </c>
      <c r="J3989">
        <v>1</v>
      </c>
      <c r="K3989">
        <v>7</v>
      </c>
    </row>
    <row r="3990" spans="1:11" x14ac:dyDescent="0.35">
      <c r="A3990" t="s">
        <v>4027</v>
      </c>
      <c r="B3990">
        <v>45</v>
      </c>
      <c r="C3990" t="s">
        <v>18</v>
      </c>
      <c r="D3990" t="s">
        <v>30</v>
      </c>
      <c r="E3990">
        <v>6</v>
      </c>
      <c r="F3990" t="s">
        <v>26</v>
      </c>
      <c r="G3990" t="s">
        <v>15</v>
      </c>
      <c r="H3990" s="1">
        <v>267.27999999999997</v>
      </c>
      <c r="I3990" t="s">
        <v>24</v>
      </c>
      <c r="J3990">
        <v>0</v>
      </c>
      <c r="K3990">
        <v>8</v>
      </c>
    </row>
    <row r="3991" spans="1:11" x14ac:dyDescent="0.35">
      <c r="A3991" t="s">
        <v>4028</v>
      </c>
      <c r="B3991">
        <v>80</v>
      </c>
      <c r="C3991" t="s">
        <v>12</v>
      </c>
      <c r="D3991" t="s">
        <v>19</v>
      </c>
      <c r="E3991">
        <v>23</v>
      </c>
      <c r="F3991" t="s">
        <v>22</v>
      </c>
      <c r="G3991" t="s">
        <v>15</v>
      </c>
      <c r="H3991" s="1">
        <v>83.79</v>
      </c>
      <c r="I3991" t="s">
        <v>24</v>
      </c>
      <c r="J3991">
        <v>1</v>
      </c>
      <c r="K3991">
        <v>4</v>
      </c>
    </row>
    <row r="3992" spans="1:11" x14ac:dyDescent="0.35">
      <c r="A3992" t="s">
        <v>4029</v>
      </c>
      <c r="B3992">
        <v>57</v>
      </c>
      <c r="C3992" t="s">
        <v>12</v>
      </c>
      <c r="D3992" t="s">
        <v>30</v>
      </c>
      <c r="E3992">
        <v>6</v>
      </c>
      <c r="F3992" t="s">
        <v>31</v>
      </c>
      <c r="G3992" t="s">
        <v>23</v>
      </c>
      <c r="H3992" s="1">
        <v>348.43</v>
      </c>
      <c r="I3992" t="s">
        <v>28</v>
      </c>
      <c r="J3992">
        <v>0</v>
      </c>
      <c r="K3992">
        <v>9</v>
      </c>
    </row>
    <row r="3993" spans="1:11" x14ac:dyDescent="0.35">
      <c r="A3993" t="s">
        <v>4030</v>
      </c>
      <c r="B3993">
        <v>73</v>
      </c>
      <c r="C3993" t="s">
        <v>12</v>
      </c>
      <c r="D3993" t="s">
        <v>13</v>
      </c>
      <c r="E3993">
        <v>9</v>
      </c>
      <c r="F3993" t="s">
        <v>31</v>
      </c>
      <c r="G3993" t="s">
        <v>37</v>
      </c>
      <c r="H3993" s="1">
        <v>187.46</v>
      </c>
      <c r="I3993" t="s">
        <v>28</v>
      </c>
      <c r="J3993">
        <v>2</v>
      </c>
      <c r="K3993">
        <v>5</v>
      </c>
    </row>
    <row r="3994" spans="1:11" x14ac:dyDescent="0.35">
      <c r="A3994" t="s">
        <v>4031</v>
      </c>
      <c r="B3994">
        <v>52</v>
      </c>
      <c r="C3994" t="s">
        <v>12</v>
      </c>
      <c r="D3994" t="s">
        <v>120</v>
      </c>
      <c r="E3994">
        <v>34</v>
      </c>
      <c r="F3994" t="s">
        <v>33</v>
      </c>
      <c r="G3994" t="s">
        <v>37</v>
      </c>
      <c r="H3994" s="1">
        <v>166.21</v>
      </c>
      <c r="I3994" t="s">
        <v>24</v>
      </c>
      <c r="J3994">
        <v>1</v>
      </c>
      <c r="K3994">
        <v>4</v>
      </c>
    </row>
    <row r="3995" spans="1:11" x14ac:dyDescent="0.35">
      <c r="A3995" t="s">
        <v>4032</v>
      </c>
      <c r="B3995">
        <v>38</v>
      </c>
      <c r="C3995" t="s">
        <v>18</v>
      </c>
      <c r="D3995" t="s">
        <v>19</v>
      </c>
      <c r="E3995">
        <v>7</v>
      </c>
      <c r="F3995" t="s">
        <v>31</v>
      </c>
      <c r="G3995" t="s">
        <v>37</v>
      </c>
      <c r="H3995" s="1">
        <v>118.43</v>
      </c>
      <c r="I3995" t="s">
        <v>24</v>
      </c>
      <c r="J3995">
        <v>0</v>
      </c>
      <c r="K3995">
        <v>10</v>
      </c>
    </row>
    <row r="3996" spans="1:11" x14ac:dyDescent="0.35">
      <c r="A3996" t="s">
        <v>4033</v>
      </c>
      <c r="B3996">
        <v>85</v>
      </c>
      <c r="C3996" t="s">
        <v>18</v>
      </c>
      <c r="D3996" t="s">
        <v>13</v>
      </c>
      <c r="E3996">
        <v>21</v>
      </c>
      <c r="F3996" t="s">
        <v>31</v>
      </c>
      <c r="G3996" t="s">
        <v>37</v>
      </c>
      <c r="H3996" s="1">
        <v>117.51</v>
      </c>
      <c r="I3996" t="s">
        <v>24</v>
      </c>
      <c r="J3996">
        <v>4</v>
      </c>
      <c r="K3996">
        <v>1</v>
      </c>
    </row>
    <row r="3997" spans="1:11" x14ac:dyDescent="0.35">
      <c r="A3997" t="s">
        <v>4034</v>
      </c>
      <c r="B3997">
        <v>57</v>
      </c>
      <c r="C3997" t="s">
        <v>528</v>
      </c>
      <c r="D3997" t="s">
        <v>13</v>
      </c>
      <c r="E3997">
        <v>17</v>
      </c>
      <c r="F3997" t="s">
        <v>22</v>
      </c>
      <c r="G3997" t="s">
        <v>27</v>
      </c>
      <c r="H3997" s="1">
        <v>126.22</v>
      </c>
      <c r="I3997" t="s">
        <v>24</v>
      </c>
      <c r="J3997">
        <v>0</v>
      </c>
      <c r="K3997">
        <v>6</v>
      </c>
    </row>
    <row r="3998" spans="1:11" x14ac:dyDescent="0.35">
      <c r="A3998" t="s">
        <v>4035</v>
      </c>
      <c r="B3998">
        <v>82</v>
      </c>
      <c r="C3998" t="s">
        <v>12</v>
      </c>
      <c r="D3998" t="s">
        <v>21</v>
      </c>
      <c r="E3998">
        <v>38</v>
      </c>
      <c r="F3998" t="s">
        <v>33</v>
      </c>
      <c r="G3998" t="s">
        <v>27</v>
      </c>
      <c r="H3998" s="1">
        <v>19.79</v>
      </c>
      <c r="I3998" t="s">
        <v>24</v>
      </c>
      <c r="J3998">
        <v>4</v>
      </c>
      <c r="K3998">
        <v>1</v>
      </c>
    </row>
    <row r="3999" spans="1:11" x14ac:dyDescent="0.35">
      <c r="A3999" t="s">
        <v>4036</v>
      </c>
      <c r="B3999">
        <v>48</v>
      </c>
      <c r="C3999" t="s">
        <v>12</v>
      </c>
      <c r="D3999" t="s">
        <v>13</v>
      </c>
      <c r="E3999">
        <v>24</v>
      </c>
      <c r="F3999" t="s">
        <v>14</v>
      </c>
      <c r="G3999" t="s">
        <v>15</v>
      </c>
      <c r="H3999" s="1">
        <v>0</v>
      </c>
      <c r="I3999" t="s">
        <v>16</v>
      </c>
      <c r="J3999">
        <v>3</v>
      </c>
      <c r="K3999">
        <v>3</v>
      </c>
    </row>
    <row r="4000" spans="1:11" x14ac:dyDescent="0.35">
      <c r="A4000" t="s">
        <v>4037</v>
      </c>
      <c r="B4000">
        <v>83</v>
      </c>
      <c r="C4000" t="s">
        <v>18</v>
      </c>
      <c r="D4000" t="s">
        <v>19</v>
      </c>
      <c r="E4000">
        <v>10</v>
      </c>
      <c r="F4000" t="s">
        <v>31</v>
      </c>
      <c r="G4000" t="s">
        <v>23</v>
      </c>
      <c r="H4000" s="1">
        <v>543.5</v>
      </c>
      <c r="I4000" t="s">
        <v>28</v>
      </c>
      <c r="J4000">
        <v>3</v>
      </c>
      <c r="K4000">
        <v>5</v>
      </c>
    </row>
    <row r="4001" spans="1:11" x14ac:dyDescent="0.35">
      <c r="A4001" t="s">
        <v>4038</v>
      </c>
      <c r="B4001">
        <v>25</v>
      </c>
      <c r="C4001" t="s">
        <v>18</v>
      </c>
      <c r="D4001" t="s">
        <v>21</v>
      </c>
      <c r="E4001">
        <v>15</v>
      </c>
      <c r="F4001" t="s">
        <v>22</v>
      </c>
      <c r="G4001" t="s">
        <v>23</v>
      </c>
      <c r="H4001" s="1">
        <v>315.64</v>
      </c>
      <c r="I4001" t="s">
        <v>43</v>
      </c>
      <c r="J4001">
        <v>0</v>
      </c>
      <c r="K4001">
        <v>4</v>
      </c>
    </row>
    <row r="4002" spans="1:11" x14ac:dyDescent="0.35">
      <c r="A4002" t="s">
        <v>4039</v>
      </c>
      <c r="B4002">
        <v>34</v>
      </c>
      <c r="C4002" t="s">
        <v>12</v>
      </c>
      <c r="D4002" t="s">
        <v>19</v>
      </c>
      <c r="E4002">
        <v>18</v>
      </c>
      <c r="F4002" t="s">
        <v>14</v>
      </c>
      <c r="G4002" t="s">
        <v>15</v>
      </c>
      <c r="H4002" s="1">
        <v>0</v>
      </c>
      <c r="I4002" t="s">
        <v>16</v>
      </c>
      <c r="J4002">
        <v>2</v>
      </c>
      <c r="K4002">
        <v>6</v>
      </c>
    </row>
    <row r="4003" spans="1:11" x14ac:dyDescent="0.35">
      <c r="A4003" t="s">
        <v>4040</v>
      </c>
      <c r="B4003">
        <v>77</v>
      </c>
      <c r="C4003" t="s">
        <v>12</v>
      </c>
      <c r="D4003" t="s">
        <v>19</v>
      </c>
      <c r="E4003">
        <v>9</v>
      </c>
      <c r="F4003" t="s">
        <v>31</v>
      </c>
      <c r="G4003" t="s">
        <v>23</v>
      </c>
      <c r="H4003" s="1">
        <v>404.79</v>
      </c>
      <c r="I4003" t="s">
        <v>24</v>
      </c>
      <c r="J4003">
        <v>3</v>
      </c>
      <c r="K4003">
        <v>6</v>
      </c>
    </row>
    <row r="4004" spans="1:11" x14ac:dyDescent="0.35">
      <c r="A4004" t="s">
        <v>4041</v>
      </c>
      <c r="B4004">
        <v>31</v>
      </c>
      <c r="C4004" t="s">
        <v>18</v>
      </c>
      <c r="D4004" t="s">
        <v>13</v>
      </c>
      <c r="E4004">
        <v>6</v>
      </c>
      <c r="F4004" t="s">
        <v>22</v>
      </c>
      <c r="G4004" t="s">
        <v>27</v>
      </c>
      <c r="H4004" s="1">
        <v>45.18</v>
      </c>
      <c r="I4004" t="s">
        <v>24</v>
      </c>
      <c r="J4004">
        <v>0</v>
      </c>
      <c r="K4004">
        <v>7</v>
      </c>
    </row>
    <row r="4005" spans="1:11" x14ac:dyDescent="0.35">
      <c r="A4005" t="s">
        <v>4042</v>
      </c>
      <c r="B4005">
        <v>75</v>
      </c>
      <c r="C4005" t="s">
        <v>12</v>
      </c>
      <c r="D4005" t="s">
        <v>41</v>
      </c>
      <c r="E4005">
        <v>13</v>
      </c>
      <c r="F4005" t="s">
        <v>31</v>
      </c>
      <c r="G4005" t="s">
        <v>37</v>
      </c>
      <c r="H4005" s="1">
        <v>187.29</v>
      </c>
      <c r="I4005" t="s">
        <v>28</v>
      </c>
      <c r="J4005">
        <v>1</v>
      </c>
      <c r="K4005">
        <v>6</v>
      </c>
    </row>
    <row r="4006" spans="1:11" x14ac:dyDescent="0.35">
      <c r="A4006" t="s">
        <v>4043</v>
      </c>
      <c r="B4006">
        <v>61</v>
      </c>
      <c r="C4006" t="s">
        <v>12</v>
      </c>
      <c r="D4006" t="s">
        <v>21</v>
      </c>
      <c r="E4006">
        <v>18</v>
      </c>
      <c r="F4006" t="s">
        <v>31</v>
      </c>
      <c r="G4006" t="s">
        <v>34</v>
      </c>
      <c r="H4006" s="1">
        <v>195.24</v>
      </c>
      <c r="I4006" t="s">
        <v>24</v>
      </c>
      <c r="J4006">
        <v>0</v>
      </c>
      <c r="K4006">
        <v>6</v>
      </c>
    </row>
    <row r="4007" spans="1:11" x14ac:dyDescent="0.35">
      <c r="A4007" t="s">
        <v>4044</v>
      </c>
      <c r="B4007">
        <v>48</v>
      </c>
      <c r="C4007" t="s">
        <v>12</v>
      </c>
      <c r="D4007" t="s">
        <v>19</v>
      </c>
      <c r="E4007">
        <v>20</v>
      </c>
      <c r="F4007" t="s">
        <v>22</v>
      </c>
      <c r="G4007" t="s">
        <v>15</v>
      </c>
      <c r="H4007" s="1">
        <v>366.42</v>
      </c>
      <c r="I4007" t="s">
        <v>24</v>
      </c>
      <c r="J4007">
        <v>0</v>
      </c>
      <c r="K4007">
        <v>5</v>
      </c>
    </row>
    <row r="4008" spans="1:11" x14ac:dyDescent="0.35">
      <c r="A4008" t="s">
        <v>4045</v>
      </c>
      <c r="B4008">
        <v>49</v>
      </c>
      <c r="C4008" t="s">
        <v>18</v>
      </c>
      <c r="D4008" t="s">
        <v>19</v>
      </c>
      <c r="E4008">
        <v>22</v>
      </c>
      <c r="F4008" t="s">
        <v>22</v>
      </c>
      <c r="G4008" t="s">
        <v>27</v>
      </c>
      <c r="H4008" s="1">
        <v>138.88</v>
      </c>
      <c r="I4008" t="s">
        <v>24</v>
      </c>
      <c r="J4008">
        <v>1</v>
      </c>
      <c r="K4008">
        <v>5</v>
      </c>
    </row>
    <row r="4009" spans="1:11" x14ac:dyDescent="0.35">
      <c r="A4009" t="s">
        <v>4046</v>
      </c>
      <c r="B4009">
        <v>73</v>
      </c>
      <c r="C4009" t="s">
        <v>12</v>
      </c>
      <c r="D4009" t="s">
        <v>19</v>
      </c>
      <c r="E4009">
        <v>24</v>
      </c>
      <c r="F4009" t="s">
        <v>26</v>
      </c>
      <c r="G4009" t="s">
        <v>23</v>
      </c>
      <c r="H4009" s="1">
        <v>305.18</v>
      </c>
      <c r="I4009" t="s">
        <v>24</v>
      </c>
      <c r="J4009">
        <v>1</v>
      </c>
      <c r="K4009">
        <v>1</v>
      </c>
    </row>
    <row r="4010" spans="1:11" x14ac:dyDescent="0.35">
      <c r="A4010" t="s">
        <v>4047</v>
      </c>
      <c r="B4010">
        <v>84</v>
      </c>
      <c r="C4010" t="s">
        <v>18</v>
      </c>
      <c r="D4010" t="s">
        <v>21</v>
      </c>
      <c r="E4010">
        <v>24</v>
      </c>
      <c r="F4010" t="s">
        <v>14</v>
      </c>
      <c r="G4010" t="s">
        <v>15</v>
      </c>
      <c r="H4010" s="1">
        <v>0</v>
      </c>
      <c r="I4010" t="s">
        <v>16</v>
      </c>
      <c r="J4010">
        <v>3</v>
      </c>
      <c r="K4010">
        <v>4</v>
      </c>
    </row>
    <row r="4011" spans="1:11" x14ac:dyDescent="0.35">
      <c r="A4011" t="s">
        <v>4048</v>
      </c>
      <c r="B4011">
        <v>40</v>
      </c>
      <c r="C4011" t="s">
        <v>12</v>
      </c>
      <c r="D4011" t="s">
        <v>19</v>
      </c>
      <c r="E4011">
        <v>13</v>
      </c>
      <c r="F4011" t="s">
        <v>26</v>
      </c>
      <c r="G4011" t="s">
        <v>23</v>
      </c>
      <c r="H4011" s="1">
        <v>511.91</v>
      </c>
      <c r="I4011" t="s">
        <v>24</v>
      </c>
      <c r="J4011">
        <v>2</v>
      </c>
      <c r="K4011">
        <v>4</v>
      </c>
    </row>
    <row r="4012" spans="1:11" x14ac:dyDescent="0.35">
      <c r="A4012" t="s">
        <v>4049</v>
      </c>
      <c r="B4012">
        <v>24</v>
      </c>
      <c r="C4012" t="s">
        <v>18</v>
      </c>
      <c r="D4012" t="s">
        <v>19</v>
      </c>
      <c r="E4012">
        <v>20</v>
      </c>
      <c r="F4012" t="s">
        <v>22</v>
      </c>
      <c r="G4012" t="s">
        <v>27</v>
      </c>
      <c r="H4012" s="1">
        <v>121.26</v>
      </c>
      <c r="I4012" t="s">
        <v>24</v>
      </c>
      <c r="J4012">
        <v>2</v>
      </c>
      <c r="K4012">
        <v>5</v>
      </c>
    </row>
    <row r="4013" spans="1:11" x14ac:dyDescent="0.35">
      <c r="A4013" t="s">
        <v>4050</v>
      </c>
      <c r="B4013">
        <v>73</v>
      </c>
      <c r="C4013" t="s">
        <v>18</v>
      </c>
      <c r="D4013" t="s">
        <v>19</v>
      </c>
      <c r="E4013">
        <v>12</v>
      </c>
      <c r="F4013" t="s">
        <v>14</v>
      </c>
      <c r="G4013" t="s">
        <v>23</v>
      </c>
      <c r="H4013" s="1">
        <v>0</v>
      </c>
      <c r="I4013" t="s">
        <v>16</v>
      </c>
      <c r="J4013">
        <v>1</v>
      </c>
      <c r="K4013">
        <v>7</v>
      </c>
    </row>
    <row r="4014" spans="1:11" x14ac:dyDescent="0.35">
      <c r="A4014" t="s">
        <v>4051</v>
      </c>
      <c r="B4014">
        <v>78</v>
      </c>
      <c r="C4014" t="s">
        <v>18</v>
      </c>
      <c r="D4014" t="s">
        <v>21</v>
      </c>
      <c r="E4014">
        <v>34</v>
      </c>
      <c r="F4014" t="s">
        <v>26</v>
      </c>
      <c r="G4014" t="s">
        <v>15</v>
      </c>
      <c r="H4014" s="1">
        <v>381.43</v>
      </c>
      <c r="I4014" t="s">
        <v>24</v>
      </c>
      <c r="J4014">
        <v>3</v>
      </c>
      <c r="K4014">
        <v>3</v>
      </c>
    </row>
    <row r="4015" spans="1:11" x14ac:dyDescent="0.35">
      <c r="A4015" t="s">
        <v>4052</v>
      </c>
      <c r="B4015">
        <v>65</v>
      </c>
      <c r="C4015" t="s">
        <v>12</v>
      </c>
      <c r="D4015" t="s">
        <v>19</v>
      </c>
      <c r="E4015">
        <v>14</v>
      </c>
      <c r="F4015" t="s">
        <v>22</v>
      </c>
      <c r="G4015" t="s">
        <v>37</v>
      </c>
      <c r="H4015" s="1">
        <v>156.26</v>
      </c>
      <c r="I4015" t="s">
        <v>24</v>
      </c>
      <c r="J4015">
        <v>1</v>
      </c>
      <c r="K4015">
        <v>7</v>
      </c>
    </row>
    <row r="4016" spans="1:11" x14ac:dyDescent="0.35">
      <c r="A4016" t="s">
        <v>4053</v>
      </c>
      <c r="B4016">
        <v>47</v>
      </c>
      <c r="C4016" t="s">
        <v>12</v>
      </c>
      <c r="D4016" t="s">
        <v>21</v>
      </c>
      <c r="E4016">
        <v>16</v>
      </c>
      <c r="F4016" t="s">
        <v>31</v>
      </c>
      <c r="G4016" t="s">
        <v>15</v>
      </c>
      <c r="H4016" s="1">
        <v>234.47</v>
      </c>
      <c r="I4016" t="s">
        <v>24</v>
      </c>
      <c r="J4016">
        <v>0</v>
      </c>
      <c r="K4016">
        <v>8</v>
      </c>
    </row>
    <row r="4017" spans="1:11" x14ac:dyDescent="0.35">
      <c r="A4017" t="s">
        <v>4054</v>
      </c>
      <c r="B4017">
        <v>71</v>
      </c>
      <c r="C4017" t="s">
        <v>18</v>
      </c>
      <c r="D4017" t="s">
        <v>21</v>
      </c>
      <c r="E4017">
        <v>43</v>
      </c>
      <c r="F4017" t="s">
        <v>14</v>
      </c>
      <c r="G4017" t="s">
        <v>34</v>
      </c>
      <c r="H4017" s="1">
        <v>0</v>
      </c>
      <c r="I4017" t="s">
        <v>16</v>
      </c>
      <c r="J4017">
        <v>3</v>
      </c>
      <c r="K4017">
        <v>2</v>
      </c>
    </row>
    <row r="4018" spans="1:11" x14ac:dyDescent="0.35">
      <c r="A4018" t="s">
        <v>4055</v>
      </c>
      <c r="B4018">
        <v>67</v>
      </c>
      <c r="C4018" t="s">
        <v>18</v>
      </c>
      <c r="D4018" t="s">
        <v>21</v>
      </c>
      <c r="E4018">
        <v>43</v>
      </c>
      <c r="F4018" t="s">
        <v>26</v>
      </c>
      <c r="G4018" t="s">
        <v>23</v>
      </c>
      <c r="H4018" s="1">
        <v>506.08</v>
      </c>
      <c r="I4018" t="s">
        <v>24</v>
      </c>
      <c r="J4018">
        <v>2</v>
      </c>
      <c r="K4018">
        <v>4</v>
      </c>
    </row>
    <row r="4019" spans="1:11" x14ac:dyDescent="0.35">
      <c r="A4019" t="s">
        <v>4056</v>
      </c>
      <c r="B4019">
        <v>33</v>
      </c>
      <c r="C4019" t="s">
        <v>189</v>
      </c>
      <c r="D4019" t="s">
        <v>19</v>
      </c>
      <c r="E4019">
        <v>14</v>
      </c>
      <c r="F4019" t="s">
        <v>26</v>
      </c>
      <c r="G4019" t="s">
        <v>23</v>
      </c>
      <c r="H4019" s="1">
        <v>296.05</v>
      </c>
      <c r="I4019" t="s">
        <v>24</v>
      </c>
      <c r="J4019">
        <v>0</v>
      </c>
      <c r="K4019">
        <v>5</v>
      </c>
    </row>
    <row r="4020" spans="1:11" x14ac:dyDescent="0.35">
      <c r="A4020" t="s">
        <v>4057</v>
      </c>
      <c r="B4020">
        <v>62</v>
      </c>
      <c r="C4020" t="s">
        <v>18</v>
      </c>
      <c r="D4020" t="s">
        <v>19</v>
      </c>
      <c r="E4020">
        <v>22</v>
      </c>
      <c r="F4020" t="s">
        <v>33</v>
      </c>
      <c r="G4020" t="s">
        <v>34</v>
      </c>
      <c r="H4020" s="1">
        <v>97.23</v>
      </c>
      <c r="I4020" t="s">
        <v>24</v>
      </c>
      <c r="J4020">
        <v>2</v>
      </c>
      <c r="K4020">
        <v>3</v>
      </c>
    </row>
    <row r="4021" spans="1:11" x14ac:dyDescent="0.35">
      <c r="A4021" t="s">
        <v>4058</v>
      </c>
      <c r="B4021">
        <v>45</v>
      </c>
      <c r="C4021" t="s">
        <v>18</v>
      </c>
      <c r="D4021" t="s">
        <v>19</v>
      </c>
      <c r="E4021">
        <v>7</v>
      </c>
      <c r="F4021" t="s">
        <v>31</v>
      </c>
      <c r="G4021" t="s">
        <v>15</v>
      </c>
      <c r="H4021" s="1">
        <v>86.19</v>
      </c>
      <c r="I4021" t="s">
        <v>24</v>
      </c>
      <c r="J4021">
        <v>0</v>
      </c>
      <c r="K4021">
        <v>8</v>
      </c>
    </row>
    <row r="4022" spans="1:11" x14ac:dyDescent="0.35">
      <c r="A4022" t="s">
        <v>4059</v>
      </c>
      <c r="B4022">
        <v>42</v>
      </c>
      <c r="C4022" t="s">
        <v>18</v>
      </c>
      <c r="D4022" t="s">
        <v>200</v>
      </c>
      <c r="E4022">
        <v>9</v>
      </c>
      <c r="F4022" t="s">
        <v>31</v>
      </c>
      <c r="G4022" t="s">
        <v>15</v>
      </c>
      <c r="H4022" s="1">
        <v>179.19</v>
      </c>
      <c r="I4022" t="s">
        <v>28</v>
      </c>
      <c r="J4022">
        <v>0</v>
      </c>
      <c r="K4022">
        <v>4</v>
      </c>
    </row>
    <row r="4023" spans="1:11" x14ac:dyDescent="0.35">
      <c r="A4023" t="s">
        <v>4060</v>
      </c>
      <c r="B4023">
        <v>21</v>
      </c>
      <c r="C4023" t="s">
        <v>12</v>
      </c>
      <c r="D4023" t="s">
        <v>19</v>
      </c>
      <c r="E4023">
        <v>23</v>
      </c>
      <c r="F4023" t="s">
        <v>22</v>
      </c>
      <c r="G4023" t="s">
        <v>23</v>
      </c>
      <c r="H4023" s="1">
        <v>366.42</v>
      </c>
      <c r="I4023" t="s">
        <v>24</v>
      </c>
      <c r="J4023">
        <v>1</v>
      </c>
      <c r="K4023">
        <v>1</v>
      </c>
    </row>
    <row r="4024" spans="1:11" x14ac:dyDescent="0.35">
      <c r="A4024" t="s">
        <v>4061</v>
      </c>
      <c r="B4024">
        <v>25</v>
      </c>
      <c r="C4024" t="s">
        <v>12</v>
      </c>
      <c r="D4024" t="s">
        <v>13</v>
      </c>
      <c r="E4024">
        <v>20</v>
      </c>
      <c r="F4024" t="s">
        <v>22</v>
      </c>
      <c r="G4024" t="s">
        <v>27</v>
      </c>
      <c r="H4024" s="1">
        <v>29.35</v>
      </c>
      <c r="I4024" t="s">
        <v>24</v>
      </c>
      <c r="J4024">
        <v>2</v>
      </c>
      <c r="K4024">
        <v>4</v>
      </c>
    </row>
    <row r="4025" spans="1:11" x14ac:dyDescent="0.35">
      <c r="A4025" t="s">
        <v>4062</v>
      </c>
      <c r="B4025">
        <v>72</v>
      </c>
      <c r="C4025" t="s">
        <v>18</v>
      </c>
      <c r="D4025" t="s">
        <v>13</v>
      </c>
      <c r="E4025">
        <v>19</v>
      </c>
      <c r="F4025" t="s">
        <v>22</v>
      </c>
      <c r="G4025" t="s">
        <v>15</v>
      </c>
      <c r="H4025" s="1">
        <v>151.77000000000001</v>
      </c>
      <c r="I4025" t="s">
        <v>43</v>
      </c>
      <c r="J4025">
        <v>1</v>
      </c>
      <c r="K4025">
        <v>1</v>
      </c>
    </row>
    <row r="4026" spans="1:11" x14ac:dyDescent="0.35">
      <c r="A4026" t="s">
        <v>4063</v>
      </c>
      <c r="B4026">
        <v>37</v>
      </c>
      <c r="C4026" t="s">
        <v>12</v>
      </c>
      <c r="D4026" t="s">
        <v>41</v>
      </c>
      <c r="E4026">
        <v>2</v>
      </c>
      <c r="F4026" t="s">
        <v>33</v>
      </c>
      <c r="G4026" t="s">
        <v>34</v>
      </c>
      <c r="H4026" s="1">
        <v>106.31</v>
      </c>
      <c r="I4026" t="s">
        <v>24</v>
      </c>
      <c r="J4026">
        <v>0</v>
      </c>
      <c r="K4026">
        <v>7</v>
      </c>
    </row>
    <row r="4027" spans="1:11" x14ac:dyDescent="0.35">
      <c r="A4027" t="s">
        <v>4064</v>
      </c>
      <c r="B4027">
        <v>64</v>
      </c>
      <c r="C4027" t="s">
        <v>12</v>
      </c>
      <c r="D4027" t="s">
        <v>19</v>
      </c>
      <c r="E4027">
        <v>10</v>
      </c>
      <c r="F4027" t="s">
        <v>33</v>
      </c>
      <c r="G4027" t="s">
        <v>34</v>
      </c>
      <c r="H4027" s="1">
        <v>152.02000000000001</v>
      </c>
      <c r="I4027" t="s">
        <v>24</v>
      </c>
      <c r="J4027">
        <v>1</v>
      </c>
      <c r="K4027">
        <v>5</v>
      </c>
    </row>
    <row r="4028" spans="1:11" x14ac:dyDescent="0.35">
      <c r="A4028" t="s">
        <v>4065</v>
      </c>
      <c r="B4028">
        <v>29</v>
      </c>
      <c r="C4028" t="s">
        <v>12</v>
      </c>
      <c r="D4028" t="s">
        <v>19</v>
      </c>
      <c r="E4028">
        <v>18</v>
      </c>
      <c r="F4028" t="s">
        <v>14</v>
      </c>
      <c r="G4028" t="s">
        <v>23</v>
      </c>
      <c r="H4028" s="1">
        <v>0</v>
      </c>
      <c r="I4028" t="s">
        <v>16</v>
      </c>
      <c r="J4028">
        <v>1</v>
      </c>
      <c r="K4028">
        <v>8</v>
      </c>
    </row>
    <row r="4029" spans="1:11" x14ac:dyDescent="0.35">
      <c r="A4029" t="s">
        <v>4066</v>
      </c>
      <c r="B4029">
        <v>51</v>
      </c>
      <c r="C4029" t="s">
        <v>18</v>
      </c>
      <c r="D4029" t="s">
        <v>21</v>
      </c>
      <c r="E4029">
        <v>26</v>
      </c>
      <c r="F4029" t="s">
        <v>33</v>
      </c>
      <c r="G4029" t="s">
        <v>34</v>
      </c>
      <c r="H4029" s="1">
        <v>102.24</v>
      </c>
      <c r="I4029" t="s">
        <v>24</v>
      </c>
      <c r="J4029">
        <v>3</v>
      </c>
      <c r="K4029">
        <v>3</v>
      </c>
    </row>
    <row r="4030" spans="1:11" x14ac:dyDescent="0.35">
      <c r="A4030" t="s">
        <v>4067</v>
      </c>
      <c r="B4030">
        <v>69</v>
      </c>
      <c r="C4030" t="s">
        <v>18</v>
      </c>
      <c r="D4030" t="s">
        <v>30</v>
      </c>
      <c r="E4030">
        <v>2</v>
      </c>
      <c r="F4030" t="s">
        <v>33</v>
      </c>
      <c r="G4030" t="s">
        <v>23</v>
      </c>
      <c r="H4030" s="1">
        <v>592.16999999999996</v>
      </c>
      <c r="I4030" t="s">
        <v>24</v>
      </c>
      <c r="J4030">
        <v>0</v>
      </c>
      <c r="K4030">
        <v>8</v>
      </c>
    </row>
    <row r="4031" spans="1:11" x14ac:dyDescent="0.35">
      <c r="A4031" t="s">
        <v>4068</v>
      </c>
      <c r="B4031">
        <v>71</v>
      </c>
      <c r="C4031" t="s">
        <v>18</v>
      </c>
      <c r="D4031" t="s">
        <v>30</v>
      </c>
      <c r="E4031">
        <v>12</v>
      </c>
      <c r="F4031" t="s">
        <v>22</v>
      </c>
      <c r="G4031" t="s">
        <v>37</v>
      </c>
      <c r="H4031" s="1">
        <v>110.69</v>
      </c>
      <c r="I4031" t="s">
        <v>24</v>
      </c>
      <c r="J4031">
        <v>1</v>
      </c>
      <c r="K4031">
        <v>5</v>
      </c>
    </row>
    <row r="4032" spans="1:11" x14ac:dyDescent="0.35">
      <c r="A4032" t="s">
        <v>4069</v>
      </c>
      <c r="B4032">
        <v>82</v>
      </c>
      <c r="C4032" t="s">
        <v>12</v>
      </c>
      <c r="D4032" t="s">
        <v>19</v>
      </c>
      <c r="E4032">
        <v>16</v>
      </c>
      <c r="F4032" t="s">
        <v>33</v>
      </c>
      <c r="G4032" t="s">
        <v>27</v>
      </c>
      <c r="H4032" s="1">
        <v>58.96</v>
      </c>
      <c r="I4032" t="s">
        <v>24</v>
      </c>
      <c r="J4032">
        <v>1</v>
      </c>
      <c r="K4032">
        <v>4</v>
      </c>
    </row>
    <row r="4033" spans="1:11" x14ac:dyDescent="0.35">
      <c r="A4033" t="s">
        <v>4070</v>
      </c>
      <c r="B4033">
        <v>29</v>
      </c>
      <c r="C4033" t="s">
        <v>18</v>
      </c>
      <c r="D4033" t="s">
        <v>41</v>
      </c>
      <c r="E4033">
        <v>9</v>
      </c>
      <c r="F4033" t="s">
        <v>26</v>
      </c>
      <c r="G4033" t="s">
        <v>34</v>
      </c>
      <c r="H4033" s="1">
        <v>146.66</v>
      </c>
      <c r="I4033" t="s">
        <v>24</v>
      </c>
      <c r="J4033">
        <v>1</v>
      </c>
      <c r="K4033">
        <v>7</v>
      </c>
    </row>
    <row r="4034" spans="1:11" x14ac:dyDescent="0.35">
      <c r="A4034" t="s">
        <v>4071</v>
      </c>
      <c r="B4034">
        <v>84</v>
      </c>
      <c r="C4034" t="s">
        <v>18</v>
      </c>
      <c r="D4034" t="s">
        <v>19</v>
      </c>
      <c r="E4034">
        <v>15</v>
      </c>
      <c r="F4034" t="s">
        <v>33</v>
      </c>
      <c r="G4034" t="s">
        <v>27</v>
      </c>
      <c r="H4034" s="1">
        <v>112.07</v>
      </c>
      <c r="I4034" t="s">
        <v>24</v>
      </c>
      <c r="J4034">
        <v>2</v>
      </c>
      <c r="K4034">
        <v>6</v>
      </c>
    </row>
    <row r="4035" spans="1:11" x14ac:dyDescent="0.35">
      <c r="A4035" t="s">
        <v>4072</v>
      </c>
      <c r="B4035">
        <v>22</v>
      </c>
      <c r="C4035" t="s">
        <v>18</v>
      </c>
      <c r="D4035" t="s">
        <v>21</v>
      </c>
      <c r="E4035">
        <v>22</v>
      </c>
      <c r="F4035" t="s">
        <v>26</v>
      </c>
      <c r="G4035" t="s">
        <v>15</v>
      </c>
      <c r="H4035" s="1">
        <v>265.91000000000003</v>
      </c>
      <c r="I4035" t="s">
        <v>24</v>
      </c>
      <c r="J4035">
        <v>4</v>
      </c>
      <c r="K4035">
        <v>5</v>
      </c>
    </row>
    <row r="4036" spans="1:11" x14ac:dyDescent="0.35">
      <c r="A4036" t="s">
        <v>4073</v>
      </c>
      <c r="B4036">
        <v>79</v>
      </c>
      <c r="C4036" t="s">
        <v>12</v>
      </c>
      <c r="D4036" t="s">
        <v>13</v>
      </c>
      <c r="E4036">
        <v>10</v>
      </c>
      <c r="F4036" t="s">
        <v>14</v>
      </c>
      <c r="G4036" t="s">
        <v>23</v>
      </c>
      <c r="H4036" s="1">
        <v>0</v>
      </c>
      <c r="I4036" t="s">
        <v>16</v>
      </c>
      <c r="J4036">
        <v>1</v>
      </c>
      <c r="K4036">
        <v>5</v>
      </c>
    </row>
    <row r="4037" spans="1:11" x14ac:dyDescent="0.35">
      <c r="A4037" t="s">
        <v>4074</v>
      </c>
      <c r="B4037">
        <v>40</v>
      </c>
      <c r="C4037" t="s">
        <v>18</v>
      </c>
      <c r="D4037" t="s">
        <v>19</v>
      </c>
      <c r="E4037">
        <v>20</v>
      </c>
      <c r="F4037" t="s">
        <v>33</v>
      </c>
      <c r="G4037" t="s">
        <v>27</v>
      </c>
      <c r="H4037" s="1">
        <v>168.23</v>
      </c>
      <c r="I4037" t="s">
        <v>24</v>
      </c>
      <c r="J4037">
        <v>4</v>
      </c>
      <c r="K4037">
        <v>4</v>
      </c>
    </row>
    <row r="4038" spans="1:11" x14ac:dyDescent="0.35">
      <c r="A4038" t="s">
        <v>4075</v>
      </c>
      <c r="B4038">
        <v>35</v>
      </c>
      <c r="C4038" t="s">
        <v>12</v>
      </c>
      <c r="D4038" t="s">
        <v>30</v>
      </c>
      <c r="E4038">
        <v>4</v>
      </c>
      <c r="F4038" t="s">
        <v>14</v>
      </c>
      <c r="G4038" t="s">
        <v>27</v>
      </c>
      <c r="H4038" s="1">
        <v>0</v>
      </c>
      <c r="I4038" t="s">
        <v>16</v>
      </c>
      <c r="J4038">
        <v>0</v>
      </c>
      <c r="K4038">
        <v>8</v>
      </c>
    </row>
    <row r="4039" spans="1:11" x14ac:dyDescent="0.35">
      <c r="A4039" t="s">
        <v>4076</v>
      </c>
      <c r="B4039">
        <v>56</v>
      </c>
      <c r="C4039" t="s">
        <v>18</v>
      </c>
      <c r="D4039" t="s">
        <v>19</v>
      </c>
      <c r="E4039">
        <v>24</v>
      </c>
      <c r="F4039" t="s">
        <v>31</v>
      </c>
      <c r="G4039" t="s">
        <v>34</v>
      </c>
      <c r="H4039" s="1">
        <v>115.1</v>
      </c>
      <c r="I4039" t="s">
        <v>24</v>
      </c>
      <c r="J4039">
        <v>1</v>
      </c>
      <c r="K4039">
        <v>5</v>
      </c>
    </row>
    <row r="4040" spans="1:11" x14ac:dyDescent="0.35">
      <c r="A4040" t="s">
        <v>4077</v>
      </c>
      <c r="B4040">
        <v>46</v>
      </c>
      <c r="C4040" t="s">
        <v>18</v>
      </c>
      <c r="D4040" t="s">
        <v>41</v>
      </c>
      <c r="E4040">
        <v>3</v>
      </c>
      <c r="F4040" t="s">
        <v>31</v>
      </c>
      <c r="G4040" t="s">
        <v>27</v>
      </c>
      <c r="H4040" s="1">
        <v>106.11</v>
      </c>
      <c r="I4040" t="s">
        <v>24</v>
      </c>
      <c r="J4040">
        <v>0</v>
      </c>
      <c r="K4040">
        <v>10</v>
      </c>
    </row>
    <row r="4041" spans="1:11" x14ac:dyDescent="0.35">
      <c r="A4041" t="s">
        <v>4078</v>
      </c>
      <c r="B4041">
        <v>59</v>
      </c>
      <c r="C4041" t="s">
        <v>18</v>
      </c>
      <c r="D4041" t="s">
        <v>41</v>
      </c>
      <c r="E4041">
        <v>7</v>
      </c>
      <c r="F4041" t="s">
        <v>26</v>
      </c>
      <c r="G4041" t="s">
        <v>23</v>
      </c>
      <c r="H4041" s="1">
        <v>180.75</v>
      </c>
      <c r="I4041" t="s">
        <v>24</v>
      </c>
      <c r="J4041">
        <v>1</v>
      </c>
      <c r="K4041">
        <v>9</v>
      </c>
    </row>
    <row r="4042" spans="1:11" x14ac:dyDescent="0.35">
      <c r="A4042" t="s">
        <v>4079</v>
      </c>
      <c r="B4042">
        <v>72</v>
      </c>
      <c r="C4042" t="s">
        <v>18</v>
      </c>
      <c r="D4042" t="s">
        <v>19</v>
      </c>
      <c r="E4042">
        <v>14</v>
      </c>
      <c r="F4042" t="s">
        <v>33</v>
      </c>
      <c r="G4042" t="s">
        <v>27</v>
      </c>
      <c r="H4042" s="1">
        <v>60.37</v>
      </c>
      <c r="I4042" t="s">
        <v>24</v>
      </c>
      <c r="J4042">
        <v>0</v>
      </c>
      <c r="K4042">
        <v>7</v>
      </c>
    </row>
    <row r="4043" spans="1:11" x14ac:dyDescent="0.35">
      <c r="A4043" t="s">
        <v>4080</v>
      </c>
      <c r="B4043">
        <v>20</v>
      </c>
      <c r="C4043" t="s">
        <v>18</v>
      </c>
      <c r="D4043" t="s">
        <v>21</v>
      </c>
      <c r="E4043">
        <v>15</v>
      </c>
      <c r="F4043" t="s">
        <v>33</v>
      </c>
      <c r="G4043" t="s">
        <v>27</v>
      </c>
      <c r="H4043" s="1">
        <v>84.09</v>
      </c>
      <c r="I4043" t="s">
        <v>24</v>
      </c>
      <c r="J4043">
        <v>0</v>
      </c>
      <c r="K4043">
        <v>8</v>
      </c>
    </row>
    <row r="4044" spans="1:11" x14ac:dyDescent="0.35">
      <c r="A4044" t="s">
        <v>4081</v>
      </c>
      <c r="B4044">
        <v>40</v>
      </c>
      <c r="C4044" t="s">
        <v>18</v>
      </c>
      <c r="D4044" t="s">
        <v>21</v>
      </c>
      <c r="E4044">
        <v>25</v>
      </c>
      <c r="F4044" t="s">
        <v>22</v>
      </c>
      <c r="G4044" t="s">
        <v>23</v>
      </c>
      <c r="H4044" s="1">
        <v>205</v>
      </c>
      <c r="I4044" t="s">
        <v>28</v>
      </c>
      <c r="J4044">
        <v>2</v>
      </c>
      <c r="K4044">
        <v>4</v>
      </c>
    </row>
    <row r="4045" spans="1:11" x14ac:dyDescent="0.35">
      <c r="A4045" t="s">
        <v>4082</v>
      </c>
      <c r="B4045">
        <v>77</v>
      </c>
      <c r="C4045" t="s">
        <v>12</v>
      </c>
      <c r="D4045" t="s">
        <v>19</v>
      </c>
      <c r="E4045">
        <v>11</v>
      </c>
      <c r="F4045" t="s">
        <v>22</v>
      </c>
      <c r="G4045" t="s">
        <v>37</v>
      </c>
      <c r="H4045" s="1">
        <v>188.2</v>
      </c>
      <c r="I4045" t="s">
        <v>24</v>
      </c>
      <c r="J4045">
        <v>3</v>
      </c>
      <c r="K4045">
        <v>7</v>
      </c>
    </row>
    <row r="4046" spans="1:11" x14ac:dyDescent="0.35">
      <c r="A4046" t="s">
        <v>4083</v>
      </c>
      <c r="B4046">
        <v>84</v>
      </c>
      <c r="C4046" t="s">
        <v>18</v>
      </c>
      <c r="D4046" t="s">
        <v>21</v>
      </c>
      <c r="E4046">
        <v>25</v>
      </c>
      <c r="F4046" t="s">
        <v>22</v>
      </c>
      <c r="G4046" t="s">
        <v>15</v>
      </c>
      <c r="H4046" s="1">
        <v>397.68</v>
      </c>
      <c r="I4046" t="s">
        <v>24</v>
      </c>
      <c r="J4046">
        <v>1</v>
      </c>
      <c r="K4046">
        <v>4</v>
      </c>
    </row>
    <row r="4047" spans="1:11" x14ac:dyDescent="0.35">
      <c r="A4047" t="s">
        <v>4084</v>
      </c>
      <c r="B4047">
        <v>77</v>
      </c>
      <c r="C4047" t="s">
        <v>18</v>
      </c>
      <c r="D4047" t="s">
        <v>21</v>
      </c>
      <c r="E4047">
        <v>43</v>
      </c>
      <c r="F4047" t="s">
        <v>31</v>
      </c>
      <c r="G4047" t="s">
        <v>23</v>
      </c>
      <c r="H4047" s="1">
        <v>198.98</v>
      </c>
      <c r="I4047" t="s">
        <v>24</v>
      </c>
      <c r="J4047">
        <v>2</v>
      </c>
      <c r="K4047">
        <v>5</v>
      </c>
    </row>
    <row r="4048" spans="1:11" x14ac:dyDescent="0.35">
      <c r="A4048" t="s">
        <v>4085</v>
      </c>
      <c r="B4048">
        <v>49</v>
      </c>
      <c r="C4048" t="s">
        <v>18</v>
      </c>
      <c r="D4048" t="s">
        <v>21</v>
      </c>
      <c r="E4048">
        <v>37</v>
      </c>
      <c r="F4048" t="s">
        <v>26</v>
      </c>
      <c r="G4048" t="s">
        <v>34</v>
      </c>
      <c r="H4048" s="1">
        <v>143.4</v>
      </c>
      <c r="I4048" t="s">
        <v>24</v>
      </c>
      <c r="J4048">
        <v>2</v>
      </c>
      <c r="K4048">
        <v>3</v>
      </c>
    </row>
    <row r="4049" spans="1:11" x14ac:dyDescent="0.35">
      <c r="A4049" t="s">
        <v>4086</v>
      </c>
      <c r="B4049">
        <v>83</v>
      </c>
      <c r="C4049" t="s">
        <v>12</v>
      </c>
      <c r="D4049" t="s">
        <v>19</v>
      </c>
      <c r="E4049">
        <v>16</v>
      </c>
      <c r="F4049" t="s">
        <v>33</v>
      </c>
      <c r="G4049" t="s">
        <v>23</v>
      </c>
      <c r="H4049" s="1">
        <v>160.99</v>
      </c>
      <c r="I4049" t="s">
        <v>24</v>
      </c>
      <c r="J4049">
        <v>0</v>
      </c>
      <c r="K4049">
        <v>6</v>
      </c>
    </row>
    <row r="4050" spans="1:11" x14ac:dyDescent="0.35">
      <c r="A4050" t="s">
        <v>4087</v>
      </c>
      <c r="B4050">
        <v>67</v>
      </c>
      <c r="C4050" t="s">
        <v>12</v>
      </c>
      <c r="D4050" t="s">
        <v>21</v>
      </c>
      <c r="E4050">
        <v>37</v>
      </c>
      <c r="F4050" t="s">
        <v>33</v>
      </c>
      <c r="G4050" t="s">
        <v>15</v>
      </c>
      <c r="H4050" s="1">
        <v>372.56</v>
      </c>
      <c r="I4050" t="s">
        <v>43</v>
      </c>
      <c r="J4050">
        <v>4</v>
      </c>
      <c r="K4050">
        <v>1</v>
      </c>
    </row>
    <row r="4051" spans="1:11" x14ac:dyDescent="0.35">
      <c r="A4051" t="s">
        <v>4088</v>
      </c>
      <c r="B4051">
        <v>60</v>
      </c>
      <c r="C4051" t="s">
        <v>18</v>
      </c>
      <c r="D4051" t="s">
        <v>19</v>
      </c>
      <c r="E4051">
        <v>24</v>
      </c>
      <c r="F4051" t="s">
        <v>22</v>
      </c>
      <c r="G4051" t="s">
        <v>23</v>
      </c>
      <c r="H4051" s="1">
        <v>341.41</v>
      </c>
      <c r="I4051" t="s">
        <v>28</v>
      </c>
      <c r="J4051">
        <v>1</v>
      </c>
      <c r="K4051">
        <v>5</v>
      </c>
    </row>
    <row r="4052" spans="1:11" x14ac:dyDescent="0.35">
      <c r="A4052" t="s">
        <v>4089</v>
      </c>
      <c r="B4052">
        <v>58</v>
      </c>
      <c r="C4052" t="s">
        <v>18</v>
      </c>
      <c r="D4052" t="s">
        <v>13</v>
      </c>
      <c r="E4052">
        <v>16</v>
      </c>
      <c r="F4052" t="s">
        <v>22</v>
      </c>
      <c r="G4052" t="s">
        <v>23</v>
      </c>
      <c r="H4052" s="1">
        <v>465.38</v>
      </c>
      <c r="I4052" t="s">
        <v>24</v>
      </c>
      <c r="J4052">
        <v>2</v>
      </c>
      <c r="K4052">
        <v>4</v>
      </c>
    </row>
    <row r="4053" spans="1:11" x14ac:dyDescent="0.35">
      <c r="A4053" t="s">
        <v>4090</v>
      </c>
      <c r="B4053">
        <v>59</v>
      </c>
      <c r="C4053" t="s">
        <v>18</v>
      </c>
      <c r="D4053" t="s">
        <v>19</v>
      </c>
      <c r="E4053">
        <v>10</v>
      </c>
      <c r="F4053" t="s">
        <v>31</v>
      </c>
      <c r="G4053" t="s">
        <v>23</v>
      </c>
      <c r="H4053" s="1">
        <v>177.39</v>
      </c>
      <c r="I4053" t="s">
        <v>24</v>
      </c>
      <c r="J4053">
        <v>1</v>
      </c>
      <c r="K4053">
        <v>6</v>
      </c>
    </row>
    <row r="4054" spans="1:11" x14ac:dyDescent="0.35">
      <c r="A4054" t="s">
        <v>4091</v>
      </c>
      <c r="B4054">
        <v>58</v>
      </c>
      <c r="C4054" t="s">
        <v>12</v>
      </c>
      <c r="D4054" t="s">
        <v>41</v>
      </c>
      <c r="E4054">
        <v>12</v>
      </c>
      <c r="F4054" t="s">
        <v>22</v>
      </c>
      <c r="G4054" t="s">
        <v>15</v>
      </c>
      <c r="H4054" s="1">
        <v>243.85</v>
      </c>
      <c r="I4054" t="s">
        <v>24</v>
      </c>
      <c r="J4054">
        <v>0</v>
      </c>
      <c r="K4054">
        <v>8</v>
      </c>
    </row>
    <row r="4055" spans="1:11" x14ac:dyDescent="0.35">
      <c r="A4055" t="s">
        <v>4092</v>
      </c>
      <c r="B4055">
        <v>35</v>
      </c>
      <c r="C4055" t="s">
        <v>18</v>
      </c>
      <c r="D4055" t="s">
        <v>120</v>
      </c>
      <c r="E4055">
        <v>42</v>
      </c>
      <c r="F4055" t="s">
        <v>14</v>
      </c>
      <c r="G4055" t="s">
        <v>15</v>
      </c>
      <c r="H4055" s="1">
        <v>0</v>
      </c>
      <c r="I4055" t="s">
        <v>16</v>
      </c>
      <c r="J4055">
        <v>0</v>
      </c>
      <c r="K4055">
        <v>2</v>
      </c>
    </row>
    <row r="4056" spans="1:11" x14ac:dyDescent="0.35">
      <c r="A4056" t="s">
        <v>4093</v>
      </c>
      <c r="B4056">
        <v>54</v>
      </c>
      <c r="C4056" t="s">
        <v>18</v>
      </c>
      <c r="D4056" t="s">
        <v>13</v>
      </c>
      <c r="E4056">
        <v>10</v>
      </c>
      <c r="F4056" t="s">
        <v>22</v>
      </c>
      <c r="G4056" t="s">
        <v>34</v>
      </c>
      <c r="H4056" s="1">
        <v>147.24</v>
      </c>
      <c r="I4056" t="s">
        <v>28</v>
      </c>
      <c r="J4056">
        <v>3</v>
      </c>
      <c r="K4056">
        <v>5</v>
      </c>
    </row>
    <row r="4057" spans="1:11" x14ac:dyDescent="0.35">
      <c r="A4057" t="s">
        <v>4094</v>
      </c>
      <c r="B4057">
        <v>48</v>
      </c>
      <c r="C4057" t="s">
        <v>12</v>
      </c>
      <c r="D4057" t="s">
        <v>19</v>
      </c>
      <c r="E4057">
        <v>19</v>
      </c>
      <c r="F4057" t="s">
        <v>33</v>
      </c>
      <c r="G4057" t="s">
        <v>34</v>
      </c>
      <c r="H4057" s="1">
        <v>201.14</v>
      </c>
      <c r="I4057" t="s">
        <v>24</v>
      </c>
      <c r="J4057">
        <v>1</v>
      </c>
      <c r="K4057">
        <v>5</v>
      </c>
    </row>
    <row r="4058" spans="1:11" x14ac:dyDescent="0.35">
      <c r="A4058" t="s">
        <v>4095</v>
      </c>
      <c r="B4058">
        <v>47</v>
      </c>
      <c r="C4058" t="s">
        <v>12</v>
      </c>
      <c r="D4058" t="s">
        <v>19</v>
      </c>
      <c r="E4058">
        <v>9</v>
      </c>
      <c r="F4058" t="s">
        <v>33</v>
      </c>
      <c r="G4058" t="s">
        <v>34</v>
      </c>
      <c r="H4058" s="1">
        <v>204.23</v>
      </c>
      <c r="I4058" t="s">
        <v>24</v>
      </c>
      <c r="J4058">
        <v>0</v>
      </c>
      <c r="K4058">
        <v>7</v>
      </c>
    </row>
    <row r="4059" spans="1:11" x14ac:dyDescent="0.35">
      <c r="A4059" t="s">
        <v>4096</v>
      </c>
      <c r="B4059">
        <v>63</v>
      </c>
      <c r="C4059" t="s">
        <v>12</v>
      </c>
      <c r="D4059" t="s">
        <v>21</v>
      </c>
      <c r="E4059">
        <v>28</v>
      </c>
      <c r="F4059" t="s">
        <v>31</v>
      </c>
      <c r="G4059" t="s">
        <v>23</v>
      </c>
      <c r="H4059" s="1">
        <v>454.99</v>
      </c>
      <c r="I4059" t="s">
        <v>24</v>
      </c>
      <c r="J4059">
        <v>4</v>
      </c>
      <c r="K4059">
        <v>4</v>
      </c>
    </row>
    <row r="4060" spans="1:11" x14ac:dyDescent="0.35">
      <c r="A4060" t="s">
        <v>4097</v>
      </c>
      <c r="B4060">
        <v>40</v>
      </c>
      <c r="C4060" t="s">
        <v>12</v>
      </c>
      <c r="D4060" t="s">
        <v>13</v>
      </c>
      <c r="E4060">
        <v>22</v>
      </c>
      <c r="F4060" t="s">
        <v>22</v>
      </c>
      <c r="G4060" t="s">
        <v>34</v>
      </c>
      <c r="H4060" s="1">
        <v>201.78</v>
      </c>
      <c r="I4060" t="s">
        <v>24</v>
      </c>
      <c r="J4060">
        <v>4</v>
      </c>
      <c r="K4060">
        <v>3</v>
      </c>
    </row>
    <row r="4061" spans="1:11" x14ac:dyDescent="0.35">
      <c r="A4061" t="s">
        <v>4098</v>
      </c>
      <c r="B4061">
        <v>41</v>
      </c>
      <c r="C4061" t="s">
        <v>12</v>
      </c>
      <c r="D4061" t="s">
        <v>13</v>
      </c>
      <c r="E4061">
        <v>7</v>
      </c>
      <c r="F4061" t="s">
        <v>22</v>
      </c>
      <c r="G4061" t="s">
        <v>15</v>
      </c>
      <c r="H4061" s="1">
        <v>232.28</v>
      </c>
      <c r="I4061" t="s">
        <v>24</v>
      </c>
      <c r="J4061">
        <v>2</v>
      </c>
      <c r="K4061">
        <v>9</v>
      </c>
    </row>
    <row r="4062" spans="1:11" x14ac:dyDescent="0.35">
      <c r="A4062" t="s">
        <v>4099</v>
      </c>
      <c r="B4062">
        <v>39</v>
      </c>
      <c r="C4062" t="s">
        <v>12</v>
      </c>
      <c r="D4062" t="s">
        <v>30</v>
      </c>
      <c r="E4062">
        <v>6</v>
      </c>
      <c r="F4062" t="s">
        <v>22</v>
      </c>
      <c r="G4062" t="s">
        <v>15</v>
      </c>
      <c r="H4062" s="1">
        <v>439.29</v>
      </c>
      <c r="I4062" t="s">
        <v>24</v>
      </c>
      <c r="J4062">
        <v>1</v>
      </c>
      <c r="K4062">
        <v>10</v>
      </c>
    </row>
    <row r="4063" spans="1:11" x14ac:dyDescent="0.35">
      <c r="A4063" t="s">
        <v>4100</v>
      </c>
      <c r="B4063">
        <v>76</v>
      </c>
      <c r="C4063" t="s">
        <v>12</v>
      </c>
      <c r="D4063" t="s">
        <v>19</v>
      </c>
      <c r="E4063">
        <v>21</v>
      </c>
      <c r="F4063" t="s">
        <v>22</v>
      </c>
      <c r="G4063" t="s">
        <v>23</v>
      </c>
      <c r="H4063" s="1">
        <v>569.96</v>
      </c>
      <c r="I4063" t="s">
        <v>43</v>
      </c>
      <c r="J4063">
        <v>2</v>
      </c>
      <c r="K4063">
        <v>1</v>
      </c>
    </row>
    <row r="4064" spans="1:11" x14ac:dyDescent="0.35">
      <c r="A4064" t="s">
        <v>4101</v>
      </c>
      <c r="B4064">
        <v>27</v>
      </c>
      <c r="C4064" t="s">
        <v>18</v>
      </c>
      <c r="D4064" t="s">
        <v>19</v>
      </c>
      <c r="E4064">
        <v>11</v>
      </c>
      <c r="F4064" t="s">
        <v>26</v>
      </c>
      <c r="G4064" t="s">
        <v>34</v>
      </c>
      <c r="H4064" s="1">
        <v>125.38</v>
      </c>
      <c r="I4064" t="s">
        <v>24</v>
      </c>
      <c r="J4064">
        <v>0</v>
      </c>
      <c r="K4064">
        <v>5</v>
      </c>
    </row>
    <row r="4065" spans="1:11" x14ac:dyDescent="0.35">
      <c r="A4065" t="s">
        <v>4102</v>
      </c>
      <c r="B4065">
        <v>77</v>
      </c>
      <c r="C4065" t="s">
        <v>18</v>
      </c>
      <c r="D4065" t="s">
        <v>19</v>
      </c>
      <c r="E4065">
        <v>17</v>
      </c>
      <c r="F4065" t="s">
        <v>14</v>
      </c>
      <c r="G4065" t="s">
        <v>15</v>
      </c>
      <c r="H4065" s="1">
        <v>0</v>
      </c>
      <c r="I4065" t="s">
        <v>16</v>
      </c>
      <c r="J4065">
        <v>3</v>
      </c>
      <c r="K4065">
        <v>8</v>
      </c>
    </row>
    <row r="4066" spans="1:11" x14ac:dyDescent="0.35">
      <c r="A4066" t="s">
        <v>4103</v>
      </c>
      <c r="B4066">
        <v>37</v>
      </c>
      <c r="C4066" t="s">
        <v>18</v>
      </c>
      <c r="D4066" t="s">
        <v>19</v>
      </c>
      <c r="E4066">
        <v>20</v>
      </c>
      <c r="F4066" t="s">
        <v>33</v>
      </c>
      <c r="G4066" t="s">
        <v>15</v>
      </c>
      <c r="H4066" s="1">
        <v>402.37</v>
      </c>
      <c r="I4066" t="s">
        <v>24</v>
      </c>
      <c r="J4066">
        <v>1</v>
      </c>
      <c r="K4066">
        <v>4</v>
      </c>
    </row>
    <row r="4067" spans="1:11" x14ac:dyDescent="0.35">
      <c r="A4067" t="s">
        <v>4104</v>
      </c>
      <c r="B4067">
        <v>30</v>
      </c>
      <c r="C4067" t="s">
        <v>18</v>
      </c>
      <c r="D4067" t="s">
        <v>19</v>
      </c>
      <c r="E4067">
        <v>18</v>
      </c>
      <c r="F4067" t="s">
        <v>22</v>
      </c>
      <c r="G4067" t="s">
        <v>37</v>
      </c>
      <c r="H4067" s="1">
        <v>127.09</v>
      </c>
      <c r="I4067" t="s">
        <v>28</v>
      </c>
      <c r="J4067">
        <v>1</v>
      </c>
      <c r="K4067">
        <v>7</v>
      </c>
    </row>
    <row r="4068" spans="1:11" x14ac:dyDescent="0.35">
      <c r="A4068" t="s">
        <v>4105</v>
      </c>
      <c r="B4068">
        <v>55</v>
      </c>
      <c r="C4068" t="s">
        <v>12</v>
      </c>
      <c r="D4068" t="s">
        <v>30</v>
      </c>
      <c r="E4068">
        <v>7</v>
      </c>
      <c r="F4068" t="s">
        <v>22</v>
      </c>
      <c r="G4068" t="s">
        <v>23</v>
      </c>
      <c r="H4068" s="1">
        <v>521.35</v>
      </c>
      <c r="I4068" t="s">
        <v>24</v>
      </c>
      <c r="J4068">
        <v>0</v>
      </c>
      <c r="K4068">
        <v>9</v>
      </c>
    </row>
    <row r="4069" spans="1:11" x14ac:dyDescent="0.35">
      <c r="A4069" t="s">
        <v>4106</v>
      </c>
      <c r="B4069">
        <v>55</v>
      </c>
      <c r="C4069" t="s">
        <v>12</v>
      </c>
      <c r="D4069" t="s">
        <v>47</v>
      </c>
      <c r="E4069">
        <v>14</v>
      </c>
      <c r="F4069" t="s">
        <v>26</v>
      </c>
      <c r="G4069" t="s">
        <v>34</v>
      </c>
      <c r="H4069" s="1">
        <v>113.74</v>
      </c>
      <c r="I4069" t="s">
        <v>24</v>
      </c>
      <c r="J4069">
        <v>2</v>
      </c>
      <c r="K4069">
        <v>8</v>
      </c>
    </row>
    <row r="4070" spans="1:11" x14ac:dyDescent="0.35">
      <c r="A4070" t="s">
        <v>4107</v>
      </c>
      <c r="B4070">
        <v>36</v>
      </c>
      <c r="C4070" t="s">
        <v>18</v>
      </c>
      <c r="D4070" t="s">
        <v>30</v>
      </c>
      <c r="E4070">
        <v>7</v>
      </c>
      <c r="F4070" t="s">
        <v>22</v>
      </c>
      <c r="G4070" t="s">
        <v>37</v>
      </c>
      <c r="H4070" s="1">
        <v>190.23</v>
      </c>
      <c r="I4070" t="s">
        <v>28</v>
      </c>
      <c r="J4070">
        <v>0</v>
      </c>
      <c r="K4070">
        <v>10</v>
      </c>
    </row>
    <row r="4071" spans="1:11" x14ac:dyDescent="0.35">
      <c r="A4071" t="s">
        <v>4108</v>
      </c>
      <c r="B4071">
        <v>64</v>
      </c>
      <c r="C4071" t="s">
        <v>18</v>
      </c>
      <c r="D4071" t="s">
        <v>19</v>
      </c>
      <c r="E4071">
        <v>7</v>
      </c>
      <c r="F4071" t="s">
        <v>26</v>
      </c>
      <c r="G4071" t="s">
        <v>27</v>
      </c>
      <c r="H4071" s="1">
        <v>51.37</v>
      </c>
      <c r="I4071" t="s">
        <v>24</v>
      </c>
      <c r="J4071">
        <v>1</v>
      </c>
      <c r="K4071">
        <v>10</v>
      </c>
    </row>
    <row r="4072" spans="1:11" x14ac:dyDescent="0.35">
      <c r="A4072" t="s">
        <v>4109</v>
      </c>
      <c r="B4072">
        <v>33</v>
      </c>
      <c r="C4072" t="s">
        <v>12</v>
      </c>
      <c r="D4072" t="s">
        <v>21</v>
      </c>
      <c r="E4072">
        <v>15</v>
      </c>
      <c r="F4072" t="s">
        <v>22</v>
      </c>
      <c r="G4072" t="s">
        <v>37</v>
      </c>
      <c r="H4072" s="1">
        <v>146.69999999999999</v>
      </c>
      <c r="I4072" t="s">
        <v>43</v>
      </c>
      <c r="J4072">
        <v>3</v>
      </c>
      <c r="K4072">
        <v>7</v>
      </c>
    </row>
    <row r="4073" spans="1:11" x14ac:dyDescent="0.35">
      <c r="A4073" t="s">
        <v>4110</v>
      </c>
      <c r="B4073">
        <v>56</v>
      </c>
      <c r="C4073" t="s">
        <v>18</v>
      </c>
      <c r="D4073" t="s">
        <v>21</v>
      </c>
      <c r="E4073">
        <v>42</v>
      </c>
      <c r="F4073" t="s">
        <v>33</v>
      </c>
      <c r="G4073" t="s">
        <v>34</v>
      </c>
      <c r="H4073" s="1">
        <v>173.08</v>
      </c>
      <c r="I4073" t="s">
        <v>24</v>
      </c>
      <c r="J4073">
        <v>3</v>
      </c>
      <c r="K4073">
        <v>1</v>
      </c>
    </row>
    <row r="4074" spans="1:11" x14ac:dyDescent="0.35">
      <c r="A4074" t="s">
        <v>4111</v>
      </c>
      <c r="B4074">
        <v>28</v>
      </c>
      <c r="C4074" t="s">
        <v>12</v>
      </c>
      <c r="D4074" t="s">
        <v>21</v>
      </c>
      <c r="E4074">
        <v>19</v>
      </c>
      <c r="F4074" t="s">
        <v>31</v>
      </c>
      <c r="G4074" t="s">
        <v>34</v>
      </c>
      <c r="H4074" s="1">
        <v>144.62</v>
      </c>
      <c r="I4074" t="s">
        <v>24</v>
      </c>
      <c r="J4074">
        <v>4</v>
      </c>
      <c r="K4074">
        <v>3</v>
      </c>
    </row>
    <row r="4075" spans="1:11" x14ac:dyDescent="0.35">
      <c r="A4075" t="s">
        <v>4112</v>
      </c>
      <c r="B4075">
        <v>84</v>
      </c>
      <c r="C4075" t="s">
        <v>18</v>
      </c>
      <c r="D4075" t="s">
        <v>47</v>
      </c>
      <c r="E4075">
        <v>7</v>
      </c>
      <c r="F4075" t="s">
        <v>33</v>
      </c>
      <c r="G4075" t="s">
        <v>23</v>
      </c>
      <c r="H4075" s="1">
        <v>416.24</v>
      </c>
      <c r="I4075" t="s">
        <v>24</v>
      </c>
      <c r="J4075">
        <v>0</v>
      </c>
      <c r="K4075">
        <v>10</v>
      </c>
    </row>
    <row r="4076" spans="1:11" x14ac:dyDescent="0.35">
      <c r="A4076" t="s">
        <v>4113</v>
      </c>
      <c r="B4076">
        <v>18</v>
      </c>
      <c r="C4076" t="s">
        <v>18</v>
      </c>
      <c r="D4076" t="s">
        <v>41</v>
      </c>
      <c r="E4076">
        <v>12</v>
      </c>
      <c r="F4076" t="s">
        <v>22</v>
      </c>
      <c r="G4076" t="s">
        <v>34</v>
      </c>
      <c r="H4076" s="1">
        <v>150.66</v>
      </c>
      <c r="I4076" t="s">
        <v>24</v>
      </c>
      <c r="J4076">
        <v>2</v>
      </c>
      <c r="K4076">
        <v>5</v>
      </c>
    </row>
    <row r="4077" spans="1:11" x14ac:dyDescent="0.35">
      <c r="A4077" t="s">
        <v>4114</v>
      </c>
      <c r="B4077">
        <v>19</v>
      </c>
      <c r="C4077" t="s">
        <v>12</v>
      </c>
      <c r="D4077" t="s">
        <v>13</v>
      </c>
      <c r="E4077">
        <v>22</v>
      </c>
      <c r="F4077" t="s">
        <v>31</v>
      </c>
      <c r="G4077" t="s">
        <v>34</v>
      </c>
      <c r="H4077" s="1">
        <v>95.58</v>
      </c>
      <c r="I4077" t="s">
        <v>24</v>
      </c>
      <c r="J4077">
        <v>1</v>
      </c>
      <c r="K4077">
        <v>1</v>
      </c>
    </row>
    <row r="4078" spans="1:11" x14ac:dyDescent="0.35">
      <c r="A4078" t="s">
        <v>4115</v>
      </c>
      <c r="B4078">
        <v>49</v>
      </c>
      <c r="C4078" t="s">
        <v>18</v>
      </c>
      <c r="D4078" t="s">
        <v>57</v>
      </c>
      <c r="E4078">
        <v>46</v>
      </c>
      <c r="F4078" t="s">
        <v>31</v>
      </c>
      <c r="G4078" t="s">
        <v>34</v>
      </c>
      <c r="H4078" s="1">
        <v>173.36</v>
      </c>
      <c r="I4078" t="s">
        <v>24</v>
      </c>
      <c r="J4078">
        <v>1</v>
      </c>
      <c r="K4078">
        <v>2</v>
      </c>
    </row>
    <row r="4079" spans="1:11" x14ac:dyDescent="0.35">
      <c r="A4079" t="s">
        <v>4116</v>
      </c>
      <c r="B4079">
        <v>44</v>
      </c>
      <c r="C4079" t="s">
        <v>12</v>
      </c>
      <c r="D4079" t="s">
        <v>57</v>
      </c>
      <c r="E4079">
        <v>43</v>
      </c>
      <c r="F4079" t="s">
        <v>22</v>
      </c>
      <c r="G4079" t="s">
        <v>34</v>
      </c>
      <c r="H4079" s="1">
        <v>95.52</v>
      </c>
      <c r="I4079" t="s">
        <v>24</v>
      </c>
      <c r="J4079">
        <v>1</v>
      </c>
      <c r="K4079">
        <v>4</v>
      </c>
    </row>
    <row r="4080" spans="1:11" x14ac:dyDescent="0.35">
      <c r="A4080" t="s">
        <v>4117</v>
      </c>
      <c r="B4080">
        <v>36</v>
      </c>
      <c r="C4080" t="s">
        <v>18</v>
      </c>
      <c r="D4080" t="s">
        <v>19</v>
      </c>
      <c r="E4080">
        <v>19</v>
      </c>
      <c r="F4080" t="s">
        <v>33</v>
      </c>
      <c r="G4080" t="s">
        <v>34</v>
      </c>
      <c r="H4080" s="1">
        <v>150.68</v>
      </c>
      <c r="I4080" t="s">
        <v>28</v>
      </c>
      <c r="J4080">
        <v>1</v>
      </c>
      <c r="K4080">
        <v>1</v>
      </c>
    </row>
    <row r="4081" spans="1:11" x14ac:dyDescent="0.35">
      <c r="A4081" t="s">
        <v>4118</v>
      </c>
      <c r="B4081">
        <v>31</v>
      </c>
      <c r="C4081" t="s">
        <v>12</v>
      </c>
      <c r="D4081" t="s">
        <v>30</v>
      </c>
      <c r="E4081">
        <v>11</v>
      </c>
      <c r="F4081" t="s">
        <v>33</v>
      </c>
      <c r="G4081" t="s">
        <v>27</v>
      </c>
      <c r="H4081" s="1">
        <v>39.4</v>
      </c>
      <c r="I4081" t="s">
        <v>24</v>
      </c>
      <c r="J4081">
        <v>1</v>
      </c>
      <c r="K4081">
        <v>8</v>
      </c>
    </row>
    <row r="4082" spans="1:11" x14ac:dyDescent="0.35">
      <c r="A4082" t="s">
        <v>4119</v>
      </c>
      <c r="B4082">
        <v>38</v>
      </c>
      <c r="C4082" t="s">
        <v>12</v>
      </c>
      <c r="D4082" t="s">
        <v>21</v>
      </c>
      <c r="E4082">
        <v>32</v>
      </c>
      <c r="F4082" t="s">
        <v>22</v>
      </c>
      <c r="G4082" t="s">
        <v>27</v>
      </c>
      <c r="H4082" s="1">
        <v>94.53</v>
      </c>
      <c r="I4082" t="s">
        <v>24</v>
      </c>
      <c r="J4082">
        <v>3</v>
      </c>
      <c r="K4082">
        <v>1</v>
      </c>
    </row>
    <row r="4083" spans="1:11" x14ac:dyDescent="0.35">
      <c r="A4083" t="s">
        <v>4120</v>
      </c>
      <c r="B4083">
        <v>76</v>
      </c>
      <c r="C4083" t="s">
        <v>12</v>
      </c>
      <c r="D4083" t="s">
        <v>30</v>
      </c>
      <c r="E4083">
        <v>14</v>
      </c>
      <c r="F4083" t="s">
        <v>22</v>
      </c>
      <c r="G4083" t="s">
        <v>34</v>
      </c>
      <c r="H4083" s="1">
        <v>197.1</v>
      </c>
      <c r="I4083" t="s">
        <v>24</v>
      </c>
      <c r="J4083">
        <v>1</v>
      </c>
      <c r="K4083">
        <v>5</v>
      </c>
    </row>
    <row r="4084" spans="1:11" x14ac:dyDescent="0.35">
      <c r="A4084" t="s">
        <v>4121</v>
      </c>
      <c r="B4084">
        <v>31</v>
      </c>
      <c r="C4084" t="s">
        <v>12</v>
      </c>
      <c r="D4084" t="s">
        <v>19</v>
      </c>
      <c r="E4084">
        <v>19</v>
      </c>
      <c r="F4084" t="s">
        <v>22</v>
      </c>
      <c r="G4084" t="s">
        <v>15</v>
      </c>
      <c r="H4084" s="1">
        <v>439.14</v>
      </c>
      <c r="I4084" t="s">
        <v>24</v>
      </c>
      <c r="J4084">
        <v>1</v>
      </c>
      <c r="K4084">
        <v>5</v>
      </c>
    </row>
    <row r="4085" spans="1:11" x14ac:dyDescent="0.35">
      <c r="A4085" t="s">
        <v>4122</v>
      </c>
      <c r="B4085">
        <v>81</v>
      </c>
      <c r="C4085" t="s">
        <v>18</v>
      </c>
      <c r="D4085" t="s">
        <v>13</v>
      </c>
      <c r="E4085">
        <v>11</v>
      </c>
      <c r="F4085" t="s">
        <v>33</v>
      </c>
      <c r="G4085" t="s">
        <v>23</v>
      </c>
      <c r="H4085" s="1">
        <v>408.1</v>
      </c>
      <c r="I4085" t="s">
        <v>43</v>
      </c>
      <c r="J4085">
        <v>2</v>
      </c>
      <c r="K4085">
        <v>6</v>
      </c>
    </row>
    <row r="4086" spans="1:11" x14ac:dyDescent="0.35">
      <c r="A4086" t="s">
        <v>4123</v>
      </c>
      <c r="B4086">
        <v>48</v>
      </c>
      <c r="C4086" t="s">
        <v>18</v>
      </c>
      <c r="D4086" t="s">
        <v>19</v>
      </c>
      <c r="E4086">
        <v>7</v>
      </c>
      <c r="F4086" t="s">
        <v>22</v>
      </c>
      <c r="G4086" t="s">
        <v>27</v>
      </c>
      <c r="H4086" s="1">
        <v>85.26</v>
      </c>
      <c r="I4086" t="s">
        <v>28</v>
      </c>
      <c r="J4086">
        <v>0</v>
      </c>
      <c r="K4086">
        <v>10</v>
      </c>
    </row>
    <row r="4087" spans="1:11" x14ac:dyDescent="0.35">
      <c r="A4087" t="s">
        <v>4124</v>
      </c>
      <c r="B4087">
        <v>21</v>
      </c>
      <c r="C4087" t="s">
        <v>12</v>
      </c>
      <c r="D4087" t="s">
        <v>21</v>
      </c>
      <c r="E4087">
        <v>39</v>
      </c>
      <c r="F4087" t="s">
        <v>14</v>
      </c>
      <c r="G4087" t="s">
        <v>23</v>
      </c>
      <c r="H4087" s="1">
        <v>0</v>
      </c>
      <c r="I4087" t="s">
        <v>16</v>
      </c>
      <c r="J4087">
        <v>1</v>
      </c>
      <c r="K4087">
        <v>5</v>
      </c>
    </row>
    <row r="4088" spans="1:11" x14ac:dyDescent="0.35">
      <c r="A4088" t="s">
        <v>4125</v>
      </c>
      <c r="B4088">
        <v>32</v>
      </c>
      <c r="C4088" t="s">
        <v>18</v>
      </c>
      <c r="D4088" t="s">
        <v>19</v>
      </c>
      <c r="E4088">
        <v>22</v>
      </c>
      <c r="F4088" t="s">
        <v>22</v>
      </c>
      <c r="G4088" t="s">
        <v>37</v>
      </c>
      <c r="H4088" s="1">
        <v>210.29</v>
      </c>
      <c r="I4088" t="s">
        <v>24</v>
      </c>
      <c r="J4088">
        <v>0</v>
      </c>
      <c r="K4088">
        <v>1</v>
      </c>
    </row>
    <row r="4089" spans="1:11" x14ac:dyDescent="0.35">
      <c r="A4089" t="s">
        <v>4126</v>
      </c>
      <c r="B4089">
        <v>78</v>
      </c>
      <c r="C4089" t="s">
        <v>12</v>
      </c>
      <c r="D4089" t="s">
        <v>19</v>
      </c>
      <c r="E4089">
        <v>10</v>
      </c>
      <c r="F4089" t="s">
        <v>26</v>
      </c>
      <c r="G4089" t="s">
        <v>37</v>
      </c>
      <c r="H4089" s="1">
        <v>161.30000000000001</v>
      </c>
      <c r="I4089" t="s">
        <v>24</v>
      </c>
      <c r="J4089">
        <v>3</v>
      </c>
      <c r="K4089">
        <v>8</v>
      </c>
    </row>
    <row r="4090" spans="1:11" x14ac:dyDescent="0.35">
      <c r="A4090" t="s">
        <v>4127</v>
      </c>
      <c r="B4090">
        <v>52</v>
      </c>
      <c r="C4090" t="s">
        <v>18</v>
      </c>
      <c r="D4090" t="s">
        <v>30</v>
      </c>
      <c r="E4090">
        <v>2</v>
      </c>
      <c r="F4090" t="s">
        <v>33</v>
      </c>
      <c r="G4090" t="s">
        <v>23</v>
      </c>
      <c r="H4090" s="1">
        <v>192.71</v>
      </c>
      <c r="I4090" t="s">
        <v>24</v>
      </c>
      <c r="J4090">
        <v>0</v>
      </c>
      <c r="K4090">
        <v>10</v>
      </c>
    </row>
    <row r="4091" spans="1:11" x14ac:dyDescent="0.35">
      <c r="A4091" t="s">
        <v>4128</v>
      </c>
      <c r="B4091">
        <v>71</v>
      </c>
      <c r="C4091" t="s">
        <v>18</v>
      </c>
      <c r="D4091" t="s">
        <v>57</v>
      </c>
      <c r="E4091">
        <v>29</v>
      </c>
      <c r="F4091" t="s">
        <v>22</v>
      </c>
      <c r="G4091" t="s">
        <v>34</v>
      </c>
      <c r="H4091" s="1">
        <v>98.44</v>
      </c>
      <c r="I4091" t="s">
        <v>24</v>
      </c>
      <c r="J4091">
        <v>1</v>
      </c>
      <c r="K4091">
        <v>5</v>
      </c>
    </row>
    <row r="4092" spans="1:11" x14ac:dyDescent="0.35">
      <c r="A4092" t="s">
        <v>4129</v>
      </c>
      <c r="B4092">
        <v>80</v>
      </c>
      <c r="C4092" t="s">
        <v>18</v>
      </c>
      <c r="D4092" t="s">
        <v>19</v>
      </c>
      <c r="E4092">
        <v>11</v>
      </c>
      <c r="F4092" t="s">
        <v>22</v>
      </c>
      <c r="G4092" t="s">
        <v>27</v>
      </c>
      <c r="H4092" s="1">
        <v>108.52</v>
      </c>
      <c r="I4092" t="s">
        <v>24</v>
      </c>
      <c r="J4092">
        <v>0</v>
      </c>
      <c r="K4092">
        <v>8</v>
      </c>
    </row>
    <row r="4093" spans="1:11" x14ac:dyDescent="0.35">
      <c r="A4093" t="s">
        <v>4130</v>
      </c>
      <c r="B4093">
        <v>68</v>
      </c>
      <c r="C4093" t="s">
        <v>18</v>
      </c>
      <c r="D4093" t="s">
        <v>120</v>
      </c>
      <c r="E4093">
        <v>12</v>
      </c>
      <c r="F4093" t="s">
        <v>26</v>
      </c>
      <c r="G4093" t="s">
        <v>27</v>
      </c>
      <c r="H4093" s="1">
        <v>88.09</v>
      </c>
      <c r="I4093" t="s">
        <v>24</v>
      </c>
      <c r="J4093">
        <v>1</v>
      </c>
      <c r="K4093">
        <v>7</v>
      </c>
    </row>
    <row r="4094" spans="1:11" x14ac:dyDescent="0.35">
      <c r="A4094" t="s">
        <v>4131</v>
      </c>
      <c r="B4094">
        <v>55</v>
      </c>
      <c r="C4094" t="s">
        <v>12</v>
      </c>
      <c r="D4094" t="s">
        <v>30</v>
      </c>
      <c r="E4094">
        <v>14</v>
      </c>
      <c r="F4094" t="s">
        <v>33</v>
      </c>
      <c r="G4094" t="s">
        <v>37</v>
      </c>
      <c r="H4094" s="1">
        <v>113.5</v>
      </c>
      <c r="I4094" t="s">
        <v>24</v>
      </c>
      <c r="J4094">
        <v>1</v>
      </c>
      <c r="K4094">
        <v>6</v>
      </c>
    </row>
    <row r="4095" spans="1:11" x14ac:dyDescent="0.35">
      <c r="A4095" t="s">
        <v>4132</v>
      </c>
      <c r="B4095">
        <v>54</v>
      </c>
      <c r="C4095" t="s">
        <v>12</v>
      </c>
      <c r="D4095" t="s">
        <v>19</v>
      </c>
      <c r="E4095">
        <v>13</v>
      </c>
      <c r="F4095" t="s">
        <v>14</v>
      </c>
      <c r="G4095" t="s">
        <v>37</v>
      </c>
      <c r="H4095" s="1">
        <v>0</v>
      </c>
      <c r="I4095" t="s">
        <v>16</v>
      </c>
      <c r="J4095">
        <v>0</v>
      </c>
      <c r="K4095">
        <v>5</v>
      </c>
    </row>
    <row r="4096" spans="1:11" x14ac:dyDescent="0.35">
      <c r="A4096" t="s">
        <v>4133</v>
      </c>
      <c r="B4096">
        <v>68</v>
      </c>
      <c r="C4096" t="s">
        <v>12</v>
      </c>
      <c r="D4096" t="s">
        <v>13</v>
      </c>
      <c r="E4096">
        <v>19</v>
      </c>
      <c r="F4096" t="s">
        <v>22</v>
      </c>
      <c r="G4096" t="s">
        <v>23</v>
      </c>
      <c r="H4096" s="1">
        <v>67.39</v>
      </c>
      <c r="I4096" t="s">
        <v>24</v>
      </c>
      <c r="J4096">
        <v>3</v>
      </c>
      <c r="K4096">
        <v>1</v>
      </c>
    </row>
    <row r="4097" spans="1:11" x14ac:dyDescent="0.35">
      <c r="A4097" t="s">
        <v>4134</v>
      </c>
      <c r="B4097">
        <v>40</v>
      </c>
      <c r="C4097" t="s">
        <v>12</v>
      </c>
      <c r="D4097" t="s">
        <v>21</v>
      </c>
      <c r="E4097">
        <v>48</v>
      </c>
      <c r="F4097" t="s">
        <v>33</v>
      </c>
      <c r="G4097" t="s">
        <v>27</v>
      </c>
      <c r="H4097" s="1">
        <v>68.11</v>
      </c>
      <c r="I4097" t="s">
        <v>24</v>
      </c>
      <c r="J4097">
        <v>0</v>
      </c>
      <c r="K4097">
        <v>4</v>
      </c>
    </row>
    <row r="4098" spans="1:11" x14ac:dyDescent="0.35">
      <c r="A4098" t="s">
        <v>4135</v>
      </c>
      <c r="B4098">
        <v>81</v>
      </c>
      <c r="C4098" t="s">
        <v>12</v>
      </c>
      <c r="D4098" t="s">
        <v>19</v>
      </c>
      <c r="E4098">
        <v>18</v>
      </c>
      <c r="F4098" t="s">
        <v>22</v>
      </c>
      <c r="G4098" t="s">
        <v>37</v>
      </c>
      <c r="H4098" s="1">
        <v>116.11</v>
      </c>
      <c r="I4098" t="s">
        <v>24</v>
      </c>
      <c r="J4098">
        <v>0</v>
      </c>
      <c r="K4098">
        <v>6</v>
      </c>
    </row>
    <row r="4099" spans="1:11" x14ac:dyDescent="0.35">
      <c r="A4099" t="s">
        <v>4136</v>
      </c>
      <c r="B4099">
        <v>78</v>
      </c>
      <c r="C4099" t="s">
        <v>18</v>
      </c>
      <c r="D4099" t="s">
        <v>13</v>
      </c>
      <c r="E4099">
        <v>11</v>
      </c>
      <c r="F4099" t="s">
        <v>33</v>
      </c>
      <c r="G4099" t="s">
        <v>23</v>
      </c>
      <c r="H4099" s="1">
        <v>415.82</v>
      </c>
      <c r="I4099" t="s">
        <v>24</v>
      </c>
      <c r="J4099">
        <v>1</v>
      </c>
      <c r="K4099">
        <v>5</v>
      </c>
    </row>
    <row r="4100" spans="1:11" x14ac:dyDescent="0.35">
      <c r="A4100" t="s">
        <v>4137</v>
      </c>
      <c r="B4100">
        <v>51</v>
      </c>
      <c r="C4100" t="s">
        <v>12</v>
      </c>
      <c r="D4100" t="s">
        <v>21</v>
      </c>
      <c r="E4100">
        <v>26</v>
      </c>
      <c r="F4100" t="s">
        <v>33</v>
      </c>
      <c r="G4100" t="s">
        <v>23</v>
      </c>
      <c r="H4100" s="1">
        <v>371.77</v>
      </c>
      <c r="I4100" t="s">
        <v>24</v>
      </c>
      <c r="J4100">
        <v>2</v>
      </c>
      <c r="K4100">
        <v>1</v>
      </c>
    </row>
    <row r="4101" spans="1:11" x14ac:dyDescent="0.35">
      <c r="A4101" t="s">
        <v>4138</v>
      </c>
      <c r="B4101">
        <v>50</v>
      </c>
      <c r="C4101" t="s">
        <v>12</v>
      </c>
      <c r="D4101" t="s">
        <v>21</v>
      </c>
      <c r="E4101">
        <v>41</v>
      </c>
      <c r="F4101" t="s">
        <v>26</v>
      </c>
      <c r="G4101" t="s">
        <v>15</v>
      </c>
      <c r="H4101" s="1">
        <v>448.56</v>
      </c>
      <c r="I4101" t="s">
        <v>24</v>
      </c>
      <c r="J4101">
        <v>4</v>
      </c>
      <c r="K4101">
        <v>5</v>
      </c>
    </row>
    <row r="4102" spans="1:11" x14ac:dyDescent="0.35">
      <c r="A4102" t="s">
        <v>4139</v>
      </c>
      <c r="B4102">
        <v>63</v>
      </c>
      <c r="C4102" t="s">
        <v>18</v>
      </c>
      <c r="D4102" t="s">
        <v>13</v>
      </c>
      <c r="E4102">
        <v>13</v>
      </c>
      <c r="F4102" t="s">
        <v>33</v>
      </c>
      <c r="G4102" t="s">
        <v>23</v>
      </c>
      <c r="H4102" s="1">
        <v>563.59</v>
      </c>
      <c r="I4102" t="s">
        <v>24</v>
      </c>
      <c r="J4102">
        <v>1</v>
      </c>
      <c r="K4102">
        <v>8</v>
      </c>
    </row>
    <row r="4103" spans="1:11" x14ac:dyDescent="0.35">
      <c r="A4103" t="s">
        <v>4140</v>
      </c>
      <c r="B4103">
        <v>60</v>
      </c>
      <c r="C4103" t="s">
        <v>12</v>
      </c>
      <c r="D4103" t="s">
        <v>21</v>
      </c>
      <c r="E4103">
        <v>24</v>
      </c>
      <c r="F4103" t="s">
        <v>22</v>
      </c>
      <c r="G4103" t="s">
        <v>15</v>
      </c>
      <c r="H4103" s="1">
        <v>146.85</v>
      </c>
      <c r="I4103" t="s">
        <v>24</v>
      </c>
      <c r="J4103">
        <v>1</v>
      </c>
      <c r="K4103">
        <v>1</v>
      </c>
    </row>
    <row r="4104" spans="1:11" x14ac:dyDescent="0.35">
      <c r="A4104" t="s">
        <v>4141</v>
      </c>
      <c r="B4104">
        <v>84</v>
      </c>
      <c r="C4104" t="s">
        <v>12</v>
      </c>
      <c r="D4104" t="s">
        <v>21</v>
      </c>
      <c r="E4104">
        <v>27</v>
      </c>
      <c r="F4104" t="s">
        <v>14</v>
      </c>
      <c r="G4104" t="s">
        <v>37</v>
      </c>
      <c r="H4104" s="1">
        <v>0</v>
      </c>
      <c r="I4104" t="s">
        <v>16</v>
      </c>
      <c r="J4104">
        <v>4</v>
      </c>
      <c r="K4104">
        <v>2</v>
      </c>
    </row>
    <row r="4105" spans="1:11" x14ac:dyDescent="0.35">
      <c r="A4105" t="s">
        <v>4142</v>
      </c>
      <c r="B4105">
        <v>60</v>
      </c>
      <c r="C4105" t="s">
        <v>12</v>
      </c>
      <c r="D4105" t="s">
        <v>200</v>
      </c>
      <c r="E4105">
        <v>23</v>
      </c>
      <c r="F4105" t="s">
        <v>14</v>
      </c>
      <c r="G4105" t="s">
        <v>15</v>
      </c>
      <c r="H4105" s="1">
        <v>0</v>
      </c>
      <c r="I4105" t="s">
        <v>16</v>
      </c>
      <c r="J4105">
        <v>0</v>
      </c>
      <c r="K4105">
        <v>4</v>
      </c>
    </row>
    <row r="4106" spans="1:11" x14ac:dyDescent="0.35">
      <c r="A4106" t="s">
        <v>4143</v>
      </c>
      <c r="B4106">
        <v>65</v>
      </c>
      <c r="C4106" t="s">
        <v>18</v>
      </c>
      <c r="D4106" t="s">
        <v>21</v>
      </c>
      <c r="E4106">
        <v>42</v>
      </c>
      <c r="F4106" t="s">
        <v>26</v>
      </c>
      <c r="G4106" t="s">
        <v>37</v>
      </c>
      <c r="H4106" s="1">
        <v>197.73</v>
      </c>
      <c r="I4106" t="s">
        <v>24</v>
      </c>
      <c r="J4106">
        <v>4</v>
      </c>
      <c r="K4106">
        <v>4</v>
      </c>
    </row>
    <row r="4107" spans="1:11" x14ac:dyDescent="0.35">
      <c r="A4107" t="s">
        <v>4144</v>
      </c>
      <c r="B4107">
        <v>52</v>
      </c>
      <c r="C4107" t="s">
        <v>12</v>
      </c>
      <c r="D4107" t="s">
        <v>30</v>
      </c>
      <c r="E4107">
        <v>3</v>
      </c>
      <c r="F4107" t="s">
        <v>22</v>
      </c>
      <c r="G4107" t="s">
        <v>34</v>
      </c>
      <c r="H4107" s="1">
        <v>190.39</v>
      </c>
      <c r="I4107" t="s">
        <v>43</v>
      </c>
      <c r="J4107">
        <v>0</v>
      </c>
      <c r="K4107">
        <v>10</v>
      </c>
    </row>
    <row r="4108" spans="1:11" x14ac:dyDescent="0.35">
      <c r="A4108" t="s">
        <v>4145</v>
      </c>
      <c r="B4108">
        <v>85</v>
      </c>
      <c r="C4108" t="s">
        <v>18</v>
      </c>
      <c r="D4108" t="s">
        <v>21</v>
      </c>
      <c r="E4108">
        <v>27</v>
      </c>
      <c r="F4108" t="s">
        <v>33</v>
      </c>
      <c r="G4108" t="s">
        <v>37</v>
      </c>
      <c r="H4108" s="1">
        <v>218.5</v>
      </c>
      <c r="I4108" t="s">
        <v>24</v>
      </c>
      <c r="J4108">
        <v>3</v>
      </c>
      <c r="K4108">
        <v>4</v>
      </c>
    </row>
    <row r="4109" spans="1:11" x14ac:dyDescent="0.35">
      <c r="A4109" t="s">
        <v>4146</v>
      </c>
      <c r="B4109">
        <v>22</v>
      </c>
      <c r="C4109" t="s">
        <v>12</v>
      </c>
      <c r="D4109" t="s">
        <v>21</v>
      </c>
      <c r="E4109">
        <v>41</v>
      </c>
      <c r="F4109" t="s">
        <v>26</v>
      </c>
      <c r="G4109" t="s">
        <v>37</v>
      </c>
      <c r="H4109" s="1">
        <v>114.68</v>
      </c>
      <c r="I4109" t="s">
        <v>24</v>
      </c>
      <c r="J4109">
        <v>1</v>
      </c>
      <c r="K4109">
        <v>2</v>
      </c>
    </row>
    <row r="4110" spans="1:11" x14ac:dyDescent="0.35">
      <c r="A4110" t="s">
        <v>4147</v>
      </c>
      <c r="B4110">
        <v>18</v>
      </c>
      <c r="C4110" t="s">
        <v>18</v>
      </c>
      <c r="D4110" t="s">
        <v>21</v>
      </c>
      <c r="E4110">
        <v>13</v>
      </c>
      <c r="F4110" t="s">
        <v>22</v>
      </c>
      <c r="G4110" t="s">
        <v>27</v>
      </c>
      <c r="H4110" s="1">
        <v>165.54</v>
      </c>
      <c r="I4110" t="s">
        <v>28</v>
      </c>
      <c r="J4110">
        <v>1</v>
      </c>
      <c r="K4110">
        <v>4</v>
      </c>
    </row>
    <row r="4111" spans="1:11" x14ac:dyDescent="0.35">
      <c r="A4111" t="s">
        <v>4148</v>
      </c>
      <c r="B4111">
        <v>54</v>
      </c>
      <c r="C4111" t="s">
        <v>18</v>
      </c>
      <c r="D4111" t="s">
        <v>30</v>
      </c>
      <c r="E4111">
        <v>9</v>
      </c>
      <c r="F4111" t="s">
        <v>26</v>
      </c>
      <c r="G4111" t="s">
        <v>23</v>
      </c>
      <c r="H4111" s="1">
        <v>79.16</v>
      </c>
      <c r="I4111" t="s">
        <v>28</v>
      </c>
      <c r="J4111">
        <v>0</v>
      </c>
      <c r="K4111">
        <v>4</v>
      </c>
    </row>
    <row r="4112" spans="1:11" x14ac:dyDescent="0.35">
      <c r="A4112" t="s">
        <v>4149</v>
      </c>
      <c r="B4112">
        <v>18</v>
      </c>
      <c r="C4112" t="s">
        <v>18</v>
      </c>
      <c r="D4112" t="s">
        <v>19</v>
      </c>
      <c r="E4112">
        <v>16</v>
      </c>
      <c r="F4112" t="s">
        <v>22</v>
      </c>
      <c r="G4112" t="s">
        <v>27</v>
      </c>
      <c r="H4112" s="1">
        <v>45.15</v>
      </c>
      <c r="I4112" t="s">
        <v>28</v>
      </c>
      <c r="J4112">
        <v>3</v>
      </c>
      <c r="K4112">
        <v>5</v>
      </c>
    </row>
    <row r="4113" spans="1:11" x14ac:dyDescent="0.35">
      <c r="A4113" t="s">
        <v>4150</v>
      </c>
      <c r="B4113">
        <v>61</v>
      </c>
      <c r="C4113" t="s">
        <v>12</v>
      </c>
      <c r="D4113" t="s">
        <v>21</v>
      </c>
      <c r="E4113">
        <v>27</v>
      </c>
      <c r="F4113" t="s">
        <v>31</v>
      </c>
      <c r="G4113" t="s">
        <v>37</v>
      </c>
      <c r="H4113" s="1">
        <v>146.22999999999999</v>
      </c>
      <c r="I4113" t="s">
        <v>24</v>
      </c>
      <c r="J4113">
        <v>2</v>
      </c>
      <c r="K4113">
        <v>1</v>
      </c>
    </row>
    <row r="4114" spans="1:11" x14ac:dyDescent="0.35">
      <c r="A4114" t="s">
        <v>4151</v>
      </c>
      <c r="B4114">
        <v>46</v>
      </c>
      <c r="C4114" t="s">
        <v>12</v>
      </c>
      <c r="D4114" t="s">
        <v>19</v>
      </c>
      <c r="E4114">
        <v>24</v>
      </c>
      <c r="F4114" t="s">
        <v>22</v>
      </c>
      <c r="G4114" t="s">
        <v>27</v>
      </c>
      <c r="H4114" s="1">
        <v>92.61</v>
      </c>
      <c r="I4114" t="s">
        <v>24</v>
      </c>
      <c r="J4114">
        <v>2</v>
      </c>
      <c r="K4114">
        <v>3</v>
      </c>
    </row>
    <row r="4115" spans="1:11" x14ac:dyDescent="0.35">
      <c r="A4115" t="s">
        <v>4152</v>
      </c>
      <c r="B4115">
        <v>77</v>
      </c>
      <c r="C4115" t="s">
        <v>18</v>
      </c>
      <c r="D4115" t="s">
        <v>41</v>
      </c>
      <c r="E4115">
        <v>5</v>
      </c>
      <c r="F4115" t="s">
        <v>22</v>
      </c>
      <c r="G4115" t="s">
        <v>34</v>
      </c>
      <c r="H4115" s="1">
        <v>214.52</v>
      </c>
      <c r="I4115" t="s">
        <v>24</v>
      </c>
      <c r="J4115">
        <v>2</v>
      </c>
      <c r="K4115">
        <v>7</v>
      </c>
    </row>
    <row r="4116" spans="1:11" x14ac:dyDescent="0.35">
      <c r="A4116" t="s">
        <v>4153</v>
      </c>
      <c r="B4116">
        <v>64</v>
      </c>
      <c r="C4116" t="s">
        <v>18</v>
      </c>
      <c r="D4116" t="s">
        <v>57</v>
      </c>
      <c r="E4116">
        <v>23</v>
      </c>
      <c r="F4116" t="s">
        <v>26</v>
      </c>
      <c r="G4116" t="s">
        <v>15</v>
      </c>
      <c r="H4116" s="1">
        <v>263.07</v>
      </c>
      <c r="I4116" t="s">
        <v>43</v>
      </c>
      <c r="J4116">
        <v>1</v>
      </c>
      <c r="K4116">
        <v>5</v>
      </c>
    </row>
    <row r="4117" spans="1:11" x14ac:dyDescent="0.35">
      <c r="A4117" t="s">
        <v>4154</v>
      </c>
      <c r="B4117">
        <v>63</v>
      </c>
      <c r="C4117" t="s">
        <v>12</v>
      </c>
      <c r="D4117" t="s">
        <v>47</v>
      </c>
      <c r="E4117">
        <v>11</v>
      </c>
      <c r="F4117" t="s">
        <v>22</v>
      </c>
      <c r="G4117" t="s">
        <v>15</v>
      </c>
      <c r="H4117" s="1">
        <v>189.92</v>
      </c>
      <c r="I4117" t="s">
        <v>43</v>
      </c>
      <c r="J4117">
        <v>0</v>
      </c>
      <c r="K4117">
        <v>7</v>
      </c>
    </row>
    <row r="4118" spans="1:11" x14ac:dyDescent="0.35">
      <c r="A4118" t="s">
        <v>4155</v>
      </c>
      <c r="B4118">
        <v>19</v>
      </c>
      <c r="C4118" t="s">
        <v>12</v>
      </c>
      <c r="D4118" t="s">
        <v>200</v>
      </c>
      <c r="E4118">
        <v>7</v>
      </c>
      <c r="F4118" t="s">
        <v>22</v>
      </c>
      <c r="G4118" t="s">
        <v>34</v>
      </c>
      <c r="H4118" s="1">
        <v>156.74</v>
      </c>
      <c r="I4118" t="s">
        <v>24</v>
      </c>
      <c r="J4118">
        <v>1</v>
      </c>
      <c r="K4118">
        <v>10</v>
      </c>
    </row>
    <row r="4119" spans="1:11" x14ac:dyDescent="0.35">
      <c r="A4119" t="s">
        <v>4156</v>
      </c>
      <c r="B4119">
        <v>53</v>
      </c>
      <c r="C4119" t="s">
        <v>18</v>
      </c>
      <c r="D4119" t="s">
        <v>41</v>
      </c>
      <c r="E4119">
        <v>11</v>
      </c>
      <c r="F4119" t="s">
        <v>31</v>
      </c>
      <c r="G4119" t="s">
        <v>23</v>
      </c>
      <c r="H4119" s="1">
        <v>505.33</v>
      </c>
      <c r="I4119" t="s">
        <v>28</v>
      </c>
      <c r="J4119">
        <v>0</v>
      </c>
      <c r="K4119">
        <v>4</v>
      </c>
    </row>
    <row r="4120" spans="1:11" x14ac:dyDescent="0.35">
      <c r="A4120" t="s">
        <v>4157</v>
      </c>
      <c r="B4120">
        <v>69</v>
      </c>
      <c r="C4120" t="s">
        <v>18</v>
      </c>
      <c r="D4120" t="s">
        <v>19</v>
      </c>
      <c r="E4120">
        <v>13</v>
      </c>
      <c r="F4120" t="s">
        <v>14</v>
      </c>
      <c r="G4120" t="s">
        <v>37</v>
      </c>
      <c r="H4120" s="1">
        <v>0</v>
      </c>
      <c r="I4120" t="s">
        <v>16</v>
      </c>
      <c r="J4120">
        <v>2</v>
      </c>
      <c r="K4120">
        <v>5</v>
      </c>
    </row>
    <row r="4121" spans="1:11" x14ac:dyDescent="0.35">
      <c r="A4121" t="s">
        <v>4158</v>
      </c>
      <c r="B4121">
        <v>61</v>
      </c>
      <c r="C4121" t="s">
        <v>18</v>
      </c>
      <c r="D4121" t="s">
        <v>21</v>
      </c>
      <c r="E4121">
        <v>27</v>
      </c>
      <c r="F4121" t="s">
        <v>22</v>
      </c>
      <c r="G4121" t="s">
        <v>15</v>
      </c>
      <c r="H4121" s="1">
        <v>375.02</v>
      </c>
      <c r="I4121" t="s">
        <v>24</v>
      </c>
      <c r="J4121">
        <v>0</v>
      </c>
      <c r="K4121">
        <v>3</v>
      </c>
    </row>
    <row r="4122" spans="1:11" x14ac:dyDescent="0.35">
      <c r="A4122" t="s">
        <v>4159</v>
      </c>
      <c r="B4122">
        <v>33</v>
      </c>
      <c r="C4122" t="s">
        <v>12</v>
      </c>
      <c r="D4122" t="s">
        <v>19</v>
      </c>
      <c r="E4122">
        <v>20</v>
      </c>
      <c r="F4122" t="s">
        <v>22</v>
      </c>
      <c r="G4122" t="s">
        <v>23</v>
      </c>
      <c r="H4122" s="1">
        <v>349.21</v>
      </c>
      <c r="I4122" t="s">
        <v>24</v>
      </c>
      <c r="J4122">
        <v>0</v>
      </c>
      <c r="K4122">
        <v>5</v>
      </c>
    </row>
    <row r="4123" spans="1:11" x14ac:dyDescent="0.35">
      <c r="A4123" t="s">
        <v>4160</v>
      </c>
      <c r="B4123">
        <v>65</v>
      </c>
      <c r="C4123" t="s">
        <v>18</v>
      </c>
      <c r="D4123" t="s">
        <v>13</v>
      </c>
      <c r="E4123">
        <v>14</v>
      </c>
      <c r="F4123" t="s">
        <v>26</v>
      </c>
      <c r="G4123" t="s">
        <v>37</v>
      </c>
      <c r="H4123" s="1">
        <v>127.86</v>
      </c>
      <c r="I4123" t="s">
        <v>24</v>
      </c>
      <c r="J4123">
        <v>2</v>
      </c>
      <c r="K4123">
        <v>8</v>
      </c>
    </row>
    <row r="4124" spans="1:11" x14ac:dyDescent="0.35">
      <c r="A4124" t="s">
        <v>4161</v>
      </c>
      <c r="B4124">
        <v>27</v>
      </c>
      <c r="C4124" t="s">
        <v>12</v>
      </c>
      <c r="D4124" t="s">
        <v>30</v>
      </c>
      <c r="E4124">
        <v>12</v>
      </c>
      <c r="F4124" t="s">
        <v>22</v>
      </c>
      <c r="G4124" t="s">
        <v>27</v>
      </c>
      <c r="H4124" s="1">
        <v>20.02</v>
      </c>
      <c r="I4124" t="s">
        <v>24</v>
      </c>
      <c r="J4124">
        <v>2</v>
      </c>
      <c r="K4124">
        <v>5</v>
      </c>
    </row>
    <row r="4125" spans="1:11" x14ac:dyDescent="0.35">
      <c r="A4125" t="s">
        <v>4162</v>
      </c>
      <c r="B4125">
        <v>66</v>
      </c>
      <c r="C4125" t="s">
        <v>18</v>
      </c>
      <c r="D4125" t="s">
        <v>19</v>
      </c>
      <c r="E4125">
        <v>7</v>
      </c>
      <c r="F4125" t="s">
        <v>33</v>
      </c>
      <c r="G4125" t="s">
        <v>27</v>
      </c>
      <c r="H4125" s="1">
        <v>122.18</v>
      </c>
      <c r="I4125" t="s">
        <v>24</v>
      </c>
      <c r="J4125">
        <v>0</v>
      </c>
      <c r="K4125">
        <v>8</v>
      </c>
    </row>
    <row r="4126" spans="1:11" x14ac:dyDescent="0.35">
      <c r="A4126" t="s">
        <v>4163</v>
      </c>
      <c r="B4126">
        <v>83</v>
      </c>
      <c r="C4126" t="s">
        <v>12</v>
      </c>
      <c r="D4126" t="s">
        <v>13</v>
      </c>
      <c r="E4126">
        <v>7</v>
      </c>
      <c r="F4126" t="s">
        <v>31</v>
      </c>
      <c r="G4126" t="s">
        <v>37</v>
      </c>
      <c r="H4126" s="1">
        <v>204.54</v>
      </c>
      <c r="I4126" t="s">
        <v>28</v>
      </c>
      <c r="J4126">
        <v>1</v>
      </c>
      <c r="K4126">
        <v>7</v>
      </c>
    </row>
    <row r="4127" spans="1:11" x14ac:dyDescent="0.35">
      <c r="A4127" t="s">
        <v>4164</v>
      </c>
      <c r="B4127">
        <v>35</v>
      </c>
      <c r="C4127" t="s">
        <v>18</v>
      </c>
      <c r="D4127" t="s">
        <v>30</v>
      </c>
      <c r="E4127">
        <v>13</v>
      </c>
      <c r="F4127" t="s">
        <v>22</v>
      </c>
      <c r="G4127" t="s">
        <v>15</v>
      </c>
      <c r="H4127" s="1">
        <v>134.21</v>
      </c>
      <c r="I4127" t="s">
        <v>24</v>
      </c>
      <c r="J4127">
        <v>1</v>
      </c>
      <c r="K4127">
        <v>5</v>
      </c>
    </row>
    <row r="4128" spans="1:11" x14ac:dyDescent="0.35">
      <c r="A4128" t="s">
        <v>4165</v>
      </c>
      <c r="B4128">
        <v>84</v>
      </c>
      <c r="C4128" t="s">
        <v>18</v>
      </c>
      <c r="D4128" t="s">
        <v>19</v>
      </c>
      <c r="E4128">
        <v>10</v>
      </c>
      <c r="F4128" t="s">
        <v>22</v>
      </c>
      <c r="G4128" t="s">
        <v>37</v>
      </c>
      <c r="H4128" s="1">
        <v>139.97</v>
      </c>
      <c r="I4128" t="s">
        <v>24</v>
      </c>
      <c r="J4128">
        <v>0</v>
      </c>
      <c r="K4128">
        <v>7</v>
      </c>
    </row>
    <row r="4129" spans="1:11" x14ac:dyDescent="0.35">
      <c r="A4129" t="s">
        <v>4166</v>
      </c>
      <c r="B4129">
        <v>40</v>
      </c>
      <c r="C4129" t="s">
        <v>12</v>
      </c>
      <c r="D4129" t="s">
        <v>19</v>
      </c>
      <c r="E4129">
        <v>9</v>
      </c>
      <c r="F4129" t="s">
        <v>26</v>
      </c>
      <c r="G4129" t="s">
        <v>34</v>
      </c>
      <c r="H4129" s="1">
        <v>212.92</v>
      </c>
      <c r="I4129" t="s">
        <v>43</v>
      </c>
      <c r="J4129">
        <v>2</v>
      </c>
      <c r="K4129">
        <v>6</v>
      </c>
    </row>
    <row r="4130" spans="1:11" x14ac:dyDescent="0.35">
      <c r="A4130" t="s">
        <v>4167</v>
      </c>
      <c r="B4130">
        <v>66</v>
      </c>
      <c r="C4130" t="s">
        <v>18</v>
      </c>
      <c r="D4130" t="s">
        <v>21</v>
      </c>
      <c r="E4130">
        <v>32</v>
      </c>
      <c r="F4130" t="s">
        <v>26</v>
      </c>
      <c r="G4130" t="s">
        <v>27</v>
      </c>
      <c r="H4130" s="1">
        <v>74.7</v>
      </c>
      <c r="I4130" t="s">
        <v>24</v>
      </c>
      <c r="J4130">
        <v>2</v>
      </c>
      <c r="K4130">
        <v>5</v>
      </c>
    </row>
    <row r="4131" spans="1:11" x14ac:dyDescent="0.35">
      <c r="A4131" t="s">
        <v>4168</v>
      </c>
      <c r="B4131">
        <v>70</v>
      </c>
      <c r="C4131" t="s">
        <v>18</v>
      </c>
      <c r="D4131" t="s">
        <v>19</v>
      </c>
      <c r="E4131">
        <v>17</v>
      </c>
      <c r="F4131" t="s">
        <v>26</v>
      </c>
      <c r="G4131" t="s">
        <v>15</v>
      </c>
      <c r="H4131" s="1">
        <v>256.54000000000002</v>
      </c>
      <c r="I4131" t="s">
        <v>28</v>
      </c>
      <c r="J4131">
        <v>2</v>
      </c>
      <c r="K4131">
        <v>6</v>
      </c>
    </row>
    <row r="4132" spans="1:11" x14ac:dyDescent="0.35">
      <c r="A4132" t="s">
        <v>4169</v>
      </c>
      <c r="B4132">
        <v>51</v>
      </c>
      <c r="C4132" t="s">
        <v>12</v>
      </c>
      <c r="D4132" t="s">
        <v>30</v>
      </c>
      <c r="E4132">
        <v>3</v>
      </c>
      <c r="F4132" t="s">
        <v>33</v>
      </c>
      <c r="G4132" t="s">
        <v>23</v>
      </c>
      <c r="H4132" s="1">
        <v>527.19000000000005</v>
      </c>
      <c r="I4132" t="s">
        <v>24</v>
      </c>
      <c r="J4132">
        <v>0</v>
      </c>
      <c r="K4132">
        <v>9</v>
      </c>
    </row>
    <row r="4133" spans="1:11" x14ac:dyDescent="0.35">
      <c r="A4133" t="s">
        <v>4170</v>
      </c>
      <c r="B4133">
        <v>50</v>
      </c>
      <c r="C4133" t="s">
        <v>18</v>
      </c>
      <c r="D4133" t="s">
        <v>41</v>
      </c>
      <c r="E4133">
        <v>14</v>
      </c>
      <c r="F4133" t="s">
        <v>31</v>
      </c>
      <c r="G4133" t="s">
        <v>23</v>
      </c>
      <c r="H4133" s="1">
        <v>190.89</v>
      </c>
      <c r="I4133" t="s">
        <v>24</v>
      </c>
      <c r="J4133">
        <v>1</v>
      </c>
      <c r="K4133">
        <v>8</v>
      </c>
    </row>
    <row r="4134" spans="1:11" x14ac:dyDescent="0.35">
      <c r="A4134" t="s">
        <v>4171</v>
      </c>
      <c r="B4134">
        <v>51</v>
      </c>
      <c r="C4134" t="s">
        <v>12</v>
      </c>
      <c r="D4134" t="s">
        <v>19</v>
      </c>
      <c r="E4134">
        <v>22</v>
      </c>
      <c r="F4134" t="s">
        <v>22</v>
      </c>
      <c r="G4134" t="s">
        <v>15</v>
      </c>
      <c r="H4134" s="1">
        <v>228.52</v>
      </c>
      <c r="I4134" t="s">
        <v>24</v>
      </c>
      <c r="J4134">
        <v>1</v>
      </c>
      <c r="K4134">
        <v>4</v>
      </c>
    </row>
    <row r="4135" spans="1:11" x14ac:dyDescent="0.35">
      <c r="A4135" t="s">
        <v>4172</v>
      </c>
      <c r="B4135">
        <v>45</v>
      </c>
      <c r="C4135" t="s">
        <v>18</v>
      </c>
      <c r="D4135" t="s">
        <v>21</v>
      </c>
      <c r="E4135">
        <v>14</v>
      </c>
      <c r="F4135" t="s">
        <v>26</v>
      </c>
      <c r="G4135" t="s">
        <v>15</v>
      </c>
      <c r="H4135" s="1">
        <v>93.29</v>
      </c>
      <c r="I4135" t="s">
        <v>24</v>
      </c>
      <c r="J4135">
        <v>1</v>
      </c>
      <c r="K4135">
        <v>4</v>
      </c>
    </row>
    <row r="4136" spans="1:11" x14ac:dyDescent="0.35">
      <c r="A4136" t="s">
        <v>4173</v>
      </c>
      <c r="B4136">
        <v>81</v>
      </c>
      <c r="C4136" t="s">
        <v>18</v>
      </c>
      <c r="D4136" t="s">
        <v>19</v>
      </c>
      <c r="E4136">
        <v>16</v>
      </c>
      <c r="F4136" t="s">
        <v>22</v>
      </c>
      <c r="G4136" t="s">
        <v>15</v>
      </c>
      <c r="H4136" s="1">
        <v>89.47</v>
      </c>
      <c r="I4136" t="s">
        <v>24</v>
      </c>
      <c r="J4136">
        <v>1</v>
      </c>
      <c r="K4136">
        <v>4</v>
      </c>
    </row>
    <row r="4137" spans="1:11" x14ac:dyDescent="0.35">
      <c r="A4137" t="s">
        <v>4174</v>
      </c>
      <c r="B4137">
        <v>20</v>
      </c>
      <c r="C4137" t="s">
        <v>12</v>
      </c>
      <c r="D4137" t="s">
        <v>19</v>
      </c>
      <c r="E4137">
        <v>8</v>
      </c>
      <c r="F4137" t="s">
        <v>22</v>
      </c>
      <c r="G4137" t="s">
        <v>34</v>
      </c>
      <c r="H4137" s="1">
        <v>112.82</v>
      </c>
      <c r="I4137" t="s">
        <v>24</v>
      </c>
      <c r="J4137">
        <v>0</v>
      </c>
      <c r="K4137">
        <v>9</v>
      </c>
    </row>
    <row r="4138" spans="1:11" x14ac:dyDescent="0.35">
      <c r="A4138" t="s">
        <v>4175</v>
      </c>
      <c r="B4138">
        <v>80</v>
      </c>
      <c r="C4138" t="s">
        <v>12</v>
      </c>
      <c r="D4138" t="s">
        <v>19</v>
      </c>
      <c r="E4138">
        <v>12</v>
      </c>
      <c r="F4138" t="s">
        <v>14</v>
      </c>
      <c r="G4138" t="s">
        <v>34</v>
      </c>
      <c r="H4138" s="1">
        <v>0</v>
      </c>
      <c r="I4138" t="s">
        <v>16</v>
      </c>
      <c r="J4138">
        <v>0</v>
      </c>
      <c r="K4138">
        <v>5</v>
      </c>
    </row>
    <row r="4139" spans="1:11" x14ac:dyDescent="0.35">
      <c r="A4139" t="s">
        <v>4176</v>
      </c>
      <c r="B4139">
        <v>18</v>
      </c>
      <c r="C4139" t="s">
        <v>18</v>
      </c>
      <c r="D4139" t="s">
        <v>21</v>
      </c>
      <c r="E4139">
        <v>28</v>
      </c>
      <c r="F4139" t="s">
        <v>14</v>
      </c>
      <c r="G4139" t="s">
        <v>27</v>
      </c>
      <c r="H4139" s="1">
        <v>0</v>
      </c>
      <c r="I4139" t="s">
        <v>16</v>
      </c>
      <c r="J4139">
        <v>1</v>
      </c>
      <c r="K4139">
        <v>2</v>
      </c>
    </row>
    <row r="4140" spans="1:11" x14ac:dyDescent="0.35">
      <c r="A4140" t="s">
        <v>4177</v>
      </c>
      <c r="B4140">
        <v>19</v>
      </c>
      <c r="C4140" t="s">
        <v>12</v>
      </c>
      <c r="D4140" t="s">
        <v>19</v>
      </c>
      <c r="E4140">
        <v>7</v>
      </c>
      <c r="F4140" t="s">
        <v>22</v>
      </c>
      <c r="G4140" t="s">
        <v>34</v>
      </c>
      <c r="H4140" s="1">
        <v>160.19999999999999</v>
      </c>
      <c r="I4140" t="s">
        <v>24</v>
      </c>
      <c r="J4140">
        <v>0</v>
      </c>
      <c r="K4140">
        <v>9</v>
      </c>
    </row>
    <row r="4141" spans="1:11" x14ac:dyDescent="0.35">
      <c r="A4141" t="s">
        <v>4178</v>
      </c>
      <c r="B4141">
        <v>32</v>
      </c>
      <c r="C4141" t="s">
        <v>12</v>
      </c>
      <c r="D4141" t="s">
        <v>19</v>
      </c>
      <c r="E4141">
        <v>18</v>
      </c>
      <c r="F4141" t="s">
        <v>33</v>
      </c>
      <c r="G4141" t="s">
        <v>23</v>
      </c>
      <c r="H4141" s="1">
        <v>475.2</v>
      </c>
      <c r="I4141" t="s">
        <v>24</v>
      </c>
      <c r="J4141">
        <v>2</v>
      </c>
      <c r="K4141">
        <v>7</v>
      </c>
    </row>
    <row r="4142" spans="1:11" x14ac:dyDescent="0.35">
      <c r="A4142" t="s">
        <v>4179</v>
      </c>
      <c r="B4142">
        <v>30</v>
      </c>
      <c r="C4142" t="s">
        <v>18</v>
      </c>
      <c r="D4142" t="s">
        <v>19</v>
      </c>
      <c r="E4142">
        <v>13</v>
      </c>
      <c r="F4142" t="s">
        <v>31</v>
      </c>
      <c r="G4142" t="s">
        <v>23</v>
      </c>
      <c r="H4142" s="1">
        <v>261.76</v>
      </c>
      <c r="I4142" t="s">
        <v>24</v>
      </c>
      <c r="J4142">
        <v>1</v>
      </c>
      <c r="K4142">
        <v>7</v>
      </c>
    </row>
    <row r="4143" spans="1:11" x14ac:dyDescent="0.35">
      <c r="A4143" t="s">
        <v>4180</v>
      </c>
      <c r="B4143">
        <v>83</v>
      </c>
      <c r="C4143" t="s">
        <v>18</v>
      </c>
      <c r="D4143" t="s">
        <v>19</v>
      </c>
      <c r="E4143">
        <v>19</v>
      </c>
      <c r="F4143" t="s">
        <v>22</v>
      </c>
      <c r="G4143" t="s">
        <v>23</v>
      </c>
      <c r="H4143" s="1">
        <v>504.03</v>
      </c>
      <c r="I4143" t="s">
        <v>24</v>
      </c>
      <c r="J4143">
        <v>4</v>
      </c>
      <c r="K4143">
        <v>4</v>
      </c>
    </row>
    <row r="4144" spans="1:11" x14ac:dyDescent="0.35">
      <c r="A4144" t="s">
        <v>4181</v>
      </c>
      <c r="B4144">
        <v>58</v>
      </c>
      <c r="C4144" t="s">
        <v>12</v>
      </c>
      <c r="D4144" t="s">
        <v>30</v>
      </c>
      <c r="E4144">
        <v>3</v>
      </c>
      <c r="F4144" t="s">
        <v>33</v>
      </c>
      <c r="G4144" t="s">
        <v>23</v>
      </c>
      <c r="H4144" s="1">
        <v>343.8</v>
      </c>
      <c r="I4144" t="s">
        <v>24</v>
      </c>
      <c r="J4144">
        <v>0</v>
      </c>
      <c r="K4144">
        <v>9</v>
      </c>
    </row>
    <row r="4145" spans="1:11" x14ac:dyDescent="0.35">
      <c r="A4145" t="s">
        <v>4182</v>
      </c>
      <c r="B4145">
        <v>41</v>
      </c>
      <c r="C4145" t="s">
        <v>18</v>
      </c>
      <c r="D4145" t="s">
        <v>19</v>
      </c>
      <c r="E4145">
        <v>8</v>
      </c>
      <c r="F4145" t="s">
        <v>31</v>
      </c>
      <c r="G4145" t="s">
        <v>15</v>
      </c>
      <c r="H4145" s="1">
        <v>245.83</v>
      </c>
      <c r="I4145" t="s">
        <v>24</v>
      </c>
      <c r="J4145">
        <v>0</v>
      </c>
      <c r="K4145">
        <v>10</v>
      </c>
    </row>
    <row r="4146" spans="1:11" x14ac:dyDescent="0.35">
      <c r="A4146" t="s">
        <v>4183</v>
      </c>
      <c r="B4146">
        <v>44</v>
      </c>
      <c r="C4146" t="s">
        <v>12</v>
      </c>
      <c r="D4146" t="s">
        <v>13</v>
      </c>
      <c r="E4146">
        <v>13</v>
      </c>
      <c r="F4146" t="s">
        <v>33</v>
      </c>
      <c r="G4146" t="s">
        <v>23</v>
      </c>
      <c r="H4146" s="1">
        <v>306.77999999999997</v>
      </c>
      <c r="I4146" t="s">
        <v>24</v>
      </c>
      <c r="J4146">
        <v>1</v>
      </c>
      <c r="K4146">
        <v>4</v>
      </c>
    </row>
    <row r="4147" spans="1:11" x14ac:dyDescent="0.35">
      <c r="A4147" t="s">
        <v>4184</v>
      </c>
      <c r="B4147">
        <v>47</v>
      </c>
      <c r="C4147" t="s">
        <v>18</v>
      </c>
      <c r="D4147" t="s">
        <v>41</v>
      </c>
      <c r="E4147">
        <v>11</v>
      </c>
      <c r="F4147" t="s">
        <v>31</v>
      </c>
      <c r="G4147" t="s">
        <v>23</v>
      </c>
      <c r="H4147" s="1">
        <v>476.07</v>
      </c>
      <c r="I4147" t="s">
        <v>24</v>
      </c>
      <c r="J4147">
        <v>0</v>
      </c>
      <c r="K4147">
        <v>8</v>
      </c>
    </row>
    <row r="4148" spans="1:11" x14ac:dyDescent="0.35">
      <c r="A4148" t="s">
        <v>4185</v>
      </c>
      <c r="B4148">
        <v>53</v>
      </c>
      <c r="C4148" t="s">
        <v>12</v>
      </c>
      <c r="D4148" t="s">
        <v>19</v>
      </c>
      <c r="E4148">
        <v>13</v>
      </c>
      <c r="F4148" t="s">
        <v>33</v>
      </c>
      <c r="G4148" t="s">
        <v>23</v>
      </c>
      <c r="H4148" s="1">
        <v>293.27</v>
      </c>
      <c r="I4148" t="s">
        <v>24</v>
      </c>
      <c r="J4148">
        <v>0</v>
      </c>
      <c r="K4148">
        <v>6</v>
      </c>
    </row>
    <row r="4149" spans="1:11" x14ac:dyDescent="0.35">
      <c r="A4149" t="s">
        <v>4186</v>
      </c>
      <c r="B4149">
        <v>34</v>
      </c>
      <c r="C4149" t="s">
        <v>18</v>
      </c>
      <c r="D4149" t="s">
        <v>21</v>
      </c>
      <c r="E4149">
        <v>41</v>
      </c>
      <c r="F4149" t="s">
        <v>22</v>
      </c>
      <c r="G4149" t="s">
        <v>37</v>
      </c>
      <c r="H4149" s="1">
        <v>170.88</v>
      </c>
      <c r="I4149" t="s">
        <v>24</v>
      </c>
      <c r="J4149">
        <v>1</v>
      </c>
      <c r="K4149">
        <v>1</v>
      </c>
    </row>
    <row r="4150" spans="1:11" x14ac:dyDescent="0.35">
      <c r="A4150" t="s">
        <v>4187</v>
      </c>
      <c r="B4150">
        <v>73</v>
      </c>
      <c r="C4150" t="s">
        <v>12</v>
      </c>
      <c r="D4150" t="s">
        <v>19</v>
      </c>
      <c r="E4150">
        <v>12</v>
      </c>
      <c r="F4150" t="s">
        <v>22</v>
      </c>
      <c r="G4150" t="s">
        <v>15</v>
      </c>
      <c r="H4150" s="1">
        <v>368.8</v>
      </c>
      <c r="I4150" t="s">
        <v>24</v>
      </c>
      <c r="J4150">
        <v>0</v>
      </c>
      <c r="K4150">
        <v>7</v>
      </c>
    </row>
    <row r="4151" spans="1:11" x14ac:dyDescent="0.35">
      <c r="A4151" t="s">
        <v>4188</v>
      </c>
      <c r="B4151">
        <v>39</v>
      </c>
      <c r="C4151" t="s">
        <v>12</v>
      </c>
      <c r="D4151" t="s">
        <v>21</v>
      </c>
      <c r="E4151">
        <v>38</v>
      </c>
      <c r="F4151" t="s">
        <v>33</v>
      </c>
      <c r="G4151" t="s">
        <v>15</v>
      </c>
      <c r="H4151" s="1">
        <v>359.55</v>
      </c>
      <c r="I4151" t="s">
        <v>24</v>
      </c>
      <c r="J4151">
        <v>1</v>
      </c>
      <c r="K4151">
        <v>5</v>
      </c>
    </row>
    <row r="4152" spans="1:11" x14ac:dyDescent="0.35">
      <c r="A4152" t="s">
        <v>4189</v>
      </c>
      <c r="B4152">
        <v>37</v>
      </c>
      <c r="C4152" t="s">
        <v>12</v>
      </c>
      <c r="D4152" t="s">
        <v>19</v>
      </c>
      <c r="E4152">
        <v>20</v>
      </c>
      <c r="F4152" t="s">
        <v>22</v>
      </c>
      <c r="G4152" t="s">
        <v>34</v>
      </c>
      <c r="H4152" s="1">
        <v>140.81</v>
      </c>
      <c r="I4152" t="s">
        <v>24</v>
      </c>
      <c r="J4152">
        <v>3</v>
      </c>
      <c r="K4152">
        <v>1</v>
      </c>
    </row>
    <row r="4153" spans="1:11" x14ac:dyDescent="0.35">
      <c r="A4153" t="s">
        <v>4190</v>
      </c>
      <c r="B4153">
        <v>63</v>
      </c>
      <c r="C4153" t="s">
        <v>18</v>
      </c>
      <c r="D4153" t="s">
        <v>21</v>
      </c>
      <c r="E4153">
        <v>18</v>
      </c>
      <c r="F4153" t="s">
        <v>26</v>
      </c>
      <c r="G4153" t="s">
        <v>34</v>
      </c>
      <c r="H4153" s="1">
        <v>218.93</v>
      </c>
      <c r="I4153" t="s">
        <v>24</v>
      </c>
      <c r="J4153">
        <v>2</v>
      </c>
      <c r="K4153">
        <v>7</v>
      </c>
    </row>
    <row r="4154" spans="1:11" x14ac:dyDescent="0.35">
      <c r="A4154" t="s">
        <v>4191</v>
      </c>
      <c r="B4154">
        <v>79</v>
      </c>
      <c r="C4154" t="s">
        <v>18</v>
      </c>
      <c r="D4154" t="s">
        <v>19</v>
      </c>
      <c r="E4154">
        <v>19</v>
      </c>
      <c r="F4154" t="s">
        <v>31</v>
      </c>
      <c r="G4154" t="s">
        <v>23</v>
      </c>
      <c r="H4154" s="1">
        <v>140.4</v>
      </c>
      <c r="I4154" t="s">
        <v>28</v>
      </c>
      <c r="J4154">
        <v>1</v>
      </c>
      <c r="K4154">
        <v>4</v>
      </c>
    </row>
    <row r="4155" spans="1:11" x14ac:dyDescent="0.35">
      <c r="A4155" t="s">
        <v>4192</v>
      </c>
      <c r="B4155">
        <v>37</v>
      </c>
      <c r="C4155" t="s">
        <v>18</v>
      </c>
      <c r="D4155" t="s">
        <v>13</v>
      </c>
      <c r="E4155">
        <v>11</v>
      </c>
      <c r="F4155" t="s">
        <v>22</v>
      </c>
      <c r="G4155" t="s">
        <v>23</v>
      </c>
      <c r="H4155" s="1">
        <v>418.51</v>
      </c>
      <c r="I4155" t="s">
        <v>24</v>
      </c>
      <c r="J4155">
        <v>3</v>
      </c>
      <c r="K4155">
        <v>8</v>
      </c>
    </row>
    <row r="4156" spans="1:11" x14ac:dyDescent="0.35">
      <c r="A4156" t="s">
        <v>4193</v>
      </c>
      <c r="B4156">
        <v>34</v>
      </c>
      <c r="C4156" t="s">
        <v>12</v>
      </c>
      <c r="D4156" t="s">
        <v>30</v>
      </c>
      <c r="E4156">
        <v>2</v>
      </c>
      <c r="F4156" t="s">
        <v>22</v>
      </c>
      <c r="G4156" t="s">
        <v>15</v>
      </c>
      <c r="H4156" s="1">
        <v>202.84</v>
      </c>
      <c r="I4156" t="s">
        <v>24</v>
      </c>
      <c r="J4156">
        <v>0</v>
      </c>
      <c r="K4156">
        <v>8</v>
      </c>
    </row>
    <row r="4157" spans="1:11" x14ac:dyDescent="0.35">
      <c r="A4157" t="s">
        <v>4194</v>
      </c>
      <c r="B4157">
        <v>75</v>
      </c>
      <c r="C4157" t="s">
        <v>12</v>
      </c>
      <c r="D4157" t="s">
        <v>41</v>
      </c>
      <c r="E4157">
        <v>10</v>
      </c>
      <c r="F4157" t="s">
        <v>14</v>
      </c>
      <c r="G4157" t="s">
        <v>23</v>
      </c>
      <c r="H4157" s="1">
        <v>0</v>
      </c>
      <c r="I4157" t="s">
        <v>16</v>
      </c>
      <c r="J4157">
        <v>0</v>
      </c>
      <c r="K4157">
        <v>4</v>
      </c>
    </row>
    <row r="4158" spans="1:11" x14ac:dyDescent="0.35">
      <c r="A4158" t="s">
        <v>4195</v>
      </c>
      <c r="B4158">
        <v>36</v>
      </c>
      <c r="C4158" t="s">
        <v>18</v>
      </c>
      <c r="D4158" t="s">
        <v>47</v>
      </c>
      <c r="E4158">
        <v>7</v>
      </c>
      <c r="F4158" t="s">
        <v>26</v>
      </c>
      <c r="G4158" t="s">
        <v>34</v>
      </c>
      <c r="H4158" s="1">
        <v>140.87</v>
      </c>
      <c r="I4158" t="s">
        <v>24</v>
      </c>
      <c r="J4158">
        <v>0</v>
      </c>
      <c r="K4158">
        <v>10</v>
      </c>
    </row>
    <row r="4159" spans="1:11" x14ac:dyDescent="0.35">
      <c r="A4159" t="s">
        <v>4196</v>
      </c>
      <c r="B4159">
        <v>53</v>
      </c>
      <c r="C4159" t="s">
        <v>18</v>
      </c>
      <c r="D4159" t="s">
        <v>19</v>
      </c>
      <c r="E4159">
        <v>14</v>
      </c>
      <c r="F4159" t="s">
        <v>22</v>
      </c>
      <c r="G4159" t="s">
        <v>23</v>
      </c>
      <c r="H4159" s="1">
        <v>174.38</v>
      </c>
      <c r="I4159" t="s">
        <v>24</v>
      </c>
      <c r="J4159">
        <v>2</v>
      </c>
      <c r="K4159">
        <v>7</v>
      </c>
    </row>
    <row r="4160" spans="1:11" x14ac:dyDescent="0.35">
      <c r="A4160" t="s">
        <v>4197</v>
      </c>
      <c r="B4160">
        <v>21</v>
      </c>
      <c r="C4160" t="s">
        <v>18</v>
      </c>
      <c r="D4160" t="s">
        <v>13</v>
      </c>
      <c r="E4160">
        <v>17</v>
      </c>
      <c r="F4160" t="s">
        <v>26</v>
      </c>
      <c r="G4160" t="s">
        <v>27</v>
      </c>
      <c r="H4160" s="1">
        <v>167.4</v>
      </c>
      <c r="I4160" t="s">
        <v>24</v>
      </c>
      <c r="J4160">
        <v>0</v>
      </c>
      <c r="K4160">
        <v>8</v>
      </c>
    </row>
    <row r="4161" spans="1:11" x14ac:dyDescent="0.35">
      <c r="A4161" t="s">
        <v>4198</v>
      </c>
      <c r="B4161">
        <v>28</v>
      </c>
      <c r="C4161" t="s">
        <v>18</v>
      </c>
      <c r="D4161" t="s">
        <v>57</v>
      </c>
      <c r="E4161">
        <v>40</v>
      </c>
      <c r="F4161" t="s">
        <v>22</v>
      </c>
      <c r="G4161" t="s">
        <v>34</v>
      </c>
      <c r="H4161" s="1">
        <v>139.47</v>
      </c>
      <c r="I4161" t="s">
        <v>28</v>
      </c>
      <c r="J4161">
        <v>2</v>
      </c>
      <c r="K4161">
        <v>2</v>
      </c>
    </row>
    <row r="4162" spans="1:11" x14ac:dyDescent="0.35">
      <c r="A4162" t="s">
        <v>4199</v>
      </c>
      <c r="B4162">
        <v>64</v>
      </c>
      <c r="C4162" t="s">
        <v>12</v>
      </c>
      <c r="D4162" t="s">
        <v>21</v>
      </c>
      <c r="E4162">
        <v>36</v>
      </c>
      <c r="F4162" t="s">
        <v>22</v>
      </c>
      <c r="G4162" t="s">
        <v>34</v>
      </c>
      <c r="H4162" s="1">
        <v>113.96</v>
      </c>
      <c r="I4162" t="s">
        <v>24</v>
      </c>
      <c r="J4162">
        <v>3</v>
      </c>
      <c r="K4162">
        <v>1</v>
      </c>
    </row>
    <row r="4163" spans="1:11" x14ac:dyDescent="0.35">
      <c r="A4163" t="s">
        <v>4200</v>
      </c>
      <c r="B4163">
        <v>57</v>
      </c>
      <c r="C4163" t="s">
        <v>18</v>
      </c>
      <c r="D4163" t="s">
        <v>21</v>
      </c>
      <c r="E4163">
        <v>32</v>
      </c>
      <c r="F4163" t="s">
        <v>31</v>
      </c>
      <c r="G4163" t="s">
        <v>37</v>
      </c>
      <c r="H4163" s="1">
        <v>112.68</v>
      </c>
      <c r="I4163" t="s">
        <v>24</v>
      </c>
      <c r="J4163">
        <v>2</v>
      </c>
      <c r="K4163">
        <v>2</v>
      </c>
    </row>
    <row r="4164" spans="1:11" x14ac:dyDescent="0.35">
      <c r="A4164" t="s">
        <v>4201</v>
      </c>
      <c r="B4164">
        <v>74</v>
      </c>
      <c r="C4164" t="s">
        <v>12</v>
      </c>
      <c r="D4164" t="s">
        <v>19</v>
      </c>
      <c r="E4164">
        <v>9</v>
      </c>
      <c r="F4164" t="s">
        <v>33</v>
      </c>
      <c r="G4164" t="s">
        <v>37</v>
      </c>
      <c r="H4164" s="1">
        <v>163.96</v>
      </c>
      <c r="I4164" t="s">
        <v>24</v>
      </c>
      <c r="J4164">
        <v>1</v>
      </c>
      <c r="K4164">
        <v>8</v>
      </c>
    </row>
    <row r="4165" spans="1:11" x14ac:dyDescent="0.35">
      <c r="A4165" t="s">
        <v>4202</v>
      </c>
      <c r="B4165">
        <v>41</v>
      </c>
      <c r="C4165" t="s">
        <v>18</v>
      </c>
      <c r="D4165" t="s">
        <v>19</v>
      </c>
      <c r="E4165">
        <v>13</v>
      </c>
      <c r="F4165" t="s">
        <v>22</v>
      </c>
      <c r="G4165" t="s">
        <v>37</v>
      </c>
      <c r="H4165" s="1">
        <v>215.97</v>
      </c>
      <c r="I4165" t="s">
        <v>24</v>
      </c>
      <c r="J4165">
        <v>1</v>
      </c>
      <c r="K4165">
        <v>8</v>
      </c>
    </row>
    <row r="4166" spans="1:11" x14ac:dyDescent="0.35">
      <c r="A4166" t="s">
        <v>4203</v>
      </c>
      <c r="B4166">
        <v>45</v>
      </c>
      <c r="C4166" t="s">
        <v>18</v>
      </c>
      <c r="D4166" t="s">
        <v>19</v>
      </c>
      <c r="E4166">
        <v>18</v>
      </c>
      <c r="F4166" t="s">
        <v>22</v>
      </c>
      <c r="G4166" t="s">
        <v>37</v>
      </c>
      <c r="H4166" s="1">
        <v>105.37</v>
      </c>
      <c r="I4166" t="s">
        <v>24</v>
      </c>
      <c r="J4166">
        <v>1</v>
      </c>
      <c r="K4166">
        <v>4</v>
      </c>
    </row>
    <row r="4167" spans="1:11" x14ac:dyDescent="0.35">
      <c r="A4167" t="s">
        <v>4204</v>
      </c>
      <c r="B4167">
        <v>56</v>
      </c>
      <c r="C4167" t="s">
        <v>12</v>
      </c>
      <c r="D4167" t="s">
        <v>21</v>
      </c>
      <c r="E4167">
        <v>25</v>
      </c>
      <c r="F4167" t="s">
        <v>33</v>
      </c>
      <c r="G4167" t="s">
        <v>27</v>
      </c>
      <c r="H4167" s="1">
        <v>60.29</v>
      </c>
      <c r="I4167" t="s">
        <v>24</v>
      </c>
      <c r="J4167">
        <v>4</v>
      </c>
      <c r="K4167">
        <v>5</v>
      </c>
    </row>
    <row r="4168" spans="1:11" x14ac:dyDescent="0.35">
      <c r="A4168" t="s">
        <v>4205</v>
      </c>
      <c r="B4168">
        <v>85</v>
      </c>
      <c r="C4168" t="s">
        <v>18</v>
      </c>
      <c r="D4168" t="s">
        <v>19</v>
      </c>
      <c r="E4168">
        <v>24</v>
      </c>
      <c r="F4168" t="s">
        <v>33</v>
      </c>
      <c r="G4168" t="s">
        <v>34</v>
      </c>
      <c r="H4168" s="1">
        <v>124.95</v>
      </c>
      <c r="I4168" t="s">
        <v>24</v>
      </c>
      <c r="J4168">
        <v>4</v>
      </c>
      <c r="K4168">
        <v>3</v>
      </c>
    </row>
    <row r="4169" spans="1:11" x14ac:dyDescent="0.35">
      <c r="A4169" t="s">
        <v>4206</v>
      </c>
      <c r="B4169">
        <v>29</v>
      </c>
      <c r="C4169" t="s">
        <v>18</v>
      </c>
      <c r="D4169" t="s">
        <v>21</v>
      </c>
      <c r="E4169">
        <v>20</v>
      </c>
      <c r="F4169" t="s">
        <v>33</v>
      </c>
      <c r="G4169" t="s">
        <v>27</v>
      </c>
      <c r="H4169" s="1">
        <v>49.31</v>
      </c>
      <c r="I4169" t="s">
        <v>24</v>
      </c>
      <c r="J4169">
        <v>2</v>
      </c>
      <c r="K4169">
        <v>5</v>
      </c>
    </row>
    <row r="4170" spans="1:11" x14ac:dyDescent="0.35">
      <c r="A4170" t="s">
        <v>4207</v>
      </c>
      <c r="B4170">
        <v>25</v>
      </c>
      <c r="C4170" t="s">
        <v>18</v>
      </c>
      <c r="D4170" t="s">
        <v>19</v>
      </c>
      <c r="E4170">
        <v>19</v>
      </c>
      <c r="F4170" t="s">
        <v>22</v>
      </c>
      <c r="G4170" t="s">
        <v>34</v>
      </c>
      <c r="H4170" s="1">
        <v>146.94999999999999</v>
      </c>
      <c r="I4170" t="s">
        <v>24</v>
      </c>
      <c r="J4170">
        <v>1</v>
      </c>
      <c r="K4170">
        <v>2</v>
      </c>
    </row>
    <row r="4171" spans="1:11" x14ac:dyDescent="0.35">
      <c r="A4171" t="s">
        <v>4208</v>
      </c>
      <c r="B4171">
        <v>38</v>
      </c>
      <c r="C4171" t="s">
        <v>18</v>
      </c>
      <c r="D4171" t="s">
        <v>19</v>
      </c>
      <c r="E4171">
        <v>7</v>
      </c>
      <c r="F4171" t="s">
        <v>33</v>
      </c>
      <c r="G4171" t="s">
        <v>27</v>
      </c>
      <c r="H4171" s="1">
        <v>98.68</v>
      </c>
      <c r="I4171" t="s">
        <v>24</v>
      </c>
      <c r="J4171">
        <v>0</v>
      </c>
      <c r="K4171">
        <v>7</v>
      </c>
    </row>
    <row r="4172" spans="1:11" x14ac:dyDescent="0.35">
      <c r="A4172" t="s">
        <v>4209</v>
      </c>
      <c r="B4172">
        <v>55</v>
      </c>
      <c r="C4172" t="s">
        <v>12</v>
      </c>
      <c r="D4172" t="s">
        <v>47</v>
      </c>
      <c r="E4172">
        <v>6</v>
      </c>
      <c r="F4172" t="s">
        <v>22</v>
      </c>
      <c r="G4172" t="s">
        <v>23</v>
      </c>
      <c r="H4172" s="1">
        <v>573.95000000000005</v>
      </c>
      <c r="I4172" t="s">
        <v>24</v>
      </c>
      <c r="J4172">
        <v>0</v>
      </c>
      <c r="K4172">
        <v>7</v>
      </c>
    </row>
    <row r="4173" spans="1:11" x14ac:dyDescent="0.35">
      <c r="A4173" t="s">
        <v>4210</v>
      </c>
      <c r="B4173">
        <v>69</v>
      </c>
      <c r="C4173" t="s">
        <v>12</v>
      </c>
      <c r="D4173" t="s">
        <v>21</v>
      </c>
      <c r="E4173">
        <v>36</v>
      </c>
      <c r="F4173" t="s">
        <v>26</v>
      </c>
      <c r="G4173" t="s">
        <v>37</v>
      </c>
      <c r="H4173" s="1">
        <v>135.26</v>
      </c>
      <c r="I4173" t="s">
        <v>28</v>
      </c>
      <c r="J4173">
        <v>3</v>
      </c>
      <c r="K4173">
        <v>4</v>
      </c>
    </row>
    <row r="4174" spans="1:11" x14ac:dyDescent="0.35">
      <c r="A4174" t="s">
        <v>4211</v>
      </c>
      <c r="B4174">
        <v>69</v>
      </c>
      <c r="C4174" t="s">
        <v>18</v>
      </c>
      <c r="D4174" t="s">
        <v>13</v>
      </c>
      <c r="E4174">
        <v>20</v>
      </c>
      <c r="F4174" t="s">
        <v>22</v>
      </c>
      <c r="G4174" t="s">
        <v>15</v>
      </c>
      <c r="H4174" s="1">
        <v>210.71</v>
      </c>
      <c r="I4174" t="s">
        <v>24</v>
      </c>
      <c r="J4174">
        <v>1</v>
      </c>
      <c r="K4174">
        <v>1</v>
      </c>
    </row>
    <row r="4175" spans="1:11" x14ac:dyDescent="0.35">
      <c r="A4175" t="s">
        <v>4212</v>
      </c>
      <c r="B4175">
        <v>33</v>
      </c>
      <c r="C4175" t="s">
        <v>12</v>
      </c>
      <c r="D4175" t="s">
        <v>19</v>
      </c>
      <c r="E4175">
        <v>20</v>
      </c>
      <c r="F4175" t="s">
        <v>33</v>
      </c>
      <c r="G4175" t="s">
        <v>23</v>
      </c>
      <c r="H4175" s="1">
        <v>416.12</v>
      </c>
      <c r="I4175" t="s">
        <v>28</v>
      </c>
      <c r="J4175">
        <v>3</v>
      </c>
      <c r="K4175">
        <v>5</v>
      </c>
    </row>
    <row r="4176" spans="1:11" x14ac:dyDescent="0.35">
      <c r="A4176" t="s">
        <v>4213</v>
      </c>
      <c r="B4176">
        <v>74</v>
      </c>
      <c r="C4176" t="s">
        <v>528</v>
      </c>
      <c r="D4176" t="s">
        <v>19</v>
      </c>
      <c r="E4176">
        <v>8</v>
      </c>
      <c r="F4176" t="s">
        <v>33</v>
      </c>
      <c r="G4176" t="s">
        <v>37</v>
      </c>
      <c r="H4176" s="1">
        <v>209.72</v>
      </c>
      <c r="I4176" t="s">
        <v>24</v>
      </c>
      <c r="J4176">
        <v>0</v>
      </c>
      <c r="K4176">
        <v>10</v>
      </c>
    </row>
    <row r="4177" spans="1:11" x14ac:dyDescent="0.35">
      <c r="A4177" t="s">
        <v>4214</v>
      </c>
      <c r="B4177">
        <v>52</v>
      </c>
      <c r="C4177" t="s">
        <v>12</v>
      </c>
      <c r="D4177" t="s">
        <v>19</v>
      </c>
      <c r="E4177">
        <v>10</v>
      </c>
      <c r="F4177" t="s">
        <v>33</v>
      </c>
      <c r="G4177" t="s">
        <v>37</v>
      </c>
      <c r="H4177" s="1">
        <v>204.68</v>
      </c>
      <c r="I4177" t="s">
        <v>24</v>
      </c>
      <c r="J4177">
        <v>1</v>
      </c>
      <c r="K4177">
        <v>6</v>
      </c>
    </row>
    <row r="4178" spans="1:11" x14ac:dyDescent="0.35">
      <c r="A4178" t="s">
        <v>4215</v>
      </c>
      <c r="B4178">
        <v>73</v>
      </c>
      <c r="C4178" t="s">
        <v>18</v>
      </c>
      <c r="D4178" t="s">
        <v>30</v>
      </c>
      <c r="E4178">
        <v>11</v>
      </c>
      <c r="F4178" t="s">
        <v>26</v>
      </c>
      <c r="G4178" t="s">
        <v>34</v>
      </c>
      <c r="H4178" s="1">
        <v>99.43</v>
      </c>
      <c r="I4178" t="s">
        <v>24</v>
      </c>
      <c r="J4178">
        <v>2</v>
      </c>
      <c r="K4178">
        <v>4</v>
      </c>
    </row>
    <row r="4179" spans="1:11" x14ac:dyDescent="0.35">
      <c r="A4179" t="s">
        <v>4216</v>
      </c>
      <c r="B4179">
        <v>27</v>
      </c>
      <c r="C4179" t="s">
        <v>12</v>
      </c>
      <c r="D4179" t="s">
        <v>41</v>
      </c>
      <c r="E4179">
        <v>6</v>
      </c>
      <c r="F4179" t="s">
        <v>33</v>
      </c>
      <c r="G4179" t="s">
        <v>37</v>
      </c>
      <c r="H4179" s="1">
        <v>97.62</v>
      </c>
      <c r="I4179" t="s">
        <v>28</v>
      </c>
      <c r="J4179">
        <v>1</v>
      </c>
      <c r="K4179">
        <v>7</v>
      </c>
    </row>
    <row r="4180" spans="1:11" x14ac:dyDescent="0.35">
      <c r="A4180" t="s">
        <v>4217</v>
      </c>
      <c r="B4180">
        <v>53</v>
      </c>
      <c r="C4180" t="s">
        <v>189</v>
      </c>
      <c r="D4180" t="s">
        <v>13</v>
      </c>
      <c r="E4180">
        <v>20</v>
      </c>
      <c r="F4180" t="s">
        <v>22</v>
      </c>
      <c r="G4180" t="s">
        <v>37</v>
      </c>
      <c r="H4180" s="1">
        <v>100.66</v>
      </c>
      <c r="I4180" t="s">
        <v>24</v>
      </c>
      <c r="J4180">
        <v>0</v>
      </c>
      <c r="K4180">
        <v>5</v>
      </c>
    </row>
    <row r="4181" spans="1:11" x14ac:dyDescent="0.35">
      <c r="A4181" t="s">
        <v>4218</v>
      </c>
      <c r="B4181">
        <v>26</v>
      </c>
      <c r="C4181" t="s">
        <v>18</v>
      </c>
      <c r="D4181" t="s">
        <v>19</v>
      </c>
      <c r="E4181">
        <v>24</v>
      </c>
      <c r="F4181" t="s">
        <v>33</v>
      </c>
      <c r="G4181" t="s">
        <v>27</v>
      </c>
      <c r="H4181" s="1">
        <v>81.28</v>
      </c>
      <c r="I4181" t="s">
        <v>24</v>
      </c>
      <c r="J4181">
        <v>4</v>
      </c>
      <c r="K4181">
        <v>4</v>
      </c>
    </row>
    <row r="4182" spans="1:11" x14ac:dyDescent="0.35">
      <c r="A4182" t="s">
        <v>4219</v>
      </c>
      <c r="B4182">
        <v>80</v>
      </c>
      <c r="C4182" t="s">
        <v>12</v>
      </c>
      <c r="D4182" t="s">
        <v>19</v>
      </c>
      <c r="E4182">
        <v>9</v>
      </c>
      <c r="F4182" t="s">
        <v>26</v>
      </c>
      <c r="G4182" t="s">
        <v>27</v>
      </c>
      <c r="H4182" s="1">
        <v>88.88</v>
      </c>
      <c r="I4182" t="s">
        <v>24</v>
      </c>
      <c r="J4182">
        <v>3</v>
      </c>
      <c r="K4182">
        <v>7</v>
      </c>
    </row>
    <row r="4183" spans="1:11" x14ac:dyDescent="0.35">
      <c r="A4183" t="s">
        <v>4220</v>
      </c>
      <c r="B4183">
        <v>48</v>
      </c>
      <c r="C4183" t="s">
        <v>528</v>
      </c>
      <c r="D4183" t="s">
        <v>21</v>
      </c>
      <c r="E4183">
        <v>39</v>
      </c>
      <c r="F4183" t="s">
        <v>26</v>
      </c>
      <c r="G4183" t="s">
        <v>15</v>
      </c>
      <c r="H4183" s="1">
        <v>356.68</v>
      </c>
      <c r="I4183" t="s">
        <v>24</v>
      </c>
      <c r="J4183">
        <v>4</v>
      </c>
      <c r="K4183">
        <v>4</v>
      </c>
    </row>
    <row r="4184" spans="1:11" x14ac:dyDescent="0.35">
      <c r="A4184" t="s">
        <v>4221</v>
      </c>
      <c r="B4184">
        <v>79</v>
      </c>
      <c r="C4184" t="s">
        <v>18</v>
      </c>
      <c r="D4184" t="s">
        <v>19</v>
      </c>
      <c r="E4184">
        <v>17</v>
      </c>
      <c r="F4184" t="s">
        <v>31</v>
      </c>
      <c r="G4184" t="s">
        <v>27</v>
      </c>
      <c r="H4184" s="1">
        <v>75.849999999999994</v>
      </c>
      <c r="I4184" t="s">
        <v>28</v>
      </c>
      <c r="J4184">
        <v>1</v>
      </c>
      <c r="K4184">
        <v>4</v>
      </c>
    </row>
    <row r="4185" spans="1:11" x14ac:dyDescent="0.35">
      <c r="A4185" t="s">
        <v>4222</v>
      </c>
      <c r="B4185">
        <v>49</v>
      </c>
      <c r="C4185" t="s">
        <v>12</v>
      </c>
      <c r="D4185" t="s">
        <v>19</v>
      </c>
      <c r="E4185">
        <v>14</v>
      </c>
      <c r="F4185" t="s">
        <v>33</v>
      </c>
      <c r="G4185" t="s">
        <v>27</v>
      </c>
      <c r="H4185" s="1">
        <v>40.35</v>
      </c>
      <c r="I4185" t="s">
        <v>24</v>
      </c>
      <c r="J4185">
        <v>0</v>
      </c>
      <c r="K4185">
        <v>7</v>
      </c>
    </row>
    <row r="4186" spans="1:11" x14ac:dyDescent="0.35">
      <c r="A4186" t="s">
        <v>4223</v>
      </c>
      <c r="B4186">
        <v>22</v>
      </c>
      <c r="C4186" t="s">
        <v>12</v>
      </c>
      <c r="D4186" t="s">
        <v>57</v>
      </c>
      <c r="E4186">
        <v>31</v>
      </c>
      <c r="F4186" t="s">
        <v>22</v>
      </c>
      <c r="G4186" t="s">
        <v>27</v>
      </c>
      <c r="H4186" s="1">
        <v>114.33</v>
      </c>
      <c r="I4186" t="s">
        <v>24</v>
      </c>
      <c r="J4186">
        <v>3</v>
      </c>
      <c r="K4186">
        <v>5</v>
      </c>
    </row>
    <row r="4187" spans="1:11" x14ac:dyDescent="0.35">
      <c r="A4187" t="s">
        <v>4224</v>
      </c>
      <c r="B4187">
        <v>45</v>
      </c>
      <c r="C4187" t="s">
        <v>12</v>
      </c>
      <c r="D4187" t="s">
        <v>30</v>
      </c>
      <c r="E4187">
        <v>12</v>
      </c>
      <c r="F4187" t="s">
        <v>26</v>
      </c>
      <c r="G4187" t="s">
        <v>23</v>
      </c>
      <c r="H4187" s="1">
        <v>413.98</v>
      </c>
      <c r="I4187" t="s">
        <v>24</v>
      </c>
      <c r="J4187">
        <v>1</v>
      </c>
      <c r="K4187">
        <v>7</v>
      </c>
    </row>
    <row r="4188" spans="1:11" x14ac:dyDescent="0.35">
      <c r="A4188" t="s">
        <v>4225</v>
      </c>
      <c r="B4188">
        <v>68</v>
      </c>
      <c r="C4188" t="s">
        <v>18</v>
      </c>
      <c r="D4188" t="s">
        <v>19</v>
      </c>
      <c r="E4188">
        <v>12</v>
      </c>
      <c r="F4188" t="s">
        <v>22</v>
      </c>
      <c r="G4188" t="s">
        <v>37</v>
      </c>
      <c r="H4188" s="1">
        <v>130.44</v>
      </c>
      <c r="I4188" t="s">
        <v>24</v>
      </c>
      <c r="J4188">
        <v>1</v>
      </c>
      <c r="K4188">
        <v>8</v>
      </c>
    </row>
    <row r="4189" spans="1:11" x14ac:dyDescent="0.35">
      <c r="A4189" t="s">
        <v>4226</v>
      </c>
      <c r="B4189">
        <v>54</v>
      </c>
      <c r="C4189" t="s">
        <v>18</v>
      </c>
      <c r="D4189" t="s">
        <v>19</v>
      </c>
      <c r="E4189">
        <v>6</v>
      </c>
      <c r="F4189" t="s">
        <v>14</v>
      </c>
      <c r="G4189" t="s">
        <v>34</v>
      </c>
      <c r="H4189" s="1">
        <v>0</v>
      </c>
      <c r="I4189" t="s">
        <v>16</v>
      </c>
      <c r="J4189">
        <v>0</v>
      </c>
      <c r="K4189">
        <v>10</v>
      </c>
    </row>
    <row r="4190" spans="1:11" x14ac:dyDescent="0.35">
      <c r="A4190" t="s">
        <v>4227</v>
      </c>
      <c r="B4190">
        <v>50</v>
      </c>
      <c r="C4190" t="s">
        <v>12</v>
      </c>
      <c r="D4190" t="s">
        <v>21</v>
      </c>
      <c r="E4190">
        <v>27</v>
      </c>
      <c r="F4190" t="s">
        <v>26</v>
      </c>
      <c r="G4190" t="s">
        <v>34</v>
      </c>
      <c r="H4190" s="1">
        <v>142.55000000000001</v>
      </c>
      <c r="I4190" t="s">
        <v>24</v>
      </c>
      <c r="J4190">
        <v>4</v>
      </c>
      <c r="K4190">
        <v>1</v>
      </c>
    </row>
    <row r="4191" spans="1:11" x14ac:dyDescent="0.35">
      <c r="A4191" t="s">
        <v>4228</v>
      </c>
      <c r="B4191">
        <v>73</v>
      </c>
      <c r="C4191" t="s">
        <v>18</v>
      </c>
      <c r="D4191" t="s">
        <v>13</v>
      </c>
      <c r="E4191">
        <v>24</v>
      </c>
      <c r="F4191" t="s">
        <v>33</v>
      </c>
      <c r="G4191" t="s">
        <v>15</v>
      </c>
      <c r="H4191" s="1">
        <v>117.6</v>
      </c>
      <c r="I4191" t="s">
        <v>28</v>
      </c>
      <c r="J4191">
        <v>1</v>
      </c>
      <c r="K4191">
        <v>4</v>
      </c>
    </row>
    <row r="4192" spans="1:11" x14ac:dyDescent="0.35">
      <c r="A4192" t="s">
        <v>4229</v>
      </c>
      <c r="B4192">
        <v>66</v>
      </c>
      <c r="C4192" t="s">
        <v>18</v>
      </c>
      <c r="D4192" t="s">
        <v>19</v>
      </c>
      <c r="E4192">
        <v>16</v>
      </c>
      <c r="F4192" t="s">
        <v>14</v>
      </c>
      <c r="G4192" t="s">
        <v>23</v>
      </c>
      <c r="H4192" s="1">
        <v>0</v>
      </c>
      <c r="I4192" t="s">
        <v>16</v>
      </c>
      <c r="J4192">
        <v>0</v>
      </c>
      <c r="K4192">
        <v>5</v>
      </c>
    </row>
    <row r="4193" spans="1:11" x14ac:dyDescent="0.35">
      <c r="A4193" t="s">
        <v>4230</v>
      </c>
      <c r="B4193">
        <v>51</v>
      </c>
      <c r="C4193" t="s">
        <v>18</v>
      </c>
      <c r="D4193" t="s">
        <v>21</v>
      </c>
      <c r="E4193">
        <v>40</v>
      </c>
      <c r="F4193" t="s">
        <v>31</v>
      </c>
      <c r="G4193" t="s">
        <v>34</v>
      </c>
      <c r="H4193" s="1">
        <v>191.81</v>
      </c>
      <c r="I4193" t="s">
        <v>43</v>
      </c>
      <c r="J4193">
        <v>1</v>
      </c>
      <c r="K4193">
        <v>4</v>
      </c>
    </row>
    <row r="4194" spans="1:11" x14ac:dyDescent="0.35">
      <c r="A4194" t="s">
        <v>4231</v>
      </c>
      <c r="B4194">
        <v>79</v>
      </c>
      <c r="C4194" t="s">
        <v>12</v>
      </c>
      <c r="D4194" t="s">
        <v>21</v>
      </c>
      <c r="E4194">
        <v>17</v>
      </c>
      <c r="F4194" t="s">
        <v>22</v>
      </c>
      <c r="G4194" t="s">
        <v>27</v>
      </c>
      <c r="H4194" s="1">
        <v>48.63</v>
      </c>
      <c r="I4194" t="s">
        <v>24</v>
      </c>
      <c r="J4194">
        <v>1</v>
      </c>
      <c r="K4194">
        <v>4</v>
      </c>
    </row>
    <row r="4195" spans="1:11" x14ac:dyDescent="0.35">
      <c r="A4195" t="s">
        <v>4232</v>
      </c>
      <c r="B4195">
        <v>30</v>
      </c>
      <c r="C4195" t="s">
        <v>12</v>
      </c>
      <c r="D4195" t="s">
        <v>19</v>
      </c>
      <c r="E4195">
        <v>19</v>
      </c>
      <c r="F4195" t="s">
        <v>33</v>
      </c>
      <c r="G4195" t="s">
        <v>15</v>
      </c>
      <c r="H4195" s="1">
        <v>143.66999999999999</v>
      </c>
      <c r="I4195" t="s">
        <v>28</v>
      </c>
      <c r="J4195">
        <v>1</v>
      </c>
      <c r="K4195">
        <v>3</v>
      </c>
    </row>
    <row r="4196" spans="1:11" x14ac:dyDescent="0.35">
      <c r="A4196" t="s">
        <v>4233</v>
      </c>
      <c r="B4196">
        <v>59</v>
      </c>
      <c r="C4196" t="s">
        <v>12</v>
      </c>
      <c r="D4196" t="s">
        <v>13</v>
      </c>
      <c r="E4196">
        <v>9</v>
      </c>
      <c r="F4196" t="s">
        <v>33</v>
      </c>
      <c r="G4196" t="s">
        <v>15</v>
      </c>
      <c r="H4196" s="1">
        <v>361.42</v>
      </c>
      <c r="I4196" t="s">
        <v>24</v>
      </c>
      <c r="J4196">
        <v>1</v>
      </c>
      <c r="K4196">
        <v>6</v>
      </c>
    </row>
    <row r="4197" spans="1:11" x14ac:dyDescent="0.35">
      <c r="A4197" t="s">
        <v>4234</v>
      </c>
      <c r="B4197">
        <v>56</v>
      </c>
      <c r="C4197" t="s">
        <v>18</v>
      </c>
      <c r="D4197" t="s">
        <v>19</v>
      </c>
      <c r="E4197">
        <v>12</v>
      </c>
      <c r="F4197" t="s">
        <v>22</v>
      </c>
      <c r="G4197" t="s">
        <v>23</v>
      </c>
      <c r="H4197" s="1">
        <v>208.12</v>
      </c>
      <c r="I4197" t="s">
        <v>24</v>
      </c>
      <c r="J4197">
        <v>0</v>
      </c>
      <c r="K4197">
        <v>5</v>
      </c>
    </row>
    <row r="4198" spans="1:11" x14ac:dyDescent="0.35">
      <c r="A4198" t="s">
        <v>4235</v>
      </c>
      <c r="B4198">
        <v>77</v>
      </c>
      <c r="C4198" t="s">
        <v>12</v>
      </c>
      <c r="D4198" t="s">
        <v>200</v>
      </c>
      <c r="E4198">
        <v>9</v>
      </c>
      <c r="F4198" t="s">
        <v>33</v>
      </c>
      <c r="G4198" t="s">
        <v>23</v>
      </c>
      <c r="H4198" s="1">
        <v>101.16</v>
      </c>
      <c r="I4198" t="s">
        <v>28</v>
      </c>
      <c r="J4198">
        <v>0</v>
      </c>
      <c r="K4198">
        <v>5</v>
      </c>
    </row>
    <row r="4199" spans="1:11" x14ac:dyDescent="0.35">
      <c r="A4199" t="s">
        <v>4236</v>
      </c>
      <c r="B4199">
        <v>83</v>
      </c>
      <c r="C4199" t="s">
        <v>18</v>
      </c>
      <c r="D4199" t="s">
        <v>30</v>
      </c>
      <c r="E4199">
        <v>10</v>
      </c>
      <c r="F4199" t="s">
        <v>31</v>
      </c>
      <c r="G4199" t="s">
        <v>23</v>
      </c>
      <c r="H4199" s="1">
        <v>546.96</v>
      </c>
      <c r="I4199" t="s">
        <v>24</v>
      </c>
      <c r="J4199">
        <v>2</v>
      </c>
      <c r="K4199">
        <v>6</v>
      </c>
    </row>
    <row r="4200" spans="1:11" x14ac:dyDescent="0.35">
      <c r="A4200" t="s">
        <v>4237</v>
      </c>
      <c r="B4200">
        <v>38</v>
      </c>
      <c r="C4200" t="s">
        <v>12</v>
      </c>
      <c r="D4200" t="s">
        <v>13</v>
      </c>
      <c r="E4200">
        <v>7</v>
      </c>
      <c r="F4200" t="s">
        <v>31</v>
      </c>
      <c r="G4200" t="s">
        <v>15</v>
      </c>
      <c r="H4200" s="1">
        <v>107.9</v>
      </c>
      <c r="I4200" t="s">
        <v>24</v>
      </c>
      <c r="J4200">
        <v>1</v>
      </c>
      <c r="K4200">
        <v>8</v>
      </c>
    </row>
    <row r="4201" spans="1:11" x14ac:dyDescent="0.35">
      <c r="A4201" t="s">
        <v>4238</v>
      </c>
      <c r="B4201">
        <v>32</v>
      </c>
      <c r="C4201" t="s">
        <v>12</v>
      </c>
      <c r="D4201" t="s">
        <v>30</v>
      </c>
      <c r="E4201">
        <v>4</v>
      </c>
      <c r="F4201" t="s">
        <v>22</v>
      </c>
      <c r="G4201" t="s">
        <v>34</v>
      </c>
      <c r="H4201" s="1">
        <v>203.66</v>
      </c>
      <c r="I4201" t="s">
        <v>24</v>
      </c>
      <c r="J4201">
        <v>1</v>
      </c>
      <c r="K4201">
        <v>8</v>
      </c>
    </row>
    <row r="4202" spans="1:11" x14ac:dyDescent="0.35">
      <c r="A4202" t="s">
        <v>4239</v>
      </c>
      <c r="B4202">
        <v>73</v>
      </c>
      <c r="C4202" t="s">
        <v>12</v>
      </c>
      <c r="D4202" t="s">
        <v>19</v>
      </c>
      <c r="E4202">
        <v>20</v>
      </c>
      <c r="F4202" t="s">
        <v>22</v>
      </c>
      <c r="G4202" t="s">
        <v>27</v>
      </c>
      <c r="H4202" s="1">
        <v>69.040000000000006</v>
      </c>
      <c r="I4202" t="s">
        <v>24</v>
      </c>
      <c r="J4202">
        <v>2</v>
      </c>
      <c r="K4202">
        <v>2</v>
      </c>
    </row>
    <row r="4203" spans="1:11" x14ac:dyDescent="0.35">
      <c r="A4203" t="s">
        <v>4240</v>
      </c>
      <c r="B4203">
        <v>41</v>
      </c>
      <c r="C4203" t="s">
        <v>12</v>
      </c>
      <c r="D4203" t="s">
        <v>19</v>
      </c>
      <c r="E4203">
        <v>22</v>
      </c>
      <c r="F4203" t="s">
        <v>22</v>
      </c>
      <c r="G4203" t="s">
        <v>37</v>
      </c>
      <c r="H4203" s="1">
        <v>186.28</v>
      </c>
      <c r="I4203" t="s">
        <v>24</v>
      </c>
      <c r="J4203">
        <v>3</v>
      </c>
      <c r="K4203">
        <v>3</v>
      </c>
    </row>
    <row r="4204" spans="1:11" x14ac:dyDescent="0.35">
      <c r="A4204" t="s">
        <v>4241</v>
      </c>
      <c r="B4204">
        <v>32</v>
      </c>
      <c r="C4204" t="s">
        <v>12</v>
      </c>
      <c r="D4204" t="s">
        <v>47</v>
      </c>
      <c r="E4204">
        <v>9</v>
      </c>
      <c r="F4204" t="s">
        <v>31</v>
      </c>
      <c r="G4204" t="s">
        <v>34</v>
      </c>
      <c r="H4204" s="1">
        <v>152.69</v>
      </c>
      <c r="I4204" t="s">
        <v>24</v>
      </c>
      <c r="J4204">
        <v>1</v>
      </c>
      <c r="K4204">
        <v>4</v>
      </c>
    </row>
    <row r="4205" spans="1:11" x14ac:dyDescent="0.35">
      <c r="A4205" t="s">
        <v>4242</v>
      </c>
      <c r="B4205">
        <v>36</v>
      </c>
      <c r="C4205" t="s">
        <v>12</v>
      </c>
      <c r="D4205" t="s">
        <v>19</v>
      </c>
      <c r="E4205">
        <v>7</v>
      </c>
      <c r="F4205" t="s">
        <v>26</v>
      </c>
      <c r="G4205" t="s">
        <v>15</v>
      </c>
      <c r="H4205" s="1">
        <v>128.88</v>
      </c>
      <c r="I4205" t="s">
        <v>24</v>
      </c>
      <c r="J4205">
        <v>1</v>
      </c>
      <c r="K4205">
        <v>7</v>
      </c>
    </row>
    <row r="4206" spans="1:11" x14ac:dyDescent="0.35">
      <c r="A4206" t="s">
        <v>4243</v>
      </c>
      <c r="B4206">
        <v>69</v>
      </c>
      <c r="C4206" t="s">
        <v>12</v>
      </c>
      <c r="D4206" t="s">
        <v>244</v>
      </c>
      <c r="E4206">
        <v>10</v>
      </c>
      <c r="F4206" t="s">
        <v>26</v>
      </c>
      <c r="G4206" t="s">
        <v>23</v>
      </c>
      <c r="H4206" s="1">
        <v>210.89</v>
      </c>
      <c r="I4206" t="s">
        <v>24</v>
      </c>
      <c r="J4206">
        <v>2</v>
      </c>
      <c r="K4206">
        <v>4</v>
      </c>
    </row>
    <row r="4207" spans="1:11" x14ac:dyDescent="0.35">
      <c r="A4207" t="s">
        <v>4244</v>
      </c>
      <c r="B4207">
        <v>59</v>
      </c>
      <c r="C4207" t="s">
        <v>18</v>
      </c>
      <c r="D4207" t="s">
        <v>30</v>
      </c>
      <c r="E4207">
        <v>5</v>
      </c>
      <c r="F4207" t="s">
        <v>22</v>
      </c>
      <c r="G4207" t="s">
        <v>37</v>
      </c>
      <c r="H4207" s="1">
        <v>101.68</v>
      </c>
      <c r="I4207" t="s">
        <v>43</v>
      </c>
      <c r="J4207">
        <v>0</v>
      </c>
      <c r="K4207">
        <v>9</v>
      </c>
    </row>
    <row r="4208" spans="1:11" x14ac:dyDescent="0.35">
      <c r="A4208" t="s">
        <v>4245</v>
      </c>
      <c r="B4208">
        <v>75</v>
      </c>
      <c r="C4208" t="s">
        <v>18</v>
      </c>
      <c r="D4208" t="s">
        <v>13</v>
      </c>
      <c r="E4208">
        <v>24</v>
      </c>
      <c r="F4208" t="s">
        <v>22</v>
      </c>
      <c r="G4208" t="s">
        <v>23</v>
      </c>
      <c r="H4208" s="1">
        <v>101.43</v>
      </c>
      <c r="I4208" t="s">
        <v>43</v>
      </c>
      <c r="J4208">
        <v>0</v>
      </c>
      <c r="K4208">
        <v>3</v>
      </c>
    </row>
    <row r="4209" spans="1:11" x14ac:dyDescent="0.35">
      <c r="A4209" t="s">
        <v>4246</v>
      </c>
      <c r="B4209">
        <v>64</v>
      </c>
      <c r="C4209" t="s">
        <v>18</v>
      </c>
      <c r="D4209" t="s">
        <v>19</v>
      </c>
      <c r="E4209">
        <v>7</v>
      </c>
      <c r="F4209" t="s">
        <v>26</v>
      </c>
      <c r="G4209" t="s">
        <v>23</v>
      </c>
      <c r="H4209" s="1">
        <v>329.8</v>
      </c>
      <c r="I4209" t="s">
        <v>24</v>
      </c>
      <c r="J4209">
        <v>0</v>
      </c>
      <c r="K4209">
        <v>8</v>
      </c>
    </row>
    <row r="4210" spans="1:11" x14ac:dyDescent="0.35">
      <c r="A4210" t="s">
        <v>4247</v>
      </c>
      <c r="B4210">
        <v>34</v>
      </c>
      <c r="C4210" t="s">
        <v>18</v>
      </c>
      <c r="D4210" t="s">
        <v>47</v>
      </c>
      <c r="E4210">
        <v>8</v>
      </c>
      <c r="F4210" t="s">
        <v>14</v>
      </c>
      <c r="G4210" t="s">
        <v>23</v>
      </c>
      <c r="H4210" s="1">
        <v>0</v>
      </c>
      <c r="I4210" t="s">
        <v>16</v>
      </c>
      <c r="J4210">
        <v>0</v>
      </c>
      <c r="K4210">
        <v>7</v>
      </c>
    </row>
    <row r="4211" spans="1:11" x14ac:dyDescent="0.35">
      <c r="A4211" t="s">
        <v>4248</v>
      </c>
      <c r="B4211">
        <v>20</v>
      </c>
      <c r="C4211" t="s">
        <v>12</v>
      </c>
      <c r="D4211" t="s">
        <v>21</v>
      </c>
      <c r="E4211">
        <v>12</v>
      </c>
      <c r="F4211" t="s">
        <v>33</v>
      </c>
      <c r="G4211" t="s">
        <v>34</v>
      </c>
      <c r="H4211" s="1">
        <v>138.86000000000001</v>
      </c>
      <c r="I4211" t="s">
        <v>24</v>
      </c>
      <c r="J4211">
        <v>3</v>
      </c>
      <c r="K4211">
        <v>4</v>
      </c>
    </row>
    <row r="4212" spans="1:11" x14ac:dyDescent="0.35">
      <c r="A4212" t="s">
        <v>4249</v>
      </c>
      <c r="B4212">
        <v>80</v>
      </c>
      <c r="C4212" t="s">
        <v>12</v>
      </c>
      <c r="D4212" t="s">
        <v>19</v>
      </c>
      <c r="E4212">
        <v>22</v>
      </c>
      <c r="F4212" t="s">
        <v>14</v>
      </c>
      <c r="G4212" t="s">
        <v>34</v>
      </c>
      <c r="H4212" s="1">
        <v>0</v>
      </c>
      <c r="I4212" t="s">
        <v>16</v>
      </c>
      <c r="J4212">
        <v>3</v>
      </c>
      <c r="K4212">
        <v>1</v>
      </c>
    </row>
    <row r="4213" spans="1:11" x14ac:dyDescent="0.35">
      <c r="A4213" t="s">
        <v>4250</v>
      </c>
      <c r="B4213">
        <v>74</v>
      </c>
      <c r="C4213" t="s">
        <v>12</v>
      </c>
      <c r="D4213" t="s">
        <v>19</v>
      </c>
      <c r="E4213">
        <v>18</v>
      </c>
      <c r="F4213" t="s">
        <v>26</v>
      </c>
      <c r="G4213" t="s">
        <v>15</v>
      </c>
      <c r="H4213" s="1">
        <v>125.45</v>
      </c>
      <c r="I4213" t="s">
        <v>24</v>
      </c>
      <c r="J4213">
        <v>1</v>
      </c>
      <c r="K4213">
        <v>7</v>
      </c>
    </row>
    <row r="4214" spans="1:11" x14ac:dyDescent="0.35">
      <c r="A4214" t="s">
        <v>4251</v>
      </c>
      <c r="B4214">
        <v>22</v>
      </c>
      <c r="C4214" t="s">
        <v>18</v>
      </c>
      <c r="D4214" t="s">
        <v>21</v>
      </c>
      <c r="E4214">
        <v>44</v>
      </c>
      <c r="F4214" t="s">
        <v>22</v>
      </c>
      <c r="G4214" t="s">
        <v>27</v>
      </c>
      <c r="H4214" s="1">
        <v>155.81</v>
      </c>
      <c r="I4214" t="s">
        <v>28</v>
      </c>
      <c r="J4214">
        <v>2</v>
      </c>
      <c r="K4214">
        <v>4</v>
      </c>
    </row>
    <row r="4215" spans="1:11" x14ac:dyDescent="0.35">
      <c r="A4215" t="s">
        <v>4252</v>
      </c>
      <c r="B4215">
        <v>23</v>
      </c>
      <c r="C4215" t="s">
        <v>18</v>
      </c>
      <c r="D4215" t="s">
        <v>21</v>
      </c>
      <c r="E4215">
        <v>17</v>
      </c>
      <c r="F4215" t="s">
        <v>33</v>
      </c>
      <c r="G4215" t="s">
        <v>27</v>
      </c>
      <c r="H4215" s="1">
        <v>168.7</v>
      </c>
      <c r="I4215" t="s">
        <v>28</v>
      </c>
      <c r="J4215">
        <v>1</v>
      </c>
      <c r="K4215">
        <v>7</v>
      </c>
    </row>
    <row r="4216" spans="1:11" x14ac:dyDescent="0.35">
      <c r="A4216" t="s">
        <v>4253</v>
      </c>
      <c r="B4216">
        <v>38</v>
      </c>
      <c r="C4216" t="s">
        <v>18</v>
      </c>
      <c r="D4216" t="s">
        <v>13</v>
      </c>
      <c r="E4216">
        <v>17</v>
      </c>
      <c r="F4216" t="s">
        <v>22</v>
      </c>
      <c r="G4216" t="s">
        <v>34</v>
      </c>
      <c r="H4216" s="1">
        <v>110.83</v>
      </c>
      <c r="I4216" t="s">
        <v>24</v>
      </c>
      <c r="J4216">
        <v>1</v>
      </c>
      <c r="K4216">
        <v>5</v>
      </c>
    </row>
    <row r="4217" spans="1:11" x14ac:dyDescent="0.35">
      <c r="A4217" t="s">
        <v>4254</v>
      </c>
      <c r="B4217">
        <v>58</v>
      </c>
      <c r="C4217" t="s">
        <v>18</v>
      </c>
      <c r="D4217" t="s">
        <v>19</v>
      </c>
      <c r="E4217">
        <v>21</v>
      </c>
      <c r="F4217" t="s">
        <v>33</v>
      </c>
      <c r="G4217" t="s">
        <v>27</v>
      </c>
      <c r="H4217" s="1">
        <v>164.46</v>
      </c>
      <c r="I4217" t="s">
        <v>24</v>
      </c>
      <c r="J4217">
        <v>0</v>
      </c>
      <c r="K4217">
        <v>4</v>
      </c>
    </row>
    <row r="4218" spans="1:11" x14ac:dyDescent="0.35">
      <c r="A4218" t="s">
        <v>4255</v>
      </c>
      <c r="B4218">
        <v>50</v>
      </c>
      <c r="C4218" t="s">
        <v>18</v>
      </c>
      <c r="D4218" t="s">
        <v>13</v>
      </c>
      <c r="E4218">
        <v>23</v>
      </c>
      <c r="F4218" t="s">
        <v>33</v>
      </c>
      <c r="G4218" t="s">
        <v>23</v>
      </c>
      <c r="H4218" s="1">
        <v>428.42</v>
      </c>
      <c r="I4218" t="s">
        <v>24</v>
      </c>
      <c r="J4218">
        <v>2</v>
      </c>
      <c r="K4218">
        <v>4</v>
      </c>
    </row>
    <row r="4219" spans="1:11" x14ac:dyDescent="0.35">
      <c r="A4219" t="s">
        <v>4256</v>
      </c>
      <c r="B4219">
        <v>23</v>
      </c>
      <c r="C4219" t="s">
        <v>12</v>
      </c>
      <c r="D4219" t="s">
        <v>13</v>
      </c>
      <c r="E4219">
        <v>16</v>
      </c>
      <c r="F4219" t="s">
        <v>33</v>
      </c>
      <c r="G4219" t="s">
        <v>34</v>
      </c>
      <c r="H4219" s="1">
        <v>170.93</v>
      </c>
      <c r="I4219" t="s">
        <v>24</v>
      </c>
      <c r="J4219">
        <v>0</v>
      </c>
      <c r="K4219">
        <v>8</v>
      </c>
    </row>
    <row r="4220" spans="1:11" x14ac:dyDescent="0.35">
      <c r="A4220" t="s">
        <v>4257</v>
      </c>
      <c r="B4220">
        <v>35</v>
      </c>
      <c r="C4220" t="s">
        <v>18</v>
      </c>
      <c r="D4220" t="s">
        <v>21</v>
      </c>
      <c r="E4220">
        <v>47</v>
      </c>
      <c r="F4220" t="s">
        <v>22</v>
      </c>
      <c r="G4220" t="s">
        <v>27</v>
      </c>
      <c r="H4220" s="1">
        <v>113.04</v>
      </c>
      <c r="I4220" t="s">
        <v>43</v>
      </c>
      <c r="J4220">
        <v>4</v>
      </c>
      <c r="K4220">
        <v>4</v>
      </c>
    </row>
    <row r="4221" spans="1:11" x14ac:dyDescent="0.35">
      <c r="A4221" t="s">
        <v>4258</v>
      </c>
      <c r="B4221">
        <v>46</v>
      </c>
      <c r="C4221" t="s">
        <v>12</v>
      </c>
      <c r="D4221" t="s">
        <v>30</v>
      </c>
      <c r="E4221">
        <v>11</v>
      </c>
      <c r="F4221" t="s">
        <v>22</v>
      </c>
      <c r="G4221" t="s">
        <v>27</v>
      </c>
      <c r="H4221" s="1">
        <v>50</v>
      </c>
      <c r="I4221" t="s">
        <v>24</v>
      </c>
      <c r="J4221">
        <v>0</v>
      </c>
      <c r="K4221">
        <v>7</v>
      </c>
    </row>
    <row r="4222" spans="1:11" x14ac:dyDescent="0.35">
      <c r="A4222" t="s">
        <v>4259</v>
      </c>
      <c r="B4222">
        <v>72</v>
      </c>
      <c r="C4222" t="s">
        <v>18</v>
      </c>
      <c r="D4222" t="s">
        <v>19</v>
      </c>
      <c r="E4222">
        <v>17</v>
      </c>
      <c r="F4222" t="s">
        <v>22</v>
      </c>
      <c r="G4222" t="s">
        <v>15</v>
      </c>
      <c r="H4222" s="1">
        <v>202.89</v>
      </c>
      <c r="I4222" t="s">
        <v>24</v>
      </c>
      <c r="J4222">
        <v>0</v>
      </c>
      <c r="K4222">
        <v>5</v>
      </c>
    </row>
    <row r="4223" spans="1:11" x14ac:dyDescent="0.35">
      <c r="A4223" t="s">
        <v>4260</v>
      </c>
      <c r="B4223">
        <v>62</v>
      </c>
      <c r="C4223" t="s">
        <v>12</v>
      </c>
      <c r="D4223" t="s">
        <v>13</v>
      </c>
      <c r="E4223">
        <v>7</v>
      </c>
      <c r="F4223" t="s">
        <v>33</v>
      </c>
      <c r="G4223" t="s">
        <v>37</v>
      </c>
      <c r="H4223" s="1">
        <v>117.14</v>
      </c>
      <c r="I4223" t="s">
        <v>24</v>
      </c>
      <c r="J4223">
        <v>2</v>
      </c>
      <c r="K4223">
        <v>7</v>
      </c>
    </row>
    <row r="4224" spans="1:11" x14ac:dyDescent="0.35">
      <c r="A4224" t="s">
        <v>4261</v>
      </c>
      <c r="B4224">
        <v>55</v>
      </c>
      <c r="C4224" t="s">
        <v>18</v>
      </c>
      <c r="D4224" t="s">
        <v>21</v>
      </c>
      <c r="E4224">
        <v>23</v>
      </c>
      <c r="F4224" t="s">
        <v>14</v>
      </c>
      <c r="G4224" t="s">
        <v>34</v>
      </c>
      <c r="H4224" s="1">
        <v>0</v>
      </c>
      <c r="I4224" t="s">
        <v>16</v>
      </c>
      <c r="J4224">
        <v>1</v>
      </c>
      <c r="K4224">
        <v>4</v>
      </c>
    </row>
    <row r="4225" spans="1:11" x14ac:dyDescent="0.35">
      <c r="A4225" t="s">
        <v>4262</v>
      </c>
      <c r="B4225">
        <v>68</v>
      </c>
      <c r="C4225" t="s">
        <v>18</v>
      </c>
      <c r="D4225" t="s">
        <v>13</v>
      </c>
      <c r="E4225">
        <v>12</v>
      </c>
      <c r="F4225" t="s">
        <v>33</v>
      </c>
      <c r="G4225" t="s">
        <v>23</v>
      </c>
      <c r="H4225" s="1">
        <v>114.67</v>
      </c>
      <c r="I4225" t="s">
        <v>24</v>
      </c>
      <c r="J4225">
        <v>2</v>
      </c>
      <c r="K4225">
        <v>7</v>
      </c>
    </row>
    <row r="4226" spans="1:11" x14ac:dyDescent="0.35">
      <c r="A4226" t="s">
        <v>4263</v>
      </c>
      <c r="B4226">
        <v>77</v>
      </c>
      <c r="C4226" t="s">
        <v>18</v>
      </c>
      <c r="D4226" t="s">
        <v>57</v>
      </c>
      <c r="E4226">
        <v>24</v>
      </c>
      <c r="F4226" t="s">
        <v>14</v>
      </c>
      <c r="G4226" t="s">
        <v>34</v>
      </c>
      <c r="H4226" s="1">
        <v>0</v>
      </c>
      <c r="I4226" t="s">
        <v>16</v>
      </c>
      <c r="J4226">
        <v>3</v>
      </c>
      <c r="K4226">
        <v>3</v>
      </c>
    </row>
    <row r="4227" spans="1:11" x14ac:dyDescent="0.35">
      <c r="A4227" t="s">
        <v>4264</v>
      </c>
      <c r="B4227">
        <v>77</v>
      </c>
      <c r="C4227" t="s">
        <v>12</v>
      </c>
      <c r="D4227" t="s">
        <v>13</v>
      </c>
      <c r="E4227">
        <v>9</v>
      </c>
      <c r="F4227" t="s">
        <v>26</v>
      </c>
      <c r="G4227" t="s">
        <v>15</v>
      </c>
      <c r="H4227" s="1">
        <v>153.61000000000001</v>
      </c>
      <c r="I4227" t="s">
        <v>43</v>
      </c>
      <c r="J4227">
        <v>0</v>
      </c>
      <c r="K4227">
        <v>8</v>
      </c>
    </row>
    <row r="4228" spans="1:11" x14ac:dyDescent="0.35">
      <c r="A4228" t="s">
        <v>4265</v>
      </c>
      <c r="B4228">
        <v>68</v>
      </c>
      <c r="C4228" t="s">
        <v>18</v>
      </c>
      <c r="D4228" t="s">
        <v>21</v>
      </c>
      <c r="E4228">
        <v>36</v>
      </c>
      <c r="F4228" t="s">
        <v>31</v>
      </c>
      <c r="G4228" t="s">
        <v>34</v>
      </c>
      <c r="H4228" s="1">
        <v>91</v>
      </c>
      <c r="I4228" t="s">
        <v>24</v>
      </c>
      <c r="J4228">
        <v>4</v>
      </c>
      <c r="K4228">
        <v>2</v>
      </c>
    </row>
    <row r="4229" spans="1:11" x14ac:dyDescent="0.35">
      <c r="A4229" t="s">
        <v>4266</v>
      </c>
      <c r="B4229">
        <v>62</v>
      </c>
      <c r="C4229" t="s">
        <v>12</v>
      </c>
      <c r="D4229" t="s">
        <v>13</v>
      </c>
      <c r="E4229">
        <v>15</v>
      </c>
      <c r="F4229" t="s">
        <v>22</v>
      </c>
      <c r="G4229" t="s">
        <v>37</v>
      </c>
      <c r="H4229" s="1">
        <v>145.57</v>
      </c>
      <c r="I4229" t="s">
        <v>28</v>
      </c>
      <c r="J4229">
        <v>0</v>
      </c>
      <c r="K4229">
        <v>5</v>
      </c>
    </row>
    <row r="4230" spans="1:11" x14ac:dyDescent="0.35">
      <c r="A4230" t="s">
        <v>4267</v>
      </c>
      <c r="B4230">
        <v>81</v>
      </c>
      <c r="C4230" t="s">
        <v>12</v>
      </c>
      <c r="D4230" t="s">
        <v>30</v>
      </c>
      <c r="E4230">
        <v>13</v>
      </c>
      <c r="F4230" t="s">
        <v>22</v>
      </c>
      <c r="G4230" t="s">
        <v>34</v>
      </c>
      <c r="H4230" s="1">
        <v>114.1</v>
      </c>
      <c r="I4230" t="s">
        <v>24</v>
      </c>
      <c r="J4230">
        <v>0</v>
      </c>
      <c r="K4230">
        <v>5</v>
      </c>
    </row>
    <row r="4231" spans="1:11" x14ac:dyDescent="0.35">
      <c r="A4231" t="s">
        <v>4268</v>
      </c>
      <c r="B4231">
        <v>72</v>
      </c>
      <c r="C4231" t="s">
        <v>12</v>
      </c>
      <c r="D4231" t="s">
        <v>120</v>
      </c>
      <c r="E4231">
        <v>15</v>
      </c>
      <c r="F4231" t="s">
        <v>22</v>
      </c>
      <c r="G4231" t="s">
        <v>15</v>
      </c>
      <c r="H4231" s="1">
        <v>87.7</v>
      </c>
      <c r="I4231" t="s">
        <v>24</v>
      </c>
      <c r="J4231">
        <v>1</v>
      </c>
      <c r="K4231">
        <v>8</v>
      </c>
    </row>
    <row r="4232" spans="1:11" x14ac:dyDescent="0.35">
      <c r="A4232" t="s">
        <v>4269</v>
      </c>
      <c r="B4232">
        <v>28</v>
      </c>
      <c r="C4232" t="s">
        <v>12</v>
      </c>
      <c r="D4232" t="s">
        <v>21</v>
      </c>
      <c r="E4232">
        <v>36</v>
      </c>
      <c r="F4232" t="s">
        <v>31</v>
      </c>
      <c r="G4232" t="s">
        <v>15</v>
      </c>
      <c r="H4232" s="1">
        <v>323.64999999999998</v>
      </c>
      <c r="I4232" t="s">
        <v>43</v>
      </c>
      <c r="J4232">
        <v>1</v>
      </c>
      <c r="K4232">
        <v>3</v>
      </c>
    </row>
    <row r="4233" spans="1:11" x14ac:dyDescent="0.35">
      <c r="A4233" t="s">
        <v>4270</v>
      </c>
      <c r="B4233">
        <v>66</v>
      </c>
      <c r="C4233" t="s">
        <v>18</v>
      </c>
      <c r="D4233" t="s">
        <v>21</v>
      </c>
      <c r="E4233">
        <v>44</v>
      </c>
      <c r="F4233" t="s">
        <v>33</v>
      </c>
      <c r="G4233" t="s">
        <v>23</v>
      </c>
      <c r="H4233" s="1">
        <v>510.45</v>
      </c>
      <c r="I4233" t="s">
        <v>24</v>
      </c>
      <c r="J4233">
        <v>1</v>
      </c>
      <c r="K4233">
        <v>5</v>
      </c>
    </row>
    <row r="4234" spans="1:11" x14ac:dyDescent="0.35">
      <c r="A4234" t="s">
        <v>4271</v>
      </c>
      <c r="B4234">
        <v>36</v>
      </c>
      <c r="C4234" t="s">
        <v>12</v>
      </c>
      <c r="D4234" t="s">
        <v>120</v>
      </c>
      <c r="E4234">
        <v>28</v>
      </c>
      <c r="F4234" t="s">
        <v>26</v>
      </c>
      <c r="G4234" t="s">
        <v>27</v>
      </c>
      <c r="H4234" s="1">
        <v>171.42</v>
      </c>
      <c r="I4234" t="s">
        <v>24</v>
      </c>
      <c r="J4234">
        <v>0</v>
      </c>
      <c r="K4234">
        <v>5</v>
      </c>
    </row>
    <row r="4235" spans="1:11" x14ac:dyDescent="0.35">
      <c r="A4235" t="s">
        <v>4272</v>
      </c>
      <c r="B4235">
        <v>50</v>
      </c>
      <c r="C4235" t="s">
        <v>528</v>
      </c>
      <c r="D4235" t="s">
        <v>19</v>
      </c>
      <c r="E4235">
        <v>23</v>
      </c>
      <c r="F4235" t="s">
        <v>22</v>
      </c>
      <c r="G4235" t="s">
        <v>23</v>
      </c>
      <c r="H4235" s="1">
        <v>353.1</v>
      </c>
      <c r="I4235" t="s">
        <v>24</v>
      </c>
      <c r="J4235">
        <v>4</v>
      </c>
      <c r="K4235">
        <v>5</v>
      </c>
    </row>
    <row r="4236" spans="1:11" x14ac:dyDescent="0.35">
      <c r="A4236" t="s">
        <v>4273</v>
      </c>
      <c r="B4236">
        <v>85</v>
      </c>
      <c r="C4236" t="s">
        <v>12</v>
      </c>
      <c r="D4236" t="s">
        <v>19</v>
      </c>
      <c r="E4236">
        <v>24</v>
      </c>
      <c r="F4236" t="s">
        <v>33</v>
      </c>
      <c r="G4236" t="s">
        <v>37</v>
      </c>
      <c r="H4236" s="1">
        <v>94.01</v>
      </c>
      <c r="I4236" t="s">
        <v>24</v>
      </c>
      <c r="J4236">
        <v>2</v>
      </c>
      <c r="K4236">
        <v>2</v>
      </c>
    </row>
    <row r="4237" spans="1:11" x14ac:dyDescent="0.35">
      <c r="A4237" t="s">
        <v>4274</v>
      </c>
      <c r="B4237">
        <v>60</v>
      </c>
      <c r="C4237" t="s">
        <v>12</v>
      </c>
      <c r="D4237" t="s">
        <v>13</v>
      </c>
      <c r="E4237">
        <v>21</v>
      </c>
      <c r="F4237" t="s">
        <v>14</v>
      </c>
      <c r="G4237" t="s">
        <v>34</v>
      </c>
      <c r="H4237" s="1">
        <v>0</v>
      </c>
      <c r="I4237" t="s">
        <v>16</v>
      </c>
      <c r="J4237">
        <v>2</v>
      </c>
      <c r="K4237">
        <v>2</v>
      </c>
    </row>
    <row r="4238" spans="1:11" x14ac:dyDescent="0.35">
      <c r="A4238" t="s">
        <v>4275</v>
      </c>
      <c r="B4238">
        <v>44</v>
      </c>
      <c r="C4238" t="s">
        <v>18</v>
      </c>
      <c r="D4238" t="s">
        <v>19</v>
      </c>
      <c r="E4238">
        <v>10</v>
      </c>
      <c r="F4238" t="s">
        <v>31</v>
      </c>
      <c r="G4238" t="s">
        <v>23</v>
      </c>
      <c r="H4238" s="1">
        <v>320.19</v>
      </c>
      <c r="I4238" t="s">
        <v>24</v>
      </c>
      <c r="J4238">
        <v>1</v>
      </c>
      <c r="K4238">
        <v>7</v>
      </c>
    </row>
    <row r="4239" spans="1:11" x14ac:dyDescent="0.35">
      <c r="A4239" t="s">
        <v>4276</v>
      </c>
      <c r="B4239">
        <v>38</v>
      </c>
      <c r="C4239" t="s">
        <v>18</v>
      </c>
      <c r="D4239" t="s">
        <v>19</v>
      </c>
      <c r="E4239">
        <v>17</v>
      </c>
      <c r="F4239" t="s">
        <v>22</v>
      </c>
      <c r="G4239" t="s">
        <v>23</v>
      </c>
      <c r="H4239" s="1">
        <v>327.9</v>
      </c>
      <c r="I4239" t="s">
        <v>24</v>
      </c>
      <c r="J4239">
        <v>1</v>
      </c>
      <c r="K4239">
        <v>6</v>
      </c>
    </row>
    <row r="4240" spans="1:11" x14ac:dyDescent="0.35">
      <c r="A4240" t="s">
        <v>4277</v>
      </c>
      <c r="B4240">
        <v>63</v>
      </c>
      <c r="C4240" t="s">
        <v>18</v>
      </c>
      <c r="D4240" t="s">
        <v>13</v>
      </c>
      <c r="E4240">
        <v>14</v>
      </c>
      <c r="F4240" t="s">
        <v>33</v>
      </c>
      <c r="G4240" t="s">
        <v>34</v>
      </c>
      <c r="H4240" s="1">
        <v>197.17</v>
      </c>
      <c r="I4240" t="s">
        <v>24</v>
      </c>
      <c r="J4240">
        <v>0</v>
      </c>
      <c r="K4240">
        <v>6</v>
      </c>
    </row>
    <row r="4241" spans="1:11" x14ac:dyDescent="0.35">
      <c r="A4241" t="s">
        <v>4278</v>
      </c>
      <c r="B4241">
        <v>35</v>
      </c>
      <c r="C4241" t="s">
        <v>12</v>
      </c>
      <c r="D4241" t="s">
        <v>21</v>
      </c>
      <c r="E4241">
        <v>26</v>
      </c>
      <c r="F4241" t="s">
        <v>33</v>
      </c>
      <c r="G4241" t="s">
        <v>34</v>
      </c>
      <c r="H4241" s="1">
        <v>99.59</v>
      </c>
      <c r="I4241" t="s">
        <v>24</v>
      </c>
      <c r="J4241">
        <v>1</v>
      </c>
      <c r="K4241">
        <v>5</v>
      </c>
    </row>
    <row r="4242" spans="1:11" x14ac:dyDescent="0.35">
      <c r="A4242" t="s">
        <v>4279</v>
      </c>
      <c r="B4242">
        <v>28</v>
      </c>
      <c r="C4242" t="s">
        <v>18</v>
      </c>
      <c r="D4242" t="s">
        <v>13</v>
      </c>
      <c r="E4242">
        <v>18</v>
      </c>
      <c r="F4242" t="s">
        <v>22</v>
      </c>
      <c r="G4242" t="s">
        <v>34</v>
      </c>
      <c r="H4242" s="1">
        <v>108.3</v>
      </c>
      <c r="I4242" t="s">
        <v>28</v>
      </c>
      <c r="J4242">
        <v>0</v>
      </c>
      <c r="K4242">
        <v>7</v>
      </c>
    </row>
    <row r="4243" spans="1:11" x14ac:dyDescent="0.35">
      <c r="A4243" t="s">
        <v>4280</v>
      </c>
      <c r="B4243">
        <v>47</v>
      </c>
      <c r="C4243" t="s">
        <v>18</v>
      </c>
      <c r="D4243" t="s">
        <v>30</v>
      </c>
      <c r="E4243">
        <v>9</v>
      </c>
      <c r="F4243" t="s">
        <v>31</v>
      </c>
      <c r="G4243" t="s">
        <v>37</v>
      </c>
      <c r="H4243" s="1">
        <v>211.03</v>
      </c>
      <c r="I4243" t="s">
        <v>28</v>
      </c>
      <c r="J4243">
        <v>3</v>
      </c>
      <c r="K4243">
        <v>6</v>
      </c>
    </row>
    <row r="4244" spans="1:11" x14ac:dyDescent="0.35">
      <c r="A4244" t="s">
        <v>4281</v>
      </c>
      <c r="B4244">
        <v>57</v>
      </c>
      <c r="C4244" t="s">
        <v>12</v>
      </c>
      <c r="D4244" t="s">
        <v>19</v>
      </c>
      <c r="E4244">
        <v>19</v>
      </c>
      <c r="F4244" t="s">
        <v>22</v>
      </c>
      <c r="G4244" t="s">
        <v>15</v>
      </c>
      <c r="H4244" s="1">
        <v>350.1</v>
      </c>
      <c r="I4244" t="s">
        <v>24</v>
      </c>
      <c r="J4244">
        <v>1</v>
      </c>
      <c r="K4244">
        <v>5</v>
      </c>
    </row>
    <row r="4245" spans="1:11" x14ac:dyDescent="0.35">
      <c r="A4245" t="s">
        <v>4282</v>
      </c>
      <c r="B4245">
        <v>46</v>
      </c>
      <c r="C4245" t="s">
        <v>18</v>
      </c>
      <c r="D4245" t="s">
        <v>13</v>
      </c>
      <c r="E4245">
        <v>7</v>
      </c>
      <c r="F4245" t="s">
        <v>33</v>
      </c>
      <c r="G4245" t="s">
        <v>37</v>
      </c>
      <c r="H4245" s="1">
        <v>93.01</v>
      </c>
      <c r="I4245" t="s">
        <v>28</v>
      </c>
      <c r="J4245">
        <v>2</v>
      </c>
      <c r="K4245">
        <v>9</v>
      </c>
    </row>
    <row r="4246" spans="1:11" x14ac:dyDescent="0.35">
      <c r="A4246" t="s">
        <v>4283</v>
      </c>
      <c r="B4246">
        <v>84</v>
      </c>
      <c r="C4246" t="s">
        <v>18</v>
      </c>
      <c r="D4246" t="s">
        <v>21</v>
      </c>
      <c r="E4246">
        <v>28</v>
      </c>
      <c r="F4246" t="s">
        <v>33</v>
      </c>
      <c r="G4246" t="s">
        <v>27</v>
      </c>
      <c r="H4246" s="1">
        <v>63.21</v>
      </c>
      <c r="I4246" t="s">
        <v>24</v>
      </c>
      <c r="J4246">
        <v>3</v>
      </c>
      <c r="K4246">
        <v>2</v>
      </c>
    </row>
    <row r="4247" spans="1:11" x14ac:dyDescent="0.35">
      <c r="A4247" t="s">
        <v>4284</v>
      </c>
      <c r="B4247">
        <v>33</v>
      </c>
      <c r="C4247" t="s">
        <v>12</v>
      </c>
      <c r="D4247" t="s">
        <v>21</v>
      </c>
      <c r="E4247">
        <v>22</v>
      </c>
      <c r="F4247" t="s">
        <v>31</v>
      </c>
      <c r="G4247" t="s">
        <v>37</v>
      </c>
      <c r="H4247" s="1">
        <v>134.69</v>
      </c>
      <c r="I4247" t="s">
        <v>24</v>
      </c>
      <c r="J4247">
        <v>2</v>
      </c>
      <c r="K4247">
        <v>1</v>
      </c>
    </row>
    <row r="4248" spans="1:11" x14ac:dyDescent="0.35">
      <c r="A4248" t="s">
        <v>4285</v>
      </c>
      <c r="B4248">
        <v>48</v>
      </c>
      <c r="C4248" t="s">
        <v>12</v>
      </c>
      <c r="D4248" t="s">
        <v>21</v>
      </c>
      <c r="E4248">
        <v>31</v>
      </c>
      <c r="F4248" t="s">
        <v>31</v>
      </c>
      <c r="G4248" t="s">
        <v>15</v>
      </c>
      <c r="H4248" s="1">
        <v>82.35</v>
      </c>
      <c r="I4248" t="s">
        <v>24</v>
      </c>
      <c r="J4248">
        <v>4</v>
      </c>
      <c r="K4248">
        <v>2</v>
      </c>
    </row>
    <row r="4249" spans="1:11" x14ac:dyDescent="0.35">
      <c r="A4249" t="s">
        <v>4286</v>
      </c>
      <c r="B4249">
        <v>20</v>
      </c>
      <c r="C4249" t="s">
        <v>18</v>
      </c>
      <c r="D4249" t="s">
        <v>13</v>
      </c>
      <c r="E4249">
        <v>23</v>
      </c>
      <c r="F4249" t="s">
        <v>31</v>
      </c>
      <c r="G4249" t="s">
        <v>37</v>
      </c>
      <c r="H4249" s="1">
        <v>113.07</v>
      </c>
      <c r="I4249" t="s">
        <v>24</v>
      </c>
      <c r="J4249">
        <v>1</v>
      </c>
      <c r="K4249">
        <v>5</v>
      </c>
    </row>
    <row r="4250" spans="1:11" x14ac:dyDescent="0.35">
      <c r="A4250" t="s">
        <v>4287</v>
      </c>
      <c r="B4250">
        <v>80</v>
      </c>
      <c r="C4250" t="s">
        <v>18</v>
      </c>
      <c r="D4250" t="s">
        <v>41</v>
      </c>
      <c r="E4250">
        <v>9</v>
      </c>
      <c r="F4250" t="s">
        <v>22</v>
      </c>
      <c r="G4250" t="s">
        <v>15</v>
      </c>
      <c r="H4250" s="1">
        <v>171.88</v>
      </c>
      <c r="I4250" t="s">
        <v>43</v>
      </c>
      <c r="J4250">
        <v>0</v>
      </c>
      <c r="K4250">
        <v>7</v>
      </c>
    </row>
    <row r="4251" spans="1:11" x14ac:dyDescent="0.35">
      <c r="A4251" t="s">
        <v>4288</v>
      </c>
      <c r="B4251">
        <v>43</v>
      </c>
      <c r="C4251" t="s">
        <v>18</v>
      </c>
      <c r="D4251" t="s">
        <v>19</v>
      </c>
      <c r="E4251">
        <v>18</v>
      </c>
      <c r="F4251" t="s">
        <v>31</v>
      </c>
      <c r="G4251" t="s">
        <v>15</v>
      </c>
      <c r="H4251" s="1">
        <v>140.47</v>
      </c>
      <c r="I4251" t="s">
        <v>24</v>
      </c>
      <c r="J4251">
        <v>1</v>
      </c>
      <c r="K4251">
        <v>4</v>
      </c>
    </row>
    <row r="4252" spans="1:11" x14ac:dyDescent="0.35">
      <c r="A4252" t="s">
        <v>4289</v>
      </c>
      <c r="B4252">
        <v>78</v>
      </c>
      <c r="C4252" t="s">
        <v>18</v>
      </c>
      <c r="D4252" t="s">
        <v>30</v>
      </c>
      <c r="E4252">
        <v>13</v>
      </c>
      <c r="F4252" t="s">
        <v>22</v>
      </c>
      <c r="G4252" t="s">
        <v>23</v>
      </c>
      <c r="H4252" s="1">
        <v>302.92</v>
      </c>
      <c r="I4252" t="s">
        <v>24</v>
      </c>
      <c r="J4252">
        <v>0</v>
      </c>
      <c r="K4252">
        <v>4</v>
      </c>
    </row>
    <row r="4253" spans="1:11" x14ac:dyDescent="0.35">
      <c r="A4253" t="s">
        <v>4290</v>
      </c>
      <c r="B4253">
        <v>84</v>
      </c>
      <c r="C4253" t="s">
        <v>12</v>
      </c>
      <c r="D4253" t="s">
        <v>19</v>
      </c>
      <c r="E4253">
        <v>20</v>
      </c>
      <c r="F4253" t="s">
        <v>22</v>
      </c>
      <c r="G4253" t="s">
        <v>23</v>
      </c>
      <c r="H4253" s="1">
        <v>161.57</v>
      </c>
      <c r="I4253" t="s">
        <v>24</v>
      </c>
      <c r="J4253">
        <v>1</v>
      </c>
      <c r="K4253">
        <v>1</v>
      </c>
    </row>
    <row r="4254" spans="1:11" x14ac:dyDescent="0.35">
      <c r="A4254" t="s">
        <v>4291</v>
      </c>
      <c r="B4254">
        <v>82</v>
      </c>
      <c r="C4254" t="s">
        <v>12</v>
      </c>
      <c r="D4254" t="s">
        <v>19</v>
      </c>
      <c r="E4254">
        <v>7</v>
      </c>
      <c r="F4254" t="s">
        <v>22</v>
      </c>
      <c r="G4254" t="s">
        <v>15</v>
      </c>
      <c r="H4254" s="1">
        <v>288.88</v>
      </c>
      <c r="I4254" t="s">
        <v>24</v>
      </c>
      <c r="J4254">
        <v>0</v>
      </c>
      <c r="K4254">
        <v>7</v>
      </c>
    </row>
    <row r="4255" spans="1:11" x14ac:dyDescent="0.35">
      <c r="A4255" t="s">
        <v>4292</v>
      </c>
      <c r="B4255">
        <v>67</v>
      </c>
      <c r="C4255" t="s">
        <v>12</v>
      </c>
      <c r="D4255" t="s">
        <v>19</v>
      </c>
      <c r="E4255">
        <v>19</v>
      </c>
      <c r="F4255" t="s">
        <v>33</v>
      </c>
      <c r="G4255" t="s">
        <v>23</v>
      </c>
      <c r="H4255" s="1">
        <v>106.23</v>
      </c>
      <c r="I4255" t="s">
        <v>43</v>
      </c>
      <c r="J4255">
        <v>0</v>
      </c>
      <c r="K4255">
        <v>5</v>
      </c>
    </row>
    <row r="4256" spans="1:11" x14ac:dyDescent="0.35">
      <c r="A4256" t="s">
        <v>4293</v>
      </c>
      <c r="B4256">
        <v>74</v>
      </c>
      <c r="C4256" t="s">
        <v>18</v>
      </c>
      <c r="D4256" t="s">
        <v>19</v>
      </c>
      <c r="E4256">
        <v>19</v>
      </c>
      <c r="F4256" t="s">
        <v>22</v>
      </c>
      <c r="G4256" t="s">
        <v>34</v>
      </c>
      <c r="H4256" s="1">
        <v>128.84</v>
      </c>
      <c r="I4256" t="s">
        <v>28</v>
      </c>
      <c r="J4256">
        <v>1</v>
      </c>
      <c r="K4256">
        <v>5</v>
      </c>
    </row>
    <row r="4257" spans="1:11" x14ac:dyDescent="0.35">
      <c r="A4257" t="s">
        <v>4294</v>
      </c>
      <c r="B4257">
        <v>31</v>
      </c>
      <c r="C4257" t="s">
        <v>12</v>
      </c>
      <c r="D4257" t="s">
        <v>19</v>
      </c>
      <c r="E4257">
        <v>7</v>
      </c>
      <c r="F4257" t="s">
        <v>31</v>
      </c>
      <c r="G4257" t="s">
        <v>37</v>
      </c>
      <c r="H4257" s="1">
        <v>109.11</v>
      </c>
      <c r="I4257" t="s">
        <v>28</v>
      </c>
      <c r="J4257">
        <v>1</v>
      </c>
      <c r="K4257">
        <v>9</v>
      </c>
    </row>
    <row r="4258" spans="1:11" x14ac:dyDescent="0.35">
      <c r="A4258" t="s">
        <v>4295</v>
      </c>
      <c r="B4258">
        <v>35</v>
      </c>
      <c r="C4258" t="s">
        <v>18</v>
      </c>
      <c r="D4258" t="s">
        <v>13</v>
      </c>
      <c r="E4258">
        <v>16</v>
      </c>
      <c r="F4258" t="s">
        <v>22</v>
      </c>
      <c r="G4258" t="s">
        <v>27</v>
      </c>
      <c r="H4258" s="1">
        <v>96.06</v>
      </c>
      <c r="I4258" t="s">
        <v>24</v>
      </c>
      <c r="J4258">
        <v>1</v>
      </c>
      <c r="K4258">
        <v>4</v>
      </c>
    </row>
    <row r="4259" spans="1:11" x14ac:dyDescent="0.35">
      <c r="A4259" t="s">
        <v>4296</v>
      </c>
      <c r="B4259">
        <v>60</v>
      </c>
      <c r="C4259" t="s">
        <v>12</v>
      </c>
      <c r="D4259" t="s">
        <v>13</v>
      </c>
      <c r="E4259">
        <v>11</v>
      </c>
      <c r="F4259" t="s">
        <v>22</v>
      </c>
      <c r="G4259" t="s">
        <v>34</v>
      </c>
      <c r="H4259" s="1">
        <v>200.24</v>
      </c>
      <c r="I4259" t="s">
        <v>24</v>
      </c>
      <c r="J4259">
        <v>0</v>
      </c>
      <c r="K4259">
        <v>7</v>
      </c>
    </row>
    <row r="4260" spans="1:11" x14ac:dyDescent="0.35">
      <c r="A4260" t="s">
        <v>4297</v>
      </c>
      <c r="B4260">
        <v>21</v>
      </c>
      <c r="C4260" t="s">
        <v>18</v>
      </c>
      <c r="D4260" t="s">
        <v>19</v>
      </c>
      <c r="E4260">
        <v>6</v>
      </c>
      <c r="F4260" t="s">
        <v>31</v>
      </c>
      <c r="G4260" t="s">
        <v>27</v>
      </c>
      <c r="H4260" s="1">
        <v>138.84</v>
      </c>
      <c r="I4260" t="s">
        <v>24</v>
      </c>
      <c r="J4260">
        <v>2</v>
      </c>
      <c r="K4260">
        <v>7</v>
      </c>
    </row>
    <row r="4261" spans="1:11" x14ac:dyDescent="0.35">
      <c r="A4261" t="s">
        <v>4298</v>
      </c>
      <c r="B4261">
        <v>22</v>
      </c>
      <c r="C4261" t="s">
        <v>12</v>
      </c>
      <c r="D4261" t="s">
        <v>120</v>
      </c>
      <c r="E4261">
        <v>23</v>
      </c>
      <c r="F4261" t="s">
        <v>33</v>
      </c>
      <c r="G4261" t="s">
        <v>27</v>
      </c>
      <c r="H4261" s="1">
        <v>113.58</v>
      </c>
      <c r="I4261" t="s">
        <v>24</v>
      </c>
      <c r="J4261">
        <v>1</v>
      </c>
      <c r="K4261">
        <v>5</v>
      </c>
    </row>
    <row r="4262" spans="1:11" x14ac:dyDescent="0.35">
      <c r="A4262" t="s">
        <v>4299</v>
      </c>
      <c r="B4262">
        <v>80</v>
      </c>
      <c r="C4262" t="s">
        <v>18</v>
      </c>
      <c r="D4262" t="s">
        <v>19</v>
      </c>
      <c r="E4262">
        <v>22</v>
      </c>
      <c r="F4262" t="s">
        <v>22</v>
      </c>
      <c r="G4262" t="s">
        <v>34</v>
      </c>
      <c r="H4262" s="1">
        <v>105.56</v>
      </c>
      <c r="I4262" t="s">
        <v>24</v>
      </c>
      <c r="J4262">
        <v>2</v>
      </c>
      <c r="K4262">
        <v>1</v>
      </c>
    </row>
    <row r="4263" spans="1:11" x14ac:dyDescent="0.35">
      <c r="A4263" t="s">
        <v>4300</v>
      </c>
      <c r="B4263">
        <v>64</v>
      </c>
      <c r="C4263" t="s">
        <v>12</v>
      </c>
      <c r="D4263" t="s">
        <v>21</v>
      </c>
      <c r="E4263">
        <v>27</v>
      </c>
      <c r="F4263" t="s">
        <v>31</v>
      </c>
      <c r="G4263" t="s">
        <v>34</v>
      </c>
      <c r="H4263" s="1">
        <v>113.24</v>
      </c>
      <c r="I4263" t="s">
        <v>24</v>
      </c>
      <c r="J4263">
        <v>0</v>
      </c>
      <c r="K4263">
        <v>5</v>
      </c>
    </row>
    <row r="4264" spans="1:11" x14ac:dyDescent="0.35">
      <c r="A4264" t="s">
        <v>4301</v>
      </c>
      <c r="B4264">
        <v>22</v>
      </c>
      <c r="C4264" t="s">
        <v>12</v>
      </c>
      <c r="D4264" t="s">
        <v>21</v>
      </c>
      <c r="E4264">
        <v>45</v>
      </c>
      <c r="F4264" t="s">
        <v>22</v>
      </c>
      <c r="G4264" t="s">
        <v>23</v>
      </c>
      <c r="H4264" s="1">
        <v>349.58</v>
      </c>
      <c r="I4264" t="s">
        <v>24</v>
      </c>
      <c r="J4264">
        <v>0</v>
      </c>
      <c r="K4264">
        <v>5</v>
      </c>
    </row>
    <row r="4265" spans="1:11" x14ac:dyDescent="0.35">
      <c r="A4265" t="s">
        <v>4302</v>
      </c>
      <c r="B4265">
        <v>64</v>
      </c>
      <c r="C4265" t="s">
        <v>12</v>
      </c>
      <c r="D4265" t="s">
        <v>30</v>
      </c>
      <c r="E4265">
        <v>10</v>
      </c>
      <c r="F4265" t="s">
        <v>22</v>
      </c>
      <c r="G4265" t="s">
        <v>23</v>
      </c>
      <c r="H4265" s="1">
        <v>520.08000000000004</v>
      </c>
      <c r="I4265" t="s">
        <v>24</v>
      </c>
      <c r="J4265">
        <v>0</v>
      </c>
      <c r="K4265">
        <v>8</v>
      </c>
    </row>
    <row r="4266" spans="1:11" x14ac:dyDescent="0.35">
      <c r="A4266" t="s">
        <v>4303</v>
      </c>
      <c r="B4266">
        <v>24</v>
      </c>
      <c r="C4266" t="s">
        <v>12</v>
      </c>
      <c r="D4266" t="s">
        <v>21</v>
      </c>
      <c r="E4266">
        <v>48</v>
      </c>
      <c r="F4266" t="s">
        <v>33</v>
      </c>
      <c r="G4266" t="s">
        <v>23</v>
      </c>
      <c r="H4266" s="1">
        <v>432.93</v>
      </c>
      <c r="I4266" t="s">
        <v>24</v>
      </c>
      <c r="J4266">
        <v>1</v>
      </c>
      <c r="K4266">
        <v>1</v>
      </c>
    </row>
    <row r="4267" spans="1:11" x14ac:dyDescent="0.35">
      <c r="A4267" t="s">
        <v>4304</v>
      </c>
      <c r="B4267">
        <v>62</v>
      </c>
      <c r="C4267" t="s">
        <v>12</v>
      </c>
      <c r="D4267" t="s">
        <v>13</v>
      </c>
      <c r="E4267">
        <v>22</v>
      </c>
      <c r="F4267" t="s">
        <v>14</v>
      </c>
      <c r="G4267" t="s">
        <v>23</v>
      </c>
      <c r="H4267" s="1">
        <v>0</v>
      </c>
      <c r="I4267" t="s">
        <v>16</v>
      </c>
      <c r="J4267">
        <v>4</v>
      </c>
      <c r="K4267">
        <v>4</v>
      </c>
    </row>
    <row r="4268" spans="1:11" x14ac:dyDescent="0.35">
      <c r="A4268" t="s">
        <v>4305</v>
      </c>
      <c r="B4268">
        <v>52</v>
      </c>
      <c r="C4268" t="s">
        <v>12</v>
      </c>
      <c r="D4268" t="s">
        <v>21</v>
      </c>
      <c r="E4268">
        <v>33</v>
      </c>
      <c r="F4268" t="s">
        <v>14</v>
      </c>
      <c r="G4268" t="s">
        <v>15</v>
      </c>
      <c r="H4268" s="1">
        <v>0</v>
      </c>
      <c r="I4268" t="s">
        <v>16</v>
      </c>
      <c r="J4268">
        <v>4</v>
      </c>
      <c r="K4268">
        <v>2</v>
      </c>
    </row>
    <row r="4269" spans="1:11" x14ac:dyDescent="0.35">
      <c r="A4269" t="s">
        <v>4306</v>
      </c>
      <c r="B4269">
        <v>54</v>
      </c>
      <c r="C4269" t="s">
        <v>18</v>
      </c>
      <c r="D4269" t="s">
        <v>19</v>
      </c>
      <c r="E4269">
        <v>22</v>
      </c>
      <c r="F4269" t="s">
        <v>22</v>
      </c>
      <c r="G4269" t="s">
        <v>34</v>
      </c>
      <c r="H4269" s="1">
        <v>194.88</v>
      </c>
      <c r="I4269" t="s">
        <v>24</v>
      </c>
      <c r="J4269">
        <v>1</v>
      </c>
      <c r="K4269">
        <v>4</v>
      </c>
    </row>
    <row r="4270" spans="1:11" x14ac:dyDescent="0.35">
      <c r="A4270" t="s">
        <v>4307</v>
      </c>
      <c r="B4270">
        <v>40</v>
      </c>
      <c r="C4270" t="s">
        <v>12</v>
      </c>
      <c r="D4270" t="s">
        <v>19</v>
      </c>
      <c r="E4270">
        <v>23</v>
      </c>
      <c r="F4270" t="s">
        <v>33</v>
      </c>
      <c r="G4270" t="s">
        <v>27</v>
      </c>
      <c r="H4270" s="1">
        <v>69.56</v>
      </c>
      <c r="I4270" t="s">
        <v>28</v>
      </c>
      <c r="J4270">
        <v>3</v>
      </c>
      <c r="K4270">
        <v>4</v>
      </c>
    </row>
    <row r="4271" spans="1:11" x14ac:dyDescent="0.35">
      <c r="A4271" t="s">
        <v>4308</v>
      </c>
      <c r="B4271">
        <v>80</v>
      </c>
      <c r="C4271" t="s">
        <v>12</v>
      </c>
      <c r="D4271" t="s">
        <v>19</v>
      </c>
      <c r="E4271">
        <v>24</v>
      </c>
      <c r="F4271" t="s">
        <v>26</v>
      </c>
      <c r="G4271" t="s">
        <v>37</v>
      </c>
      <c r="H4271" s="1">
        <v>98.51</v>
      </c>
      <c r="I4271" t="s">
        <v>24</v>
      </c>
      <c r="J4271">
        <v>1</v>
      </c>
      <c r="K4271">
        <v>1</v>
      </c>
    </row>
    <row r="4272" spans="1:11" x14ac:dyDescent="0.35">
      <c r="A4272" t="s">
        <v>4309</v>
      </c>
      <c r="B4272">
        <v>74</v>
      </c>
      <c r="C4272" t="s">
        <v>12</v>
      </c>
      <c r="D4272" t="s">
        <v>19</v>
      </c>
      <c r="E4272">
        <v>23</v>
      </c>
      <c r="F4272" t="s">
        <v>26</v>
      </c>
      <c r="G4272" t="s">
        <v>34</v>
      </c>
      <c r="H4272" s="1">
        <v>199.86</v>
      </c>
      <c r="I4272" t="s">
        <v>24</v>
      </c>
      <c r="J4272">
        <v>2</v>
      </c>
      <c r="K4272">
        <v>1</v>
      </c>
    </row>
    <row r="4273" spans="1:11" x14ac:dyDescent="0.35">
      <c r="A4273" t="s">
        <v>4310</v>
      </c>
      <c r="B4273">
        <v>32</v>
      </c>
      <c r="C4273" t="s">
        <v>12</v>
      </c>
      <c r="D4273" t="s">
        <v>30</v>
      </c>
      <c r="E4273">
        <v>11</v>
      </c>
      <c r="F4273" t="s">
        <v>33</v>
      </c>
      <c r="G4273" t="s">
        <v>37</v>
      </c>
      <c r="H4273" s="1">
        <v>151.53</v>
      </c>
      <c r="I4273" t="s">
        <v>24</v>
      </c>
      <c r="J4273">
        <v>0</v>
      </c>
      <c r="K4273">
        <v>6</v>
      </c>
    </row>
    <row r="4274" spans="1:11" x14ac:dyDescent="0.35">
      <c r="A4274" t="s">
        <v>4311</v>
      </c>
      <c r="B4274">
        <v>53</v>
      </c>
      <c r="C4274" t="s">
        <v>18</v>
      </c>
      <c r="D4274" t="s">
        <v>244</v>
      </c>
      <c r="E4274">
        <v>6</v>
      </c>
      <c r="F4274" t="s">
        <v>31</v>
      </c>
      <c r="G4274" t="s">
        <v>23</v>
      </c>
      <c r="H4274" s="1">
        <v>218.96</v>
      </c>
      <c r="I4274" t="s">
        <v>24</v>
      </c>
      <c r="J4274">
        <v>2</v>
      </c>
      <c r="K4274">
        <v>8</v>
      </c>
    </row>
    <row r="4275" spans="1:11" x14ac:dyDescent="0.35">
      <c r="A4275" t="s">
        <v>4312</v>
      </c>
      <c r="B4275">
        <v>54</v>
      </c>
      <c r="C4275" t="s">
        <v>12</v>
      </c>
      <c r="D4275" t="s">
        <v>19</v>
      </c>
      <c r="E4275">
        <v>6</v>
      </c>
      <c r="F4275" t="s">
        <v>31</v>
      </c>
      <c r="G4275" t="s">
        <v>15</v>
      </c>
      <c r="H4275" s="1">
        <v>82.42</v>
      </c>
      <c r="I4275" t="s">
        <v>28</v>
      </c>
      <c r="J4275">
        <v>0</v>
      </c>
      <c r="K4275">
        <v>10</v>
      </c>
    </row>
    <row r="4276" spans="1:11" x14ac:dyDescent="0.35">
      <c r="A4276" t="s">
        <v>4313</v>
      </c>
      <c r="B4276">
        <v>61</v>
      </c>
      <c r="C4276" t="s">
        <v>18</v>
      </c>
      <c r="D4276" t="s">
        <v>30</v>
      </c>
      <c r="E4276">
        <v>14</v>
      </c>
      <c r="F4276" t="s">
        <v>22</v>
      </c>
      <c r="G4276" t="s">
        <v>15</v>
      </c>
      <c r="H4276" s="1">
        <v>312.61</v>
      </c>
      <c r="I4276" t="s">
        <v>24</v>
      </c>
      <c r="J4276">
        <v>1</v>
      </c>
      <c r="K4276">
        <v>6</v>
      </c>
    </row>
    <row r="4277" spans="1:11" x14ac:dyDescent="0.35">
      <c r="A4277" t="s">
        <v>4314</v>
      </c>
      <c r="B4277">
        <v>29</v>
      </c>
      <c r="C4277" t="s">
        <v>18</v>
      </c>
      <c r="D4277" t="s">
        <v>41</v>
      </c>
      <c r="E4277">
        <v>9</v>
      </c>
      <c r="F4277" t="s">
        <v>26</v>
      </c>
      <c r="G4277" t="s">
        <v>34</v>
      </c>
      <c r="H4277" s="1">
        <v>208.17</v>
      </c>
      <c r="I4277" t="s">
        <v>24</v>
      </c>
      <c r="J4277">
        <v>1</v>
      </c>
      <c r="K4277">
        <v>5</v>
      </c>
    </row>
    <row r="4278" spans="1:11" x14ac:dyDescent="0.35">
      <c r="A4278" t="s">
        <v>4315</v>
      </c>
      <c r="B4278">
        <v>44</v>
      </c>
      <c r="C4278" t="s">
        <v>18</v>
      </c>
      <c r="D4278" t="s">
        <v>30</v>
      </c>
      <c r="E4278">
        <v>11</v>
      </c>
      <c r="F4278" t="s">
        <v>26</v>
      </c>
      <c r="G4278" t="s">
        <v>23</v>
      </c>
      <c r="H4278" s="1">
        <v>93.89</v>
      </c>
      <c r="I4278" t="s">
        <v>24</v>
      </c>
      <c r="J4278">
        <v>1</v>
      </c>
      <c r="K4278">
        <v>7</v>
      </c>
    </row>
    <row r="4279" spans="1:11" x14ac:dyDescent="0.35">
      <c r="A4279" t="s">
        <v>4316</v>
      </c>
      <c r="B4279">
        <v>21</v>
      </c>
      <c r="C4279" t="s">
        <v>12</v>
      </c>
      <c r="D4279" t="s">
        <v>21</v>
      </c>
      <c r="E4279">
        <v>35</v>
      </c>
      <c r="F4279" t="s">
        <v>14</v>
      </c>
      <c r="G4279" t="s">
        <v>37</v>
      </c>
      <c r="H4279" s="1">
        <v>0</v>
      </c>
      <c r="I4279" t="s">
        <v>16</v>
      </c>
      <c r="J4279">
        <v>0</v>
      </c>
      <c r="K4279">
        <v>4</v>
      </c>
    </row>
    <row r="4280" spans="1:11" x14ac:dyDescent="0.35">
      <c r="A4280" t="s">
        <v>4317</v>
      </c>
      <c r="B4280">
        <v>63</v>
      </c>
      <c r="C4280" t="s">
        <v>12</v>
      </c>
      <c r="D4280" t="s">
        <v>30</v>
      </c>
      <c r="E4280">
        <v>4</v>
      </c>
      <c r="F4280" t="s">
        <v>14</v>
      </c>
      <c r="G4280" t="s">
        <v>15</v>
      </c>
      <c r="H4280" s="1">
        <v>0</v>
      </c>
      <c r="I4280" t="s">
        <v>16</v>
      </c>
      <c r="J4280">
        <v>0</v>
      </c>
      <c r="K4280">
        <v>7</v>
      </c>
    </row>
    <row r="4281" spans="1:11" x14ac:dyDescent="0.35">
      <c r="A4281" t="s">
        <v>4318</v>
      </c>
      <c r="B4281">
        <v>31</v>
      </c>
      <c r="C4281" t="s">
        <v>18</v>
      </c>
      <c r="D4281" t="s">
        <v>21</v>
      </c>
      <c r="E4281">
        <v>45</v>
      </c>
      <c r="F4281" t="s">
        <v>31</v>
      </c>
      <c r="G4281" t="s">
        <v>15</v>
      </c>
      <c r="H4281" s="1">
        <v>428.96</v>
      </c>
      <c r="I4281" t="s">
        <v>24</v>
      </c>
      <c r="J4281">
        <v>2</v>
      </c>
      <c r="K4281">
        <v>2</v>
      </c>
    </row>
    <row r="4282" spans="1:11" x14ac:dyDescent="0.35">
      <c r="A4282" t="s">
        <v>4319</v>
      </c>
      <c r="B4282">
        <v>80</v>
      </c>
      <c r="C4282" t="s">
        <v>18</v>
      </c>
      <c r="D4282" t="s">
        <v>47</v>
      </c>
      <c r="E4282">
        <v>6</v>
      </c>
      <c r="F4282" t="s">
        <v>22</v>
      </c>
      <c r="G4282" t="s">
        <v>23</v>
      </c>
      <c r="H4282" s="1">
        <v>199.76</v>
      </c>
      <c r="I4282" t="s">
        <v>24</v>
      </c>
      <c r="J4282">
        <v>0</v>
      </c>
      <c r="K4282">
        <v>7</v>
      </c>
    </row>
    <row r="4283" spans="1:11" x14ac:dyDescent="0.35">
      <c r="A4283" t="s">
        <v>4320</v>
      </c>
      <c r="B4283">
        <v>70</v>
      </c>
      <c r="C4283" t="s">
        <v>12</v>
      </c>
      <c r="D4283" t="s">
        <v>21</v>
      </c>
      <c r="E4283">
        <v>23</v>
      </c>
      <c r="F4283" t="s">
        <v>26</v>
      </c>
      <c r="G4283" t="s">
        <v>37</v>
      </c>
      <c r="H4283" s="1">
        <v>137.63</v>
      </c>
      <c r="I4283" t="s">
        <v>24</v>
      </c>
      <c r="J4283">
        <v>3</v>
      </c>
      <c r="K4283">
        <v>5</v>
      </c>
    </row>
    <row r="4284" spans="1:11" x14ac:dyDescent="0.35">
      <c r="A4284" t="s">
        <v>4321</v>
      </c>
      <c r="B4284">
        <v>38</v>
      </c>
      <c r="C4284" t="s">
        <v>18</v>
      </c>
      <c r="D4284" t="s">
        <v>13</v>
      </c>
      <c r="E4284">
        <v>12</v>
      </c>
      <c r="F4284" t="s">
        <v>33</v>
      </c>
      <c r="G4284" t="s">
        <v>37</v>
      </c>
      <c r="H4284" s="1">
        <v>194.86</v>
      </c>
      <c r="I4284" t="s">
        <v>24</v>
      </c>
      <c r="J4284">
        <v>0</v>
      </c>
      <c r="K4284">
        <v>7</v>
      </c>
    </row>
    <row r="4285" spans="1:11" x14ac:dyDescent="0.35">
      <c r="A4285" t="s">
        <v>4322</v>
      </c>
      <c r="B4285">
        <v>75</v>
      </c>
      <c r="C4285" t="s">
        <v>18</v>
      </c>
      <c r="D4285" t="s">
        <v>30</v>
      </c>
      <c r="E4285">
        <v>14</v>
      </c>
      <c r="F4285" t="s">
        <v>22</v>
      </c>
      <c r="G4285" t="s">
        <v>34</v>
      </c>
      <c r="H4285" s="1">
        <v>218.44</v>
      </c>
      <c r="I4285" t="s">
        <v>24</v>
      </c>
      <c r="J4285">
        <v>1</v>
      </c>
      <c r="K4285">
        <v>5</v>
      </c>
    </row>
    <row r="4286" spans="1:11" x14ac:dyDescent="0.35">
      <c r="A4286" t="s">
        <v>4323</v>
      </c>
      <c r="B4286">
        <v>81</v>
      </c>
      <c r="C4286" t="s">
        <v>12</v>
      </c>
      <c r="D4286" t="s">
        <v>19</v>
      </c>
      <c r="E4286">
        <v>21</v>
      </c>
      <c r="F4286" t="s">
        <v>14</v>
      </c>
      <c r="G4286" t="s">
        <v>23</v>
      </c>
      <c r="H4286" s="1">
        <v>0</v>
      </c>
      <c r="I4286" t="s">
        <v>16</v>
      </c>
      <c r="J4286">
        <v>2</v>
      </c>
      <c r="K4286">
        <v>5</v>
      </c>
    </row>
    <row r="4287" spans="1:11" x14ac:dyDescent="0.35">
      <c r="A4287" t="s">
        <v>4324</v>
      </c>
      <c r="B4287">
        <v>25</v>
      </c>
      <c r="C4287" t="s">
        <v>12</v>
      </c>
      <c r="D4287" t="s">
        <v>19</v>
      </c>
      <c r="E4287">
        <v>17</v>
      </c>
      <c r="F4287" t="s">
        <v>33</v>
      </c>
      <c r="G4287" t="s">
        <v>27</v>
      </c>
      <c r="H4287" s="1">
        <v>105.21</v>
      </c>
      <c r="I4287" t="s">
        <v>24</v>
      </c>
      <c r="J4287">
        <v>2</v>
      </c>
      <c r="K4287">
        <v>5</v>
      </c>
    </row>
    <row r="4288" spans="1:11" x14ac:dyDescent="0.35">
      <c r="A4288" t="s">
        <v>4325</v>
      </c>
      <c r="B4288">
        <v>26</v>
      </c>
      <c r="C4288" t="s">
        <v>12</v>
      </c>
      <c r="D4288" t="s">
        <v>21</v>
      </c>
      <c r="E4288">
        <v>24</v>
      </c>
      <c r="F4288" t="s">
        <v>31</v>
      </c>
      <c r="G4288" t="s">
        <v>27</v>
      </c>
      <c r="H4288" s="1">
        <v>146.88</v>
      </c>
      <c r="I4288" t="s">
        <v>43</v>
      </c>
      <c r="J4288">
        <v>1</v>
      </c>
      <c r="K4288">
        <v>4</v>
      </c>
    </row>
    <row r="4289" spans="1:11" x14ac:dyDescent="0.35">
      <c r="A4289" t="s">
        <v>4326</v>
      </c>
      <c r="B4289">
        <v>82</v>
      </c>
      <c r="C4289" t="s">
        <v>18</v>
      </c>
      <c r="D4289" t="s">
        <v>19</v>
      </c>
      <c r="E4289">
        <v>16</v>
      </c>
      <c r="F4289" t="s">
        <v>31</v>
      </c>
      <c r="G4289" t="s">
        <v>37</v>
      </c>
      <c r="H4289" s="1">
        <v>214.75</v>
      </c>
      <c r="I4289" t="s">
        <v>24</v>
      </c>
      <c r="J4289">
        <v>2</v>
      </c>
      <c r="K4289">
        <v>7</v>
      </c>
    </row>
    <row r="4290" spans="1:11" x14ac:dyDescent="0.35">
      <c r="A4290" t="s">
        <v>4327</v>
      </c>
      <c r="B4290">
        <v>25</v>
      </c>
      <c r="C4290" t="s">
        <v>18</v>
      </c>
      <c r="D4290" t="s">
        <v>21</v>
      </c>
      <c r="E4290">
        <v>41</v>
      </c>
      <c r="F4290" t="s">
        <v>22</v>
      </c>
      <c r="G4290" t="s">
        <v>23</v>
      </c>
      <c r="H4290" s="1">
        <v>455.49</v>
      </c>
      <c r="I4290" t="s">
        <v>24</v>
      </c>
      <c r="J4290">
        <v>0</v>
      </c>
      <c r="K4290">
        <v>3</v>
      </c>
    </row>
    <row r="4291" spans="1:11" x14ac:dyDescent="0.35">
      <c r="A4291" t="s">
        <v>4328</v>
      </c>
      <c r="B4291">
        <v>79</v>
      </c>
      <c r="C4291" t="s">
        <v>12</v>
      </c>
      <c r="D4291" t="s">
        <v>21</v>
      </c>
      <c r="E4291">
        <v>20</v>
      </c>
      <c r="F4291" t="s">
        <v>26</v>
      </c>
      <c r="G4291" t="s">
        <v>15</v>
      </c>
      <c r="H4291" s="1">
        <v>350.67</v>
      </c>
      <c r="I4291" t="s">
        <v>24</v>
      </c>
      <c r="J4291">
        <v>0</v>
      </c>
      <c r="K4291">
        <v>4</v>
      </c>
    </row>
    <row r="4292" spans="1:11" x14ac:dyDescent="0.35">
      <c r="A4292" t="s">
        <v>4329</v>
      </c>
      <c r="B4292">
        <v>21</v>
      </c>
      <c r="C4292" t="s">
        <v>18</v>
      </c>
      <c r="D4292" t="s">
        <v>19</v>
      </c>
      <c r="E4292">
        <v>12</v>
      </c>
      <c r="F4292" t="s">
        <v>33</v>
      </c>
      <c r="G4292" t="s">
        <v>34</v>
      </c>
      <c r="H4292" s="1">
        <v>212.43</v>
      </c>
      <c r="I4292" t="s">
        <v>24</v>
      </c>
      <c r="J4292">
        <v>0</v>
      </c>
      <c r="K4292">
        <v>4</v>
      </c>
    </row>
    <row r="4293" spans="1:11" x14ac:dyDescent="0.35">
      <c r="A4293" t="s">
        <v>4330</v>
      </c>
      <c r="B4293">
        <v>64</v>
      </c>
      <c r="C4293" t="s">
        <v>12</v>
      </c>
      <c r="D4293" t="s">
        <v>57</v>
      </c>
      <c r="E4293">
        <v>13</v>
      </c>
      <c r="F4293" t="s">
        <v>22</v>
      </c>
      <c r="G4293" t="s">
        <v>37</v>
      </c>
      <c r="H4293" s="1">
        <v>156.05000000000001</v>
      </c>
      <c r="I4293" t="s">
        <v>24</v>
      </c>
      <c r="J4293">
        <v>1</v>
      </c>
      <c r="K4293">
        <v>7</v>
      </c>
    </row>
    <row r="4294" spans="1:11" x14ac:dyDescent="0.35">
      <c r="A4294" t="s">
        <v>4331</v>
      </c>
      <c r="B4294">
        <v>49</v>
      </c>
      <c r="C4294" t="s">
        <v>18</v>
      </c>
      <c r="D4294" t="s">
        <v>19</v>
      </c>
      <c r="E4294">
        <v>22</v>
      </c>
      <c r="F4294" t="s">
        <v>22</v>
      </c>
      <c r="G4294" t="s">
        <v>27</v>
      </c>
      <c r="H4294" s="1">
        <v>86.49</v>
      </c>
      <c r="I4294" t="s">
        <v>24</v>
      </c>
      <c r="J4294">
        <v>4</v>
      </c>
      <c r="K4294">
        <v>5</v>
      </c>
    </row>
    <row r="4295" spans="1:11" x14ac:dyDescent="0.35">
      <c r="A4295" t="s">
        <v>4332</v>
      </c>
      <c r="B4295">
        <v>84</v>
      </c>
      <c r="C4295" t="s">
        <v>18</v>
      </c>
      <c r="D4295" t="s">
        <v>244</v>
      </c>
      <c r="E4295">
        <v>15</v>
      </c>
      <c r="F4295" t="s">
        <v>26</v>
      </c>
      <c r="G4295" t="s">
        <v>34</v>
      </c>
      <c r="H4295" s="1">
        <v>113.89</v>
      </c>
      <c r="I4295" t="s">
        <v>24</v>
      </c>
      <c r="J4295">
        <v>0</v>
      </c>
      <c r="K4295">
        <v>8</v>
      </c>
    </row>
    <row r="4296" spans="1:11" x14ac:dyDescent="0.35">
      <c r="A4296" t="s">
        <v>4333</v>
      </c>
      <c r="B4296">
        <v>20</v>
      </c>
      <c r="C4296" t="s">
        <v>12</v>
      </c>
      <c r="D4296" t="s">
        <v>30</v>
      </c>
      <c r="E4296">
        <v>10</v>
      </c>
      <c r="F4296" t="s">
        <v>26</v>
      </c>
      <c r="G4296" t="s">
        <v>15</v>
      </c>
      <c r="H4296" s="1">
        <v>193.17</v>
      </c>
      <c r="I4296" t="s">
        <v>28</v>
      </c>
      <c r="J4296">
        <v>0</v>
      </c>
      <c r="K4296">
        <v>8</v>
      </c>
    </row>
    <row r="4297" spans="1:11" x14ac:dyDescent="0.35">
      <c r="A4297" t="s">
        <v>4334</v>
      </c>
      <c r="B4297">
        <v>69</v>
      </c>
      <c r="C4297" t="s">
        <v>528</v>
      </c>
      <c r="D4297" t="s">
        <v>21</v>
      </c>
      <c r="E4297">
        <v>47</v>
      </c>
      <c r="F4297" t="s">
        <v>33</v>
      </c>
      <c r="G4297" t="s">
        <v>34</v>
      </c>
      <c r="H4297" s="1">
        <v>126.12</v>
      </c>
      <c r="I4297" t="s">
        <v>24</v>
      </c>
      <c r="J4297">
        <v>2</v>
      </c>
      <c r="K4297">
        <v>5</v>
      </c>
    </row>
    <row r="4298" spans="1:11" x14ac:dyDescent="0.35">
      <c r="A4298" t="s">
        <v>4335</v>
      </c>
      <c r="B4298">
        <v>82</v>
      </c>
      <c r="C4298" t="s">
        <v>12</v>
      </c>
      <c r="D4298" t="s">
        <v>21</v>
      </c>
      <c r="E4298">
        <v>27</v>
      </c>
      <c r="F4298" t="s">
        <v>31</v>
      </c>
      <c r="G4298" t="s">
        <v>23</v>
      </c>
      <c r="H4298" s="1">
        <v>390.95</v>
      </c>
      <c r="I4298" t="s">
        <v>24</v>
      </c>
      <c r="J4298">
        <v>4</v>
      </c>
      <c r="K4298">
        <v>4</v>
      </c>
    </row>
    <row r="4299" spans="1:11" x14ac:dyDescent="0.35">
      <c r="A4299" t="s">
        <v>4336</v>
      </c>
      <c r="B4299">
        <v>56</v>
      </c>
      <c r="C4299" t="s">
        <v>12</v>
      </c>
      <c r="D4299" t="s">
        <v>13</v>
      </c>
      <c r="E4299">
        <v>14</v>
      </c>
      <c r="F4299" t="s">
        <v>31</v>
      </c>
      <c r="G4299" t="s">
        <v>37</v>
      </c>
      <c r="H4299" s="1">
        <v>119.76</v>
      </c>
      <c r="I4299" t="s">
        <v>24</v>
      </c>
      <c r="J4299">
        <v>2</v>
      </c>
      <c r="K4299">
        <v>6</v>
      </c>
    </row>
    <row r="4300" spans="1:11" x14ac:dyDescent="0.35">
      <c r="A4300" t="s">
        <v>4337</v>
      </c>
      <c r="B4300">
        <v>76</v>
      </c>
      <c r="C4300" t="s">
        <v>12</v>
      </c>
      <c r="D4300" t="s">
        <v>19</v>
      </c>
      <c r="E4300">
        <v>13</v>
      </c>
      <c r="F4300" t="s">
        <v>26</v>
      </c>
      <c r="G4300" t="s">
        <v>34</v>
      </c>
      <c r="H4300" s="1">
        <v>141.53</v>
      </c>
      <c r="I4300" t="s">
        <v>24</v>
      </c>
      <c r="J4300">
        <v>0</v>
      </c>
      <c r="K4300">
        <v>7</v>
      </c>
    </row>
    <row r="4301" spans="1:11" x14ac:dyDescent="0.35">
      <c r="A4301" t="s">
        <v>4338</v>
      </c>
      <c r="B4301">
        <v>27</v>
      </c>
      <c r="C4301" t="s">
        <v>18</v>
      </c>
      <c r="D4301" t="s">
        <v>57</v>
      </c>
      <c r="E4301">
        <v>27</v>
      </c>
      <c r="F4301" t="s">
        <v>33</v>
      </c>
      <c r="G4301" t="s">
        <v>34</v>
      </c>
      <c r="H4301" s="1">
        <v>164.15</v>
      </c>
      <c r="I4301" t="s">
        <v>24</v>
      </c>
      <c r="J4301">
        <v>4</v>
      </c>
      <c r="K4301">
        <v>1</v>
      </c>
    </row>
    <row r="4302" spans="1:11" x14ac:dyDescent="0.35">
      <c r="A4302" t="s">
        <v>4339</v>
      </c>
      <c r="B4302">
        <v>33</v>
      </c>
      <c r="C4302" t="s">
        <v>12</v>
      </c>
      <c r="D4302" t="s">
        <v>13</v>
      </c>
      <c r="E4302">
        <v>20</v>
      </c>
      <c r="F4302" t="s">
        <v>22</v>
      </c>
      <c r="G4302" t="s">
        <v>37</v>
      </c>
      <c r="H4302" s="1">
        <v>137.99</v>
      </c>
      <c r="I4302" t="s">
        <v>24</v>
      </c>
      <c r="J4302">
        <v>1</v>
      </c>
      <c r="K4302">
        <v>4</v>
      </c>
    </row>
    <row r="4303" spans="1:11" x14ac:dyDescent="0.35">
      <c r="A4303" t="s">
        <v>4340</v>
      </c>
      <c r="B4303">
        <v>49</v>
      </c>
      <c r="C4303" t="s">
        <v>18</v>
      </c>
      <c r="D4303" t="s">
        <v>47</v>
      </c>
      <c r="E4303">
        <v>8</v>
      </c>
      <c r="F4303" t="s">
        <v>33</v>
      </c>
      <c r="G4303" t="s">
        <v>37</v>
      </c>
      <c r="H4303" s="1">
        <v>130.66999999999999</v>
      </c>
      <c r="I4303" t="s">
        <v>24</v>
      </c>
      <c r="J4303">
        <v>0</v>
      </c>
      <c r="K4303">
        <v>10</v>
      </c>
    </row>
    <row r="4304" spans="1:11" x14ac:dyDescent="0.35">
      <c r="A4304" t="s">
        <v>4341</v>
      </c>
      <c r="B4304">
        <v>64</v>
      </c>
      <c r="C4304" t="s">
        <v>18</v>
      </c>
      <c r="D4304" t="s">
        <v>19</v>
      </c>
      <c r="E4304">
        <v>23</v>
      </c>
      <c r="F4304" t="s">
        <v>33</v>
      </c>
      <c r="G4304" t="s">
        <v>23</v>
      </c>
      <c r="H4304" s="1">
        <v>340.22</v>
      </c>
      <c r="I4304" t="s">
        <v>24</v>
      </c>
      <c r="J4304">
        <v>1</v>
      </c>
      <c r="K4304">
        <v>1</v>
      </c>
    </row>
    <row r="4305" spans="1:11" x14ac:dyDescent="0.35">
      <c r="A4305" t="s">
        <v>4342</v>
      </c>
      <c r="B4305">
        <v>21</v>
      </c>
      <c r="C4305" t="s">
        <v>12</v>
      </c>
      <c r="D4305" t="s">
        <v>41</v>
      </c>
      <c r="E4305">
        <v>13</v>
      </c>
      <c r="F4305" t="s">
        <v>33</v>
      </c>
      <c r="G4305" t="s">
        <v>27</v>
      </c>
      <c r="H4305" s="1">
        <v>54.22</v>
      </c>
      <c r="I4305" t="s">
        <v>24</v>
      </c>
      <c r="J4305">
        <v>0</v>
      </c>
      <c r="K4305">
        <v>8</v>
      </c>
    </row>
    <row r="4306" spans="1:11" x14ac:dyDescent="0.35">
      <c r="A4306" t="s">
        <v>4343</v>
      </c>
      <c r="B4306">
        <v>80</v>
      </c>
      <c r="C4306" t="s">
        <v>12</v>
      </c>
      <c r="D4306" t="s">
        <v>41</v>
      </c>
      <c r="E4306">
        <v>9</v>
      </c>
      <c r="F4306" t="s">
        <v>33</v>
      </c>
      <c r="G4306" t="s">
        <v>23</v>
      </c>
      <c r="H4306" s="1">
        <v>119.98</v>
      </c>
      <c r="I4306" t="s">
        <v>24</v>
      </c>
      <c r="J4306">
        <v>3</v>
      </c>
      <c r="K4306">
        <v>7</v>
      </c>
    </row>
    <row r="4307" spans="1:11" x14ac:dyDescent="0.35">
      <c r="A4307" t="s">
        <v>4344</v>
      </c>
      <c r="B4307">
        <v>72</v>
      </c>
      <c r="C4307" t="s">
        <v>12</v>
      </c>
      <c r="D4307" t="s">
        <v>19</v>
      </c>
      <c r="E4307">
        <v>11</v>
      </c>
      <c r="F4307" t="s">
        <v>33</v>
      </c>
      <c r="G4307" t="s">
        <v>37</v>
      </c>
      <c r="H4307" s="1">
        <v>182.25</v>
      </c>
      <c r="I4307" t="s">
        <v>28</v>
      </c>
      <c r="J4307">
        <v>0</v>
      </c>
      <c r="K4307">
        <v>4</v>
      </c>
    </row>
    <row r="4308" spans="1:11" x14ac:dyDescent="0.35">
      <c r="A4308" t="s">
        <v>4345</v>
      </c>
      <c r="B4308">
        <v>39</v>
      </c>
      <c r="C4308" t="s">
        <v>12</v>
      </c>
      <c r="D4308" t="s">
        <v>19</v>
      </c>
      <c r="E4308">
        <v>7</v>
      </c>
      <c r="F4308" t="s">
        <v>33</v>
      </c>
      <c r="G4308" t="s">
        <v>34</v>
      </c>
      <c r="H4308" s="1">
        <v>188.75</v>
      </c>
      <c r="I4308" t="s">
        <v>24</v>
      </c>
      <c r="J4308">
        <v>2</v>
      </c>
      <c r="K4308">
        <v>10</v>
      </c>
    </row>
    <row r="4309" spans="1:11" x14ac:dyDescent="0.35">
      <c r="A4309" t="s">
        <v>4346</v>
      </c>
      <c r="B4309">
        <v>47</v>
      </c>
      <c r="C4309" t="s">
        <v>18</v>
      </c>
      <c r="D4309" t="s">
        <v>13</v>
      </c>
      <c r="E4309">
        <v>7</v>
      </c>
      <c r="F4309" t="s">
        <v>26</v>
      </c>
      <c r="G4309" t="s">
        <v>15</v>
      </c>
      <c r="H4309" s="1">
        <v>317.88</v>
      </c>
      <c r="I4309" t="s">
        <v>24</v>
      </c>
      <c r="J4309">
        <v>2</v>
      </c>
      <c r="K4309">
        <v>8</v>
      </c>
    </row>
    <row r="4310" spans="1:11" x14ac:dyDescent="0.35">
      <c r="A4310" t="s">
        <v>4347</v>
      </c>
      <c r="B4310">
        <v>24</v>
      </c>
      <c r="C4310" t="s">
        <v>18</v>
      </c>
      <c r="D4310" t="s">
        <v>30</v>
      </c>
      <c r="E4310">
        <v>10</v>
      </c>
      <c r="F4310" t="s">
        <v>31</v>
      </c>
      <c r="G4310" t="s">
        <v>23</v>
      </c>
      <c r="H4310" s="1">
        <v>530.72</v>
      </c>
      <c r="I4310" t="s">
        <v>24</v>
      </c>
      <c r="J4310">
        <v>0</v>
      </c>
      <c r="K4310">
        <v>8</v>
      </c>
    </row>
    <row r="4311" spans="1:11" x14ac:dyDescent="0.35">
      <c r="A4311" t="s">
        <v>4348</v>
      </c>
      <c r="B4311">
        <v>79</v>
      </c>
      <c r="C4311" t="s">
        <v>18</v>
      </c>
      <c r="D4311" t="s">
        <v>19</v>
      </c>
      <c r="E4311">
        <v>7</v>
      </c>
      <c r="F4311" t="s">
        <v>22</v>
      </c>
      <c r="G4311" t="s">
        <v>27</v>
      </c>
      <c r="H4311" s="1">
        <v>129.71</v>
      </c>
      <c r="I4311" t="s">
        <v>24</v>
      </c>
      <c r="J4311">
        <v>0</v>
      </c>
      <c r="K4311">
        <v>8</v>
      </c>
    </row>
    <row r="4312" spans="1:11" x14ac:dyDescent="0.35">
      <c r="A4312" t="s">
        <v>4349</v>
      </c>
      <c r="B4312">
        <v>50</v>
      </c>
      <c r="C4312" t="s">
        <v>12</v>
      </c>
      <c r="D4312" t="s">
        <v>19</v>
      </c>
      <c r="E4312">
        <v>18</v>
      </c>
      <c r="F4312" t="s">
        <v>22</v>
      </c>
      <c r="G4312" t="s">
        <v>34</v>
      </c>
      <c r="H4312" s="1">
        <v>139.52000000000001</v>
      </c>
      <c r="I4312" t="s">
        <v>24</v>
      </c>
      <c r="J4312">
        <v>0</v>
      </c>
      <c r="K4312">
        <v>4</v>
      </c>
    </row>
    <row r="4313" spans="1:11" x14ac:dyDescent="0.35">
      <c r="A4313" t="s">
        <v>4350</v>
      </c>
      <c r="B4313">
        <v>56</v>
      </c>
      <c r="C4313" t="s">
        <v>18</v>
      </c>
      <c r="D4313" t="s">
        <v>13</v>
      </c>
      <c r="E4313">
        <v>22</v>
      </c>
      <c r="F4313" t="s">
        <v>26</v>
      </c>
      <c r="G4313" t="s">
        <v>37</v>
      </c>
      <c r="H4313" s="1">
        <v>190.75</v>
      </c>
      <c r="I4313" t="s">
        <v>24</v>
      </c>
      <c r="J4313">
        <v>0</v>
      </c>
      <c r="K4313">
        <v>4</v>
      </c>
    </row>
    <row r="4314" spans="1:11" x14ac:dyDescent="0.35">
      <c r="A4314" t="s">
        <v>4351</v>
      </c>
      <c r="B4314">
        <v>61</v>
      </c>
      <c r="C4314" t="s">
        <v>12</v>
      </c>
      <c r="D4314" t="s">
        <v>13</v>
      </c>
      <c r="E4314">
        <v>7</v>
      </c>
      <c r="F4314" t="s">
        <v>14</v>
      </c>
      <c r="G4314" t="s">
        <v>23</v>
      </c>
      <c r="H4314" s="1">
        <v>0</v>
      </c>
      <c r="I4314" t="s">
        <v>16</v>
      </c>
      <c r="J4314">
        <v>0</v>
      </c>
      <c r="K4314">
        <v>8</v>
      </c>
    </row>
    <row r="4315" spans="1:11" x14ac:dyDescent="0.35">
      <c r="A4315" t="s">
        <v>4352</v>
      </c>
      <c r="B4315">
        <v>53</v>
      </c>
      <c r="C4315" t="s">
        <v>12</v>
      </c>
      <c r="D4315" t="s">
        <v>21</v>
      </c>
      <c r="E4315">
        <v>15</v>
      </c>
      <c r="F4315" t="s">
        <v>22</v>
      </c>
      <c r="G4315" t="s">
        <v>37</v>
      </c>
      <c r="H4315" s="1">
        <v>201.86</v>
      </c>
      <c r="I4315" t="s">
        <v>24</v>
      </c>
      <c r="J4315">
        <v>1</v>
      </c>
      <c r="K4315">
        <v>4</v>
      </c>
    </row>
    <row r="4316" spans="1:11" x14ac:dyDescent="0.35">
      <c r="A4316" t="s">
        <v>4353</v>
      </c>
      <c r="B4316">
        <v>27</v>
      </c>
      <c r="C4316" t="s">
        <v>18</v>
      </c>
      <c r="D4316" t="s">
        <v>19</v>
      </c>
      <c r="E4316">
        <v>14</v>
      </c>
      <c r="F4316" t="s">
        <v>31</v>
      </c>
      <c r="G4316" t="s">
        <v>23</v>
      </c>
      <c r="H4316" s="1">
        <v>324.95999999999998</v>
      </c>
      <c r="I4316" t="s">
        <v>24</v>
      </c>
      <c r="J4316">
        <v>1</v>
      </c>
      <c r="K4316">
        <v>6</v>
      </c>
    </row>
    <row r="4317" spans="1:11" x14ac:dyDescent="0.35">
      <c r="A4317" t="s">
        <v>4354</v>
      </c>
      <c r="B4317">
        <v>78</v>
      </c>
      <c r="C4317" t="s">
        <v>12</v>
      </c>
      <c r="D4317" t="s">
        <v>19</v>
      </c>
      <c r="E4317">
        <v>7</v>
      </c>
      <c r="F4317" t="s">
        <v>22</v>
      </c>
      <c r="G4317" t="s">
        <v>34</v>
      </c>
      <c r="H4317" s="1">
        <v>177.33</v>
      </c>
      <c r="I4317" t="s">
        <v>24</v>
      </c>
      <c r="J4317">
        <v>0</v>
      </c>
      <c r="K4317">
        <v>10</v>
      </c>
    </row>
    <row r="4318" spans="1:11" x14ac:dyDescent="0.35">
      <c r="A4318" t="s">
        <v>4355</v>
      </c>
      <c r="B4318">
        <v>70</v>
      </c>
      <c r="C4318" t="s">
        <v>18</v>
      </c>
      <c r="D4318" t="s">
        <v>21</v>
      </c>
      <c r="E4318">
        <v>36</v>
      </c>
      <c r="F4318" t="s">
        <v>22</v>
      </c>
      <c r="G4318" t="s">
        <v>23</v>
      </c>
      <c r="H4318" s="1">
        <v>310.63</v>
      </c>
      <c r="I4318" t="s">
        <v>24</v>
      </c>
      <c r="J4318">
        <v>2</v>
      </c>
      <c r="K4318">
        <v>2</v>
      </c>
    </row>
    <row r="4319" spans="1:11" x14ac:dyDescent="0.35">
      <c r="A4319" t="s">
        <v>4356</v>
      </c>
      <c r="B4319">
        <v>69</v>
      </c>
      <c r="C4319" t="s">
        <v>18</v>
      </c>
      <c r="D4319" t="s">
        <v>13</v>
      </c>
      <c r="E4319">
        <v>6</v>
      </c>
      <c r="F4319" t="s">
        <v>22</v>
      </c>
      <c r="G4319" t="s">
        <v>27</v>
      </c>
      <c r="H4319" s="1">
        <v>108.4</v>
      </c>
      <c r="I4319" t="s">
        <v>24</v>
      </c>
      <c r="J4319">
        <v>0</v>
      </c>
      <c r="K4319">
        <v>8</v>
      </c>
    </row>
    <row r="4320" spans="1:11" x14ac:dyDescent="0.35">
      <c r="A4320" t="s">
        <v>4357</v>
      </c>
      <c r="B4320">
        <v>33</v>
      </c>
      <c r="C4320" t="s">
        <v>18</v>
      </c>
      <c r="D4320" t="s">
        <v>19</v>
      </c>
      <c r="E4320">
        <v>17</v>
      </c>
      <c r="F4320" t="s">
        <v>31</v>
      </c>
      <c r="G4320" t="s">
        <v>15</v>
      </c>
      <c r="H4320" s="1">
        <v>390.79</v>
      </c>
      <c r="I4320" t="s">
        <v>24</v>
      </c>
      <c r="J4320">
        <v>2</v>
      </c>
      <c r="K4320">
        <v>7</v>
      </c>
    </row>
    <row r="4321" spans="1:11" x14ac:dyDescent="0.35">
      <c r="A4321" t="s">
        <v>4358</v>
      </c>
      <c r="B4321">
        <v>28</v>
      </c>
      <c r="C4321" t="s">
        <v>12</v>
      </c>
      <c r="D4321" t="s">
        <v>21</v>
      </c>
      <c r="E4321">
        <v>25</v>
      </c>
      <c r="F4321" t="s">
        <v>33</v>
      </c>
      <c r="G4321" t="s">
        <v>27</v>
      </c>
      <c r="H4321" s="1">
        <v>141.07</v>
      </c>
      <c r="I4321" t="s">
        <v>24</v>
      </c>
      <c r="J4321">
        <v>1</v>
      </c>
      <c r="K4321">
        <v>1</v>
      </c>
    </row>
    <row r="4322" spans="1:11" x14ac:dyDescent="0.35">
      <c r="A4322" t="s">
        <v>4359</v>
      </c>
      <c r="B4322">
        <v>81</v>
      </c>
      <c r="C4322" t="s">
        <v>18</v>
      </c>
      <c r="D4322" t="s">
        <v>57</v>
      </c>
      <c r="E4322">
        <v>48</v>
      </c>
      <c r="F4322" t="s">
        <v>22</v>
      </c>
      <c r="G4322" t="s">
        <v>27</v>
      </c>
      <c r="H4322" s="1">
        <v>87.46</v>
      </c>
      <c r="I4322" t="s">
        <v>28</v>
      </c>
      <c r="J4322">
        <v>0</v>
      </c>
      <c r="K4322">
        <v>5</v>
      </c>
    </row>
    <row r="4323" spans="1:11" x14ac:dyDescent="0.35">
      <c r="A4323" t="s">
        <v>4360</v>
      </c>
      <c r="B4323">
        <v>26</v>
      </c>
      <c r="C4323" t="s">
        <v>18</v>
      </c>
      <c r="D4323" t="s">
        <v>19</v>
      </c>
      <c r="E4323">
        <v>19</v>
      </c>
      <c r="F4323" t="s">
        <v>31</v>
      </c>
      <c r="G4323" t="s">
        <v>27</v>
      </c>
      <c r="H4323" s="1">
        <v>131.91999999999999</v>
      </c>
      <c r="I4323" t="s">
        <v>24</v>
      </c>
      <c r="J4323">
        <v>1</v>
      </c>
      <c r="K4323">
        <v>2</v>
      </c>
    </row>
    <row r="4324" spans="1:11" x14ac:dyDescent="0.35">
      <c r="A4324" t="s">
        <v>4361</v>
      </c>
      <c r="B4324">
        <v>58</v>
      </c>
      <c r="C4324" t="s">
        <v>12</v>
      </c>
      <c r="D4324" t="s">
        <v>13</v>
      </c>
      <c r="E4324">
        <v>20</v>
      </c>
      <c r="F4324" t="s">
        <v>14</v>
      </c>
      <c r="G4324" t="s">
        <v>15</v>
      </c>
      <c r="H4324" s="1">
        <v>0</v>
      </c>
      <c r="I4324" t="s">
        <v>16</v>
      </c>
      <c r="J4324">
        <v>1</v>
      </c>
      <c r="K4324">
        <v>1</v>
      </c>
    </row>
    <row r="4325" spans="1:11" x14ac:dyDescent="0.35">
      <c r="A4325" t="s">
        <v>4362</v>
      </c>
      <c r="B4325">
        <v>53</v>
      </c>
      <c r="C4325" t="s">
        <v>12</v>
      </c>
      <c r="D4325" t="s">
        <v>19</v>
      </c>
      <c r="E4325">
        <v>19</v>
      </c>
      <c r="F4325" t="s">
        <v>31</v>
      </c>
      <c r="G4325" t="s">
        <v>34</v>
      </c>
      <c r="H4325" s="1">
        <v>184.4</v>
      </c>
      <c r="I4325" t="s">
        <v>24</v>
      </c>
      <c r="J4325">
        <v>0</v>
      </c>
      <c r="K4325">
        <v>3</v>
      </c>
    </row>
    <row r="4326" spans="1:11" x14ac:dyDescent="0.35">
      <c r="A4326" t="s">
        <v>4363</v>
      </c>
      <c r="B4326">
        <v>66</v>
      </c>
      <c r="C4326" t="s">
        <v>12</v>
      </c>
      <c r="D4326" t="s">
        <v>30</v>
      </c>
      <c r="E4326">
        <v>2</v>
      </c>
      <c r="F4326" t="s">
        <v>22</v>
      </c>
      <c r="G4326" t="s">
        <v>27</v>
      </c>
      <c r="H4326" s="1">
        <v>174.86</v>
      </c>
      <c r="I4326" t="s">
        <v>24</v>
      </c>
      <c r="J4326">
        <v>0</v>
      </c>
      <c r="K4326">
        <v>10</v>
      </c>
    </row>
    <row r="4327" spans="1:11" x14ac:dyDescent="0.35">
      <c r="A4327" t="s">
        <v>4364</v>
      </c>
      <c r="B4327">
        <v>68</v>
      </c>
      <c r="C4327" t="s">
        <v>18</v>
      </c>
      <c r="D4327" t="s">
        <v>19</v>
      </c>
      <c r="E4327">
        <v>19</v>
      </c>
      <c r="F4327" t="s">
        <v>33</v>
      </c>
      <c r="G4327" t="s">
        <v>23</v>
      </c>
      <c r="H4327" s="1">
        <v>402.45</v>
      </c>
      <c r="I4327" t="s">
        <v>24</v>
      </c>
      <c r="J4327">
        <v>1</v>
      </c>
      <c r="K4327">
        <v>1</v>
      </c>
    </row>
    <row r="4328" spans="1:11" x14ac:dyDescent="0.35">
      <c r="A4328" t="s">
        <v>4365</v>
      </c>
      <c r="B4328">
        <v>65</v>
      </c>
      <c r="C4328" t="s">
        <v>18</v>
      </c>
      <c r="D4328" t="s">
        <v>19</v>
      </c>
      <c r="E4328">
        <v>7</v>
      </c>
      <c r="F4328" t="s">
        <v>31</v>
      </c>
      <c r="G4328" t="s">
        <v>23</v>
      </c>
      <c r="H4328" s="1">
        <v>506.6</v>
      </c>
      <c r="I4328" t="s">
        <v>24</v>
      </c>
      <c r="J4328">
        <v>0</v>
      </c>
      <c r="K4328">
        <v>8</v>
      </c>
    </row>
    <row r="4329" spans="1:11" x14ac:dyDescent="0.35">
      <c r="A4329" t="s">
        <v>4366</v>
      </c>
      <c r="B4329">
        <v>73</v>
      </c>
      <c r="C4329" t="s">
        <v>12</v>
      </c>
      <c r="D4329" t="s">
        <v>120</v>
      </c>
      <c r="E4329">
        <v>46</v>
      </c>
      <c r="F4329" t="s">
        <v>33</v>
      </c>
      <c r="G4329" t="s">
        <v>23</v>
      </c>
      <c r="H4329" s="1">
        <v>238.42</v>
      </c>
      <c r="I4329" t="s">
        <v>24</v>
      </c>
      <c r="J4329">
        <v>2</v>
      </c>
      <c r="K4329">
        <v>1</v>
      </c>
    </row>
    <row r="4330" spans="1:11" x14ac:dyDescent="0.35">
      <c r="A4330" t="s">
        <v>4367</v>
      </c>
      <c r="B4330">
        <v>28</v>
      </c>
      <c r="C4330" t="s">
        <v>18</v>
      </c>
      <c r="D4330" t="s">
        <v>13</v>
      </c>
      <c r="E4330">
        <v>13</v>
      </c>
      <c r="F4330" t="s">
        <v>22</v>
      </c>
      <c r="G4330" t="s">
        <v>37</v>
      </c>
      <c r="H4330" s="1">
        <v>102.99</v>
      </c>
      <c r="I4330" t="s">
        <v>24</v>
      </c>
      <c r="J4330">
        <v>3</v>
      </c>
      <c r="K4330">
        <v>4</v>
      </c>
    </row>
    <row r="4331" spans="1:11" x14ac:dyDescent="0.35">
      <c r="A4331" t="s">
        <v>4368</v>
      </c>
      <c r="B4331">
        <v>65</v>
      </c>
      <c r="C4331" t="s">
        <v>18</v>
      </c>
      <c r="D4331" t="s">
        <v>21</v>
      </c>
      <c r="E4331">
        <v>13</v>
      </c>
      <c r="F4331" t="s">
        <v>22</v>
      </c>
      <c r="G4331" t="s">
        <v>27</v>
      </c>
      <c r="H4331" s="1">
        <v>156.12</v>
      </c>
      <c r="I4331" t="s">
        <v>24</v>
      </c>
      <c r="J4331">
        <v>0</v>
      </c>
      <c r="K4331">
        <v>4</v>
      </c>
    </row>
    <row r="4332" spans="1:11" x14ac:dyDescent="0.35">
      <c r="A4332" t="s">
        <v>4369</v>
      </c>
      <c r="B4332">
        <v>34</v>
      </c>
      <c r="C4332" t="s">
        <v>18</v>
      </c>
      <c r="D4332" t="s">
        <v>13</v>
      </c>
      <c r="E4332">
        <v>16</v>
      </c>
      <c r="F4332" t="s">
        <v>33</v>
      </c>
      <c r="G4332" t="s">
        <v>37</v>
      </c>
      <c r="H4332" s="1">
        <v>170.61</v>
      </c>
      <c r="I4332" t="s">
        <v>24</v>
      </c>
      <c r="J4332">
        <v>1</v>
      </c>
      <c r="K4332">
        <v>7</v>
      </c>
    </row>
    <row r="4333" spans="1:11" x14ac:dyDescent="0.35">
      <c r="A4333" t="s">
        <v>4370</v>
      </c>
      <c r="B4333">
        <v>19</v>
      </c>
      <c r="C4333" t="s">
        <v>12</v>
      </c>
      <c r="D4333" t="s">
        <v>19</v>
      </c>
      <c r="E4333">
        <v>14</v>
      </c>
      <c r="F4333" t="s">
        <v>31</v>
      </c>
      <c r="G4333" t="s">
        <v>23</v>
      </c>
      <c r="H4333" s="1">
        <v>79.31</v>
      </c>
      <c r="I4333" t="s">
        <v>24</v>
      </c>
      <c r="J4333">
        <v>1</v>
      </c>
      <c r="K4333">
        <v>4</v>
      </c>
    </row>
    <row r="4334" spans="1:11" x14ac:dyDescent="0.35">
      <c r="A4334" t="s">
        <v>4371</v>
      </c>
      <c r="B4334">
        <v>39</v>
      </c>
      <c r="C4334" t="s">
        <v>18</v>
      </c>
      <c r="D4334" t="s">
        <v>19</v>
      </c>
      <c r="E4334">
        <v>19</v>
      </c>
      <c r="F4334" t="s">
        <v>22</v>
      </c>
      <c r="G4334" t="s">
        <v>15</v>
      </c>
      <c r="H4334" s="1">
        <v>352.56</v>
      </c>
      <c r="I4334" t="s">
        <v>24</v>
      </c>
      <c r="J4334">
        <v>3</v>
      </c>
      <c r="K4334">
        <v>3</v>
      </c>
    </row>
    <row r="4335" spans="1:11" x14ac:dyDescent="0.35">
      <c r="A4335" t="s">
        <v>4372</v>
      </c>
      <c r="B4335">
        <v>44</v>
      </c>
      <c r="C4335" t="s">
        <v>18</v>
      </c>
      <c r="D4335" t="s">
        <v>19</v>
      </c>
      <c r="E4335">
        <v>18</v>
      </c>
      <c r="F4335" t="s">
        <v>31</v>
      </c>
      <c r="G4335" t="s">
        <v>27</v>
      </c>
      <c r="H4335" s="1">
        <v>71.930000000000007</v>
      </c>
      <c r="I4335" t="s">
        <v>24</v>
      </c>
      <c r="J4335">
        <v>1</v>
      </c>
      <c r="K4335">
        <v>4</v>
      </c>
    </row>
    <row r="4336" spans="1:11" x14ac:dyDescent="0.35">
      <c r="A4336" t="s">
        <v>4373</v>
      </c>
      <c r="B4336">
        <v>44</v>
      </c>
      <c r="C4336" t="s">
        <v>18</v>
      </c>
      <c r="D4336" t="s">
        <v>19</v>
      </c>
      <c r="E4336">
        <v>7</v>
      </c>
      <c r="F4336" t="s">
        <v>22</v>
      </c>
      <c r="G4336" t="s">
        <v>37</v>
      </c>
      <c r="H4336" s="1">
        <v>181.27</v>
      </c>
      <c r="I4336" t="s">
        <v>24</v>
      </c>
      <c r="J4336">
        <v>1</v>
      </c>
      <c r="K4336">
        <v>7</v>
      </c>
    </row>
    <row r="4337" spans="1:11" x14ac:dyDescent="0.35">
      <c r="A4337" t="s">
        <v>4374</v>
      </c>
      <c r="B4337">
        <v>83</v>
      </c>
      <c r="C4337" t="s">
        <v>12</v>
      </c>
      <c r="D4337" t="s">
        <v>21</v>
      </c>
      <c r="E4337">
        <v>46</v>
      </c>
      <c r="F4337" t="s">
        <v>22</v>
      </c>
      <c r="G4337" t="s">
        <v>15</v>
      </c>
      <c r="H4337" s="1">
        <v>308.68</v>
      </c>
      <c r="I4337" t="s">
        <v>43</v>
      </c>
      <c r="J4337">
        <v>2</v>
      </c>
      <c r="K4337">
        <v>2</v>
      </c>
    </row>
    <row r="4338" spans="1:11" x14ac:dyDescent="0.35">
      <c r="A4338" t="s">
        <v>4375</v>
      </c>
      <c r="B4338">
        <v>67</v>
      </c>
      <c r="C4338" t="s">
        <v>12</v>
      </c>
      <c r="D4338" t="s">
        <v>21</v>
      </c>
      <c r="E4338">
        <v>41</v>
      </c>
      <c r="F4338" t="s">
        <v>22</v>
      </c>
      <c r="G4338" t="s">
        <v>27</v>
      </c>
      <c r="H4338" s="1">
        <v>153.22999999999999</v>
      </c>
      <c r="I4338" t="s">
        <v>24</v>
      </c>
      <c r="J4338">
        <v>2</v>
      </c>
      <c r="K4338">
        <v>2</v>
      </c>
    </row>
    <row r="4339" spans="1:11" x14ac:dyDescent="0.35">
      <c r="A4339" t="s">
        <v>4376</v>
      </c>
      <c r="B4339">
        <v>68</v>
      </c>
      <c r="C4339" t="s">
        <v>18</v>
      </c>
      <c r="D4339" t="s">
        <v>21</v>
      </c>
      <c r="E4339">
        <v>36</v>
      </c>
      <c r="F4339" t="s">
        <v>22</v>
      </c>
      <c r="G4339" t="s">
        <v>27</v>
      </c>
      <c r="H4339" s="1">
        <v>169.24</v>
      </c>
      <c r="I4339" t="s">
        <v>24</v>
      </c>
      <c r="J4339">
        <v>2</v>
      </c>
      <c r="K4339">
        <v>2</v>
      </c>
    </row>
    <row r="4340" spans="1:11" x14ac:dyDescent="0.35">
      <c r="A4340" t="s">
        <v>4377</v>
      </c>
      <c r="B4340">
        <v>31</v>
      </c>
      <c r="C4340" t="s">
        <v>12</v>
      </c>
      <c r="D4340" t="s">
        <v>21</v>
      </c>
      <c r="E4340">
        <v>14</v>
      </c>
      <c r="F4340" t="s">
        <v>31</v>
      </c>
      <c r="G4340" t="s">
        <v>34</v>
      </c>
      <c r="H4340" s="1">
        <v>121.01</v>
      </c>
      <c r="I4340" t="s">
        <v>24</v>
      </c>
      <c r="J4340">
        <v>1</v>
      </c>
      <c r="K4340">
        <v>5</v>
      </c>
    </row>
    <row r="4341" spans="1:11" x14ac:dyDescent="0.35">
      <c r="A4341" t="s">
        <v>4378</v>
      </c>
      <c r="B4341">
        <v>72</v>
      </c>
      <c r="C4341" t="s">
        <v>18</v>
      </c>
      <c r="D4341" t="s">
        <v>21</v>
      </c>
      <c r="E4341">
        <v>47</v>
      </c>
      <c r="F4341" t="s">
        <v>31</v>
      </c>
      <c r="G4341" t="s">
        <v>27</v>
      </c>
      <c r="H4341" s="1">
        <v>117.86</v>
      </c>
      <c r="I4341" t="s">
        <v>24</v>
      </c>
      <c r="J4341">
        <v>1</v>
      </c>
      <c r="K4341">
        <v>1</v>
      </c>
    </row>
    <row r="4342" spans="1:11" x14ac:dyDescent="0.35">
      <c r="A4342" t="s">
        <v>4379</v>
      </c>
      <c r="B4342">
        <v>22</v>
      </c>
      <c r="C4342" t="s">
        <v>12</v>
      </c>
      <c r="D4342" t="s">
        <v>19</v>
      </c>
      <c r="E4342">
        <v>18</v>
      </c>
      <c r="F4342" t="s">
        <v>31</v>
      </c>
      <c r="G4342" t="s">
        <v>15</v>
      </c>
      <c r="H4342" s="1">
        <v>375.91</v>
      </c>
      <c r="I4342" t="s">
        <v>24</v>
      </c>
      <c r="J4342">
        <v>0</v>
      </c>
      <c r="K4342">
        <v>6</v>
      </c>
    </row>
    <row r="4343" spans="1:11" x14ac:dyDescent="0.35">
      <c r="A4343" t="s">
        <v>4380</v>
      </c>
      <c r="B4343">
        <v>64</v>
      </c>
      <c r="C4343" t="s">
        <v>12</v>
      </c>
      <c r="D4343" t="s">
        <v>47</v>
      </c>
      <c r="E4343">
        <v>5</v>
      </c>
      <c r="F4343" t="s">
        <v>33</v>
      </c>
      <c r="G4343" t="s">
        <v>23</v>
      </c>
      <c r="H4343" s="1">
        <v>238.01</v>
      </c>
      <c r="I4343" t="s">
        <v>28</v>
      </c>
      <c r="J4343">
        <v>0</v>
      </c>
      <c r="K4343">
        <v>10</v>
      </c>
    </row>
    <row r="4344" spans="1:11" x14ac:dyDescent="0.35">
      <c r="A4344" t="s">
        <v>4381</v>
      </c>
      <c r="B4344">
        <v>60</v>
      </c>
      <c r="C4344" t="s">
        <v>528</v>
      </c>
      <c r="D4344" t="s">
        <v>13</v>
      </c>
      <c r="E4344">
        <v>23</v>
      </c>
      <c r="F4344" t="s">
        <v>26</v>
      </c>
      <c r="G4344" t="s">
        <v>27</v>
      </c>
      <c r="H4344" s="1">
        <v>113.36</v>
      </c>
      <c r="I4344" t="s">
        <v>24</v>
      </c>
      <c r="J4344">
        <v>4</v>
      </c>
      <c r="K4344">
        <v>1</v>
      </c>
    </row>
    <row r="4345" spans="1:11" x14ac:dyDescent="0.35">
      <c r="A4345" t="s">
        <v>4382</v>
      </c>
      <c r="B4345">
        <v>23</v>
      </c>
      <c r="C4345" t="s">
        <v>18</v>
      </c>
      <c r="D4345" t="s">
        <v>19</v>
      </c>
      <c r="E4345">
        <v>16</v>
      </c>
      <c r="F4345" t="s">
        <v>22</v>
      </c>
      <c r="G4345" t="s">
        <v>34</v>
      </c>
      <c r="H4345" s="1">
        <v>131.56</v>
      </c>
      <c r="I4345" t="s">
        <v>43</v>
      </c>
      <c r="J4345">
        <v>1</v>
      </c>
      <c r="K4345">
        <v>7</v>
      </c>
    </row>
    <row r="4346" spans="1:11" x14ac:dyDescent="0.35">
      <c r="A4346" t="s">
        <v>4383</v>
      </c>
      <c r="B4346">
        <v>24</v>
      </c>
      <c r="C4346" t="s">
        <v>18</v>
      </c>
      <c r="D4346" t="s">
        <v>13</v>
      </c>
      <c r="E4346">
        <v>14</v>
      </c>
      <c r="F4346" t="s">
        <v>14</v>
      </c>
      <c r="G4346" t="s">
        <v>34</v>
      </c>
      <c r="H4346" s="1">
        <v>0</v>
      </c>
      <c r="I4346" t="s">
        <v>16</v>
      </c>
      <c r="J4346">
        <v>3</v>
      </c>
      <c r="K4346">
        <v>5</v>
      </c>
    </row>
    <row r="4347" spans="1:11" x14ac:dyDescent="0.35">
      <c r="A4347" t="s">
        <v>4384</v>
      </c>
      <c r="B4347">
        <v>36</v>
      </c>
      <c r="C4347" t="s">
        <v>12</v>
      </c>
      <c r="D4347" t="s">
        <v>21</v>
      </c>
      <c r="E4347">
        <v>17</v>
      </c>
      <c r="F4347" t="s">
        <v>22</v>
      </c>
      <c r="G4347" t="s">
        <v>23</v>
      </c>
      <c r="H4347" s="1">
        <v>223.37</v>
      </c>
      <c r="I4347" t="s">
        <v>24</v>
      </c>
      <c r="J4347">
        <v>1</v>
      </c>
      <c r="K4347">
        <v>6</v>
      </c>
    </row>
    <row r="4348" spans="1:11" x14ac:dyDescent="0.35">
      <c r="A4348" t="s">
        <v>4385</v>
      </c>
      <c r="B4348">
        <v>47</v>
      </c>
      <c r="C4348" t="s">
        <v>12</v>
      </c>
      <c r="D4348" t="s">
        <v>21</v>
      </c>
      <c r="E4348">
        <v>18</v>
      </c>
      <c r="F4348" t="s">
        <v>22</v>
      </c>
      <c r="G4348" t="s">
        <v>15</v>
      </c>
      <c r="H4348" s="1">
        <v>191</v>
      </c>
      <c r="I4348" t="s">
        <v>28</v>
      </c>
      <c r="J4348">
        <v>1</v>
      </c>
      <c r="K4348">
        <v>5</v>
      </c>
    </row>
    <row r="4349" spans="1:11" x14ac:dyDescent="0.35">
      <c r="A4349" t="s">
        <v>4386</v>
      </c>
      <c r="B4349">
        <v>83</v>
      </c>
      <c r="C4349" t="s">
        <v>18</v>
      </c>
      <c r="D4349" t="s">
        <v>19</v>
      </c>
      <c r="E4349">
        <v>9</v>
      </c>
      <c r="F4349" t="s">
        <v>22</v>
      </c>
      <c r="G4349" t="s">
        <v>34</v>
      </c>
      <c r="H4349" s="1">
        <v>211.29</v>
      </c>
      <c r="I4349" t="s">
        <v>24</v>
      </c>
      <c r="J4349">
        <v>0</v>
      </c>
      <c r="K4349">
        <v>6</v>
      </c>
    </row>
    <row r="4350" spans="1:11" x14ac:dyDescent="0.35">
      <c r="A4350" t="s">
        <v>4387</v>
      </c>
      <c r="B4350">
        <v>71</v>
      </c>
      <c r="C4350" t="s">
        <v>12</v>
      </c>
      <c r="D4350" t="s">
        <v>19</v>
      </c>
      <c r="E4350">
        <v>14</v>
      </c>
      <c r="F4350" t="s">
        <v>26</v>
      </c>
      <c r="G4350" t="s">
        <v>37</v>
      </c>
      <c r="H4350" s="1">
        <v>119.06</v>
      </c>
      <c r="I4350" t="s">
        <v>43</v>
      </c>
      <c r="J4350">
        <v>1</v>
      </c>
      <c r="K4350">
        <v>8</v>
      </c>
    </row>
    <row r="4351" spans="1:11" x14ac:dyDescent="0.35">
      <c r="A4351" t="s">
        <v>4388</v>
      </c>
      <c r="B4351">
        <v>46</v>
      </c>
      <c r="C4351" t="s">
        <v>18</v>
      </c>
      <c r="D4351" t="s">
        <v>47</v>
      </c>
      <c r="E4351">
        <v>3</v>
      </c>
      <c r="F4351" t="s">
        <v>22</v>
      </c>
      <c r="G4351" t="s">
        <v>15</v>
      </c>
      <c r="H4351" s="1">
        <v>214.76</v>
      </c>
      <c r="I4351" t="s">
        <v>24</v>
      </c>
      <c r="J4351">
        <v>0</v>
      </c>
      <c r="K4351">
        <v>9</v>
      </c>
    </row>
    <row r="4352" spans="1:11" x14ac:dyDescent="0.35">
      <c r="A4352" t="s">
        <v>4389</v>
      </c>
      <c r="B4352">
        <v>63</v>
      </c>
      <c r="C4352" t="s">
        <v>18</v>
      </c>
      <c r="D4352" t="s">
        <v>21</v>
      </c>
      <c r="E4352">
        <v>47</v>
      </c>
      <c r="F4352" t="s">
        <v>31</v>
      </c>
      <c r="G4352" t="s">
        <v>34</v>
      </c>
      <c r="H4352" s="1">
        <v>202.91</v>
      </c>
      <c r="I4352" t="s">
        <v>24</v>
      </c>
      <c r="J4352">
        <v>4</v>
      </c>
      <c r="K4352">
        <v>1</v>
      </c>
    </row>
    <row r="4353" spans="1:11" x14ac:dyDescent="0.35">
      <c r="A4353" t="s">
        <v>4390</v>
      </c>
      <c r="B4353">
        <v>70</v>
      </c>
      <c r="C4353" t="s">
        <v>12</v>
      </c>
      <c r="D4353" t="s">
        <v>30</v>
      </c>
      <c r="E4353">
        <v>7</v>
      </c>
      <c r="F4353" t="s">
        <v>31</v>
      </c>
      <c r="G4353" t="s">
        <v>37</v>
      </c>
      <c r="H4353" s="1">
        <v>140.11000000000001</v>
      </c>
      <c r="I4353" t="s">
        <v>24</v>
      </c>
      <c r="J4353">
        <v>0</v>
      </c>
      <c r="K4353">
        <v>10</v>
      </c>
    </row>
    <row r="4354" spans="1:11" x14ac:dyDescent="0.35">
      <c r="A4354" t="s">
        <v>4391</v>
      </c>
      <c r="B4354">
        <v>41</v>
      </c>
      <c r="C4354" t="s">
        <v>12</v>
      </c>
      <c r="D4354" t="s">
        <v>21</v>
      </c>
      <c r="E4354">
        <v>45</v>
      </c>
      <c r="F4354" t="s">
        <v>14</v>
      </c>
      <c r="G4354" t="s">
        <v>37</v>
      </c>
      <c r="H4354" s="1">
        <v>0</v>
      </c>
      <c r="I4354" t="s">
        <v>16</v>
      </c>
      <c r="J4354">
        <v>2</v>
      </c>
      <c r="K4354">
        <v>1</v>
      </c>
    </row>
    <row r="4355" spans="1:11" x14ac:dyDescent="0.35">
      <c r="A4355" t="s">
        <v>4392</v>
      </c>
      <c r="B4355">
        <v>49</v>
      </c>
      <c r="C4355" t="s">
        <v>12</v>
      </c>
      <c r="D4355" t="s">
        <v>13</v>
      </c>
      <c r="E4355">
        <v>18</v>
      </c>
      <c r="F4355" t="s">
        <v>31</v>
      </c>
      <c r="G4355" t="s">
        <v>34</v>
      </c>
      <c r="H4355" s="1">
        <v>205.62</v>
      </c>
      <c r="I4355" t="s">
        <v>24</v>
      </c>
      <c r="J4355">
        <v>3</v>
      </c>
      <c r="K4355">
        <v>4</v>
      </c>
    </row>
    <row r="4356" spans="1:11" x14ac:dyDescent="0.35">
      <c r="A4356" t="s">
        <v>4393</v>
      </c>
      <c r="B4356">
        <v>59</v>
      </c>
      <c r="C4356" t="s">
        <v>18</v>
      </c>
      <c r="D4356" t="s">
        <v>30</v>
      </c>
      <c r="E4356">
        <v>4</v>
      </c>
      <c r="F4356" t="s">
        <v>22</v>
      </c>
      <c r="G4356" t="s">
        <v>23</v>
      </c>
      <c r="H4356" s="1">
        <v>155.82</v>
      </c>
      <c r="I4356" t="s">
        <v>24</v>
      </c>
      <c r="J4356">
        <v>0</v>
      </c>
      <c r="K4356">
        <v>7</v>
      </c>
    </row>
    <row r="4357" spans="1:11" x14ac:dyDescent="0.35">
      <c r="A4357" t="s">
        <v>4394</v>
      </c>
      <c r="B4357">
        <v>21</v>
      </c>
      <c r="C4357" t="s">
        <v>12</v>
      </c>
      <c r="D4357" t="s">
        <v>41</v>
      </c>
      <c r="E4357">
        <v>9</v>
      </c>
      <c r="F4357" t="s">
        <v>22</v>
      </c>
      <c r="G4357" t="s">
        <v>27</v>
      </c>
      <c r="H4357" s="1">
        <v>172.4</v>
      </c>
      <c r="I4357" t="s">
        <v>24</v>
      </c>
      <c r="J4357">
        <v>0</v>
      </c>
      <c r="K4357">
        <v>7</v>
      </c>
    </row>
    <row r="4358" spans="1:11" x14ac:dyDescent="0.35">
      <c r="A4358" t="s">
        <v>4395</v>
      </c>
      <c r="B4358">
        <v>85</v>
      </c>
      <c r="C4358" t="s">
        <v>528</v>
      </c>
      <c r="D4358" t="s">
        <v>19</v>
      </c>
      <c r="E4358">
        <v>7</v>
      </c>
      <c r="F4358" t="s">
        <v>22</v>
      </c>
      <c r="G4358" t="s">
        <v>37</v>
      </c>
      <c r="H4358" s="1">
        <v>107.69</v>
      </c>
      <c r="I4358" t="s">
        <v>28</v>
      </c>
      <c r="J4358">
        <v>0</v>
      </c>
      <c r="K4358">
        <v>8</v>
      </c>
    </row>
    <row r="4359" spans="1:11" x14ac:dyDescent="0.35">
      <c r="A4359" t="s">
        <v>4396</v>
      </c>
      <c r="B4359">
        <v>54</v>
      </c>
      <c r="C4359" t="s">
        <v>18</v>
      </c>
      <c r="D4359" t="s">
        <v>21</v>
      </c>
      <c r="E4359">
        <v>31</v>
      </c>
      <c r="F4359" t="s">
        <v>14</v>
      </c>
      <c r="G4359" t="s">
        <v>27</v>
      </c>
      <c r="H4359" s="1">
        <v>0</v>
      </c>
      <c r="I4359" t="s">
        <v>16</v>
      </c>
      <c r="J4359">
        <v>4</v>
      </c>
      <c r="K4359">
        <v>3</v>
      </c>
    </row>
    <row r="4360" spans="1:11" x14ac:dyDescent="0.35">
      <c r="A4360" t="s">
        <v>4397</v>
      </c>
      <c r="B4360">
        <v>44</v>
      </c>
      <c r="C4360" t="s">
        <v>189</v>
      </c>
      <c r="D4360" t="s">
        <v>21</v>
      </c>
      <c r="E4360">
        <v>32</v>
      </c>
      <c r="F4360" t="s">
        <v>31</v>
      </c>
      <c r="G4360" t="s">
        <v>27</v>
      </c>
      <c r="H4360" s="1">
        <v>46.09</v>
      </c>
      <c r="I4360" t="s">
        <v>24</v>
      </c>
      <c r="J4360">
        <v>0</v>
      </c>
      <c r="K4360">
        <v>1</v>
      </c>
    </row>
    <row r="4361" spans="1:11" x14ac:dyDescent="0.35">
      <c r="A4361" t="s">
        <v>4398</v>
      </c>
      <c r="B4361">
        <v>26</v>
      </c>
      <c r="C4361" t="s">
        <v>12</v>
      </c>
      <c r="D4361" t="s">
        <v>19</v>
      </c>
      <c r="E4361">
        <v>12</v>
      </c>
      <c r="F4361" t="s">
        <v>22</v>
      </c>
      <c r="G4361" t="s">
        <v>37</v>
      </c>
      <c r="H4361" s="1">
        <v>91.54</v>
      </c>
      <c r="I4361" t="s">
        <v>24</v>
      </c>
      <c r="J4361">
        <v>3</v>
      </c>
      <c r="K4361">
        <v>4</v>
      </c>
    </row>
    <row r="4362" spans="1:11" x14ac:dyDescent="0.35">
      <c r="A4362" t="s">
        <v>4399</v>
      </c>
      <c r="B4362">
        <v>45</v>
      </c>
      <c r="C4362" t="s">
        <v>12</v>
      </c>
      <c r="D4362" t="s">
        <v>19</v>
      </c>
      <c r="E4362">
        <v>9</v>
      </c>
      <c r="F4362" t="s">
        <v>31</v>
      </c>
      <c r="G4362" t="s">
        <v>15</v>
      </c>
      <c r="H4362" s="1">
        <v>211.85</v>
      </c>
      <c r="I4362" t="s">
        <v>24</v>
      </c>
      <c r="J4362">
        <v>3</v>
      </c>
      <c r="K4362">
        <v>4</v>
      </c>
    </row>
    <row r="4363" spans="1:11" x14ac:dyDescent="0.35">
      <c r="A4363" t="s">
        <v>4400</v>
      </c>
      <c r="B4363">
        <v>36</v>
      </c>
      <c r="C4363" t="s">
        <v>18</v>
      </c>
      <c r="D4363" t="s">
        <v>30</v>
      </c>
      <c r="E4363">
        <v>8</v>
      </c>
      <c r="F4363" t="s">
        <v>26</v>
      </c>
      <c r="G4363" t="s">
        <v>37</v>
      </c>
      <c r="H4363" s="1">
        <v>105.07</v>
      </c>
      <c r="I4363" t="s">
        <v>28</v>
      </c>
      <c r="J4363">
        <v>0</v>
      </c>
      <c r="K4363">
        <v>7</v>
      </c>
    </row>
    <row r="4364" spans="1:11" x14ac:dyDescent="0.35">
      <c r="A4364" t="s">
        <v>4401</v>
      </c>
      <c r="B4364">
        <v>37</v>
      </c>
      <c r="C4364" t="s">
        <v>189</v>
      </c>
      <c r="D4364" t="s">
        <v>19</v>
      </c>
      <c r="E4364">
        <v>16</v>
      </c>
      <c r="F4364" t="s">
        <v>22</v>
      </c>
      <c r="G4364" t="s">
        <v>37</v>
      </c>
      <c r="H4364" s="1">
        <v>190.08</v>
      </c>
      <c r="I4364" t="s">
        <v>24</v>
      </c>
      <c r="J4364">
        <v>2</v>
      </c>
      <c r="K4364">
        <v>5</v>
      </c>
    </row>
    <row r="4365" spans="1:11" x14ac:dyDescent="0.35">
      <c r="A4365" t="s">
        <v>4402</v>
      </c>
      <c r="B4365">
        <v>36</v>
      </c>
      <c r="C4365" t="s">
        <v>18</v>
      </c>
      <c r="D4365" t="s">
        <v>30</v>
      </c>
      <c r="E4365">
        <v>7</v>
      </c>
      <c r="F4365" t="s">
        <v>22</v>
      </c>
      <c r="G4365" t="s">
        <v>27</v>
      </c>
      <c r="H4365" s="1">
        <v>82.04</v>
      </c>
      <c r="I4365" t="s">
        <v>24</v>
      </c>
      <c r="J4365">
        <v>0</v>
      </c>
      <c r="K4365">
        <v>8</v>
      </c>
    </row>
    <row r="4366" spans="1:11" x14ac:dyDescent="0.35">
      <c r="A4366" t="s">
        <v>4403</v>
      </c>
      <c r="B4366">
        <v>53</v>
      </c>
      <c r="C4366" t="s">
        <v>18</v>
      </c>
      <c r="D4366" t="s">
        <v>19</v>
      </c>
      <c r="E4366">
        <v>9</v>
      </c>
      <c r="F4366" t="s">
        <v>22</v>
      </c>
      <c r="G4366" t="s">
        <v>15</v>
      </c>
      <c r="H4366" s="1">
        <v>289.37</v>
      </c>
      <c r="I4366" t="s">
        <v>24</v>
      </c>
      <c r="J4366">
        <v>3</v>
      </c>
      <c r="K4366">
        <v>8</v>
      </c>
    </row>
    <row r="4367" spans="1:11" x14ac:dyDescent="0.35">
      <c r="A4367" t="s">
        <v>4404</v>
      </c>
      <c r="B4367">
        <v>54</v>
      </c>
      <c r="C4367" t="s">
        <v>12</v>
      </c>
      <c r="D4367" t="s">
        <v>19</v>
      </c>
      <c r="E4367">
        <v>7</v>
      </c>
      <c r="F4367" t="s">
        <v>22</v>
      </c>
      <c r="G4367" t="s">
        <v>15</v>
      </c>
      <c r="H4367" s="1">
        <v>285.14999999999998</v>
      </c>
      <c r="I4367" t="s">
        <v>24</v>
      </c>
      <c r="J4367">
        <v>0</v>
      </c>
      <c r="K4367">
        <v>10</v>
      </c>
    </row>
    <row r="4368" spans="1:11" x14ac:dyDescent="0.35">
      <c r="A4368" t="s">
        <v>4405</v>
      </c>
      <c r="B4368">
        <v>22</v>
      </c>
      <c r="C4368" t="s">
        <v>12</v>
      </c>
      <c r="D4368" t="s">
        <v>41</v>
      </c>
      <c r="E4368">
        <v>9</v>
      </c>
      <c r="F4368" t="s">
        <v>33</v>
      </c>
      <c r="G4368" t="s">
        <v>34</v>
      </c>
      <c r="H4368" s="1">
        <v>214.61</v>
      </c>
      <c r="I4368" t="s">
        <v>24</v>
      </c>
      <c r="J4368">
        <v>2</v>
      </c>
      <c r="K4368">
        <v>6</v>
      </c>
    </row>
    <row r="4369" spans="1:11" x14ac:dyDescent="0.35">
      <c r="A4369" t="s">
        <v>4406</v>
      </c>
      <c r="B4369">
        <v>18</v>
      </c>
      <c r="C4369" t="s">
        <v>12</v>
      </c>
      <c r="D4369" t="s">
        <v>21</v>
      </c>
      <c r="E4369">
        <v>48</v>
      </c>
      <c r="F4369" t="s">
        <v>26</v>
      </c>
      <c r="G4369" t="s">
        <v>37</v>
      </c>
      <c r="H4369" s="1">
        <v>172</v>
      </c>
      <c r="I4369" t="s">
        <v>24</v>
      </c>
      <c r="J4369">
        <v>3</v>
      </c>
      <c r="K4369">
        <v>2</v>
      </c>
    </row>
    <row r="4370" spans="1:11" x14ac:dyDescent="0.35">
      <c r="A4370" t="s">
        <v>4407</v>
      </c>
      <c r="B4370">
        <v>40</v>
      </c>
      <c r="C4370" t="s">
        <v>12</v>
      </c>
      <c r="D4370" t="s">
        <v>21</v>
      </c>
      <c r="E4370">
        <v>38</v>
      </c>
      <c r="F4370" t="s">
        <v>33</v>
      </c>
      <c r="G4370" t="s">
        <v>37</v>
      </c>
      <c r="H4370" s="1">
        <v>189.31</v>
      </c>
      <c r="I4370" t="s">
        <v>24</v>
      </c>
      <c r="J4370">
        <v>3</v>
      </c>
      <c r="K4370">
        <v>4</v>
      </c>
    </row>
    <row r="4371" spans="1:11" x14ac:dyDescent="0.35">
      <c r="A4371" t="s">
        <v>4408</v>
      </c>
      <c r="B4371">
        <v>62</v>
      </c>
      <c r="C4371" t="s">
        <v>12</v>
      </c>
      <c r="D4371" t="s">
        <v>13</v>
      </c>
      <c r="E4371">
        <v>17</v>
      </c>
      <c r="F4371" t="s">
        <v>22</v>
      </c>
      <c r="G4371" t="s">
        <v>23</v>
      </c>
      <c r="H4371" s="1">
        <v>533.26</v>
      </c>
      <c r="I4371" t="s">
        <v>24</v>
      </c>
      <c r="J4371">
        <v>0</v>
      </c>
      <c r="K4371">
        <v>8</v>
      </c>
    </row>
    <row r="4372" spans="1:11" x14ac:dyDescent="0.35">
      <c r="A4372" t="s">
        <v>4409</v>
      </c>
      <c r="B4372">
        <v>64</v>
      </c>
      <c r="C4372" t="s">
        <v>12</v>
      </c>
      <c r="D4372" t="s">
        <v>13</v>
      </c>
      <c r="E4372">
        <v>11</v>
      </c>
      <c r="F4372" t="s">
        <v>26</v>
      </c>
      <c r="G4372" t="s">
        <v>34</v>
      </c>
      <c r="H4372" s="1">
        <v>192.92</v>
      </c>
      <c r="I4372" t="s">
        <v>24</v>
      </c>
      <c r="J4372">
        <v>0</v>
      </c>
      <c r="K4372">
        <v>4</v>
      </c>
    </row>
    <row r="4373" spans="1:11" x14ac:dyDescent="0.35">
      <c r="A4373" t="s">
        <v>4410</v>
      </c>
      <c r="B4373">
        <v>29</v>
      </c>
      <c r="C4373" t="s">
        <v>12</v>
      </c>
      <c r="D4373" t="s">
        <v>21</v>
      </c>
      <c r="E4373">
        <v>28</v>
      </c>
      <c r="F4373" t="s">
        <v>33</v>
      </c>
      <c r="G4373" t="s">
        <v>37</v>
      </c>
      <c r="H4373" s="1">
        <v>144.16</v>
      </c>
      <c r="I4373" t="s">
        <v>24</v>
      </c>
      <c r="J4373">
        <v>0</v>
      </c>
      <c r="K4373">
        <v>5</v>
      </c>
    </row>
    <row r="4374" spans="1:11" x14ac:dyDescent="0.35">
      <c r="A4374" t="s">
        <v>4411</v>
      </c>
      <c r="B4374">
        <v>53</v>
      </c>
      <c r="C4374" t="s">
        <v>18</v>
      </c>
      <c r="D4374" t="s">
        <v>19</v>
      </c>
      <c r="E4374">
        <v>7</v>
      </c>
      <c r="F4374" t="s">
        <v>31</v>
      </c>
      <c r="G4374" t="s">
        <v>34</v>
      </c>
      <c r="H4374" s="1">
        <v>125.07</v>
      </c>
      <c r="I4374" t="s">
        <v>24</v>
      </c>
      <c r="J4374">
        <v>0</v>
      </c>
      <c r="K4374">
        <v>9</v>
      </c>
    </row>
    <row r="4375" spans="1:11" x14ac:dyDescent="0.35">
      <c r="A4375" t="s">
        <v>4412</v>
      </c>
      <c r="B4375">
        <v>56</v>
      </c>
      <c r="C4375" t="s">
        <v>12</v>
      </c>
      <c r="D4375" t="s">
        <v>19</v>
      </c>
      <c r="E4375">
        <v>20</v>
      </c>
      <c r="F4375" t="s">
        <v>33</v>
      </c>
      <c r="G4375" t="s">
        <v>27</v>
      </c>
      <c r="H4375" s="1">
        <v>110.4</v>
      </c>
      <c r="I4375" t="s">
        <v>24</v>
      </c>
      <c r="J4375">
        <v>3</v>
      </c>
      <c r="K4375">
        <v>1</v>
      </c>
    </row>
    <row r="4376" spans="1:11" x14ac:dyDescent="0.35">
      <c r="A4376" t="s">
        <v>4413</v>
      </c>
      <c r="B4376">
        <v>19</v>
      </c>
      <c r="C4376" t="s">
        <v>12</v>
      </c>
      <c r="D4376" t="s">
        <v>19</v>
      </c>
      <c r="E4376">
        <v>24</v>
      </c>
      <c r="F4376" t="s">
        <v>31</v>
      </c>
      <c r="G4376" t="s">
        <v>27</v>
      </c>
      <c r="H4376" s="1">
        <v>31.72</v>
      </c>
      <c r="I4376" t="s">
        <v>24</v>
      </c>
      <c r="J4376">
        <v>3</v>
      </c>
      <c r="K4376">
        <v>1</v>
      </c>
    </row>
    <row r="4377" spans="1:11" x14ac:dyDescent="0.35">
      <c r="A4377" t="s">
        <v>4414</v>
      </c>
      <c r="B4377">
        <v>47</v>
      </c>
      <c r="C4377" t="s">
        <v>18</v>
      </c>
      <c r="D4377" t="s">
        <v>200</v>
      </c>
      <c r="E4377">
        <v>16</v>
      </c>
      <c r="F4377" t="s">
        <v>31</v>
      </c>
      <c r="G4377" t="s">
        <v>37</v>
      </c>
      <c r="H4377" s="1">
        <v>208.94</v>
      </c>
      <c r="I4377" t="s">
        <v>28</v>
      </c>
      <c r="J4377">
        <v>1</v>
      </c>
      <c r="K4377">
        <v>8</v>
      </c>
    </row>
    <row r="4378" spans="1:11" x14ac:dyDescent="0.35">
      <c r="A4378" t="s">
        <v>4415</v>
      </c>
      <c r="B4378">
        <v>71</v>
      </c>
      <c r="C4378" t="s">
        <v>18</v>
      </c>
      <c r="D4378" t="s">
        <v>21</v>
      </c>
      <c r="E4378">
        <v>44</v>
      </c>
      <c r="F4378" t="s">
        <v>31</v>
      </c>
      <c r="G4378" t="s">
        <v>15</v>
      </c>
      <c r="H4378" s="1">
        <v>154</v>
      </c>
      <c r="I4378" t="s">
        <v>24</v>
      </c>
      <c r="J4378">
        <v>4</v>
      </c>
      <c r="K4378">
        <v>5</v>
      </c>
    </row>
    <row r="4379" spans="1:11" x14ac:dyDescent="0.35">
      <c r="A4379" t="s">
        <v>4416</v>
      </c>
      <c r="B4379">
        <v>66</v>
      </c>
      <c r="C4379" t="s">
        <v>18</v>
      </c>
      <c r="D4379" t="s">
        <v>200</v>
      </c>
      <c r="E4379">
        <v>12</v>
      </c>
      <c r="F4379" t="s">
        <v>22</v>
      </c>
      <c r="G4379" t="s">
        <v>27</v>
      </c>
      <c r="H4379" s="1">
        <v>154.22</v>
      </c>
      <c r="I4379" t="s">
        <v>28</v>
      </c>
      <c r="J4379">
        <v>3</v>
      </c>
      <c r="K4379">
        <v>4</v>
      </c>
    </row>
    <row r="4380" spans="1:11" x14ac:dyDescent="0.35">
      <c r="A4380" t="s">
        <v>4417</v>
      </c>
      <c r="B4380">
        <v>46</v>
      </c>
      <c r="C4380" t="s">
        <v>18</v>
      </c>
      <c r="D4380" t="s">
        <v>19</v>
      </c>
      <c r="E4380">
        <v>14</v>
      </c>
      <c r="F4380" t="s">
        <v>33</v>
      </c>
      <c r="G4380" t="s">
        <v>15</v>
      </c>
      <c r="H4380" s="1">
        <v>335.62</v>
      </c>
      <c r="I4380" t="s">
        <v>24</v>
      </c>
      <c r="J4380">
        <v>3</v>
      </c>
      <c r="K4380">
        <v>6</v>
      </c>
    </row>
    <row r="4381" spans="1:11" x14ac:dyDescent="0.35">
      <c r="A4381" t="s">
        <v>4418</v>
      </c>
      <c r="B4381">
        <v>50</v>
      </c>
      <c r="C4381" t="s">
        <v>12</v>
      </c>
      <c r="D4381" t="s">
        <v>21</v>
      </c>
      <c r="E4381">
        <v>23</v>
      </c>
      <c r="F4381" t="s">
        <v>26</v>
      </c>
      <c r="G4381" t="s">
        <v>27</v>
      </c>
      <c r="H4381" s="1">
        <v>43.31</v>
      </c>
      <c r="I4381" t="s">
        <v>24</v>
      </c>
      <c r="J4381">
        <v>1</v>
      </c>
      <c r="K4381">
        <v>3</v>
      </c>
    </row>
    <row r="4382" spans="1:11" x14ac:dyDescent="0.35">
      <c r="A4382" t="s">
        <v>4419</v>
      </c>
      <c r="B4382">
        <v>77</v>
      </c>
      <c r="C4382" t="s">
        <v>12</v>
      </c>
      <c r="D4382" t="s">
        <v>21</v>
      </c>
      <c r="E4382">
        <v>16</v>
      </c>
      <c r="F4382" t="s">
        <v>33</v>
      </c>
      <c r="G4382" t="s">
        <v>27</v>
      </c>
      <c r="H4382" s="1">
        <v>21.55</v>
      </c>
      <c r="I4382" t="s">
        <v>24</v>
      </c>
      <c r="J4382">
        <v>2</v>
      </c>
      <c r="K4382">
        <v>7</v>
      </c>
    </row>
    <row r="4383" spans="1:11" x14ac:dyDescent="0.35">
      <c r="A4383" t="s">
        <v>4420</v>
      </c>
      <c r="B4383">
        <v>49</v>
      </c>
      <c r="C4383" t="s">
        <v>12</v>
      </c>
      <c r="D4383" t="s">
        <v>120</v>
      </c>
      <c r="E4383">
        <v>42</v>
      </c>
      <c r="F4383" t="s">
        <v>33</v>
      </c>
      <c r="G4383" t="s">
        <v>23</v>
      </c>
      <c r="H4383" s="1">
        <v>195.08</v>
      </c>
      <c r="I4383" t="s">
        <v>24</v>
      </c>
      <c r="J4383">
        <v>2</v>
      </c>
      <c r="K4383">
        <v>4</v>
      </c>
    </row>
    <row r="4384" spans="1:11" x14ac:dyDescent="0.35">
      <c r="A4384" t="s">
        <v>4421</v>
      </c>
      <c r="B4384">
        <v>54</v>
      </c>
      <c r="C4384" t="s">
        <v>18</v>
      </c>
      <c r="D4384" t="s">
        <v>41</v>
      </c>
      <c r="E4384">
        <v>11</v>
      </c>
      <c r="F4384" t="s">
        <v>26</v>
      </c>
      <c r="G4384" t="s">
        <v>34</v>
      </c>
      <c r="H4384" s="1">
        <v>126.07</v>
      </c>
      <c r="I4384" t="s">
        <v>24</v>
      </c>
      <c r="J4384">
        <v>0</v>
      </c>
      <c r="K4384">
        <v>5</v>
      </c>
    </row>
    <row r="4385" spans="1:11" x14ac:dyDescent="0.35">
      <c r="A4385" t="s">
        <v>4422</v>
      </c>
      <c r="B4385">
        <v>60</v>
      </c>
      <c r="C4385" t="s">
        <v>12</v>
      </c>
      <c r="D4385" t="s">
        <v>19</v>
      </c>
      <c r="E4385">
        <v>23</v>
      </c>
      <c r="F4385" t="s">
        <v>22</v>
      </c>
      <c r="G4385" t="s">
        <v>37</v>
      </c>
      <c r="H4385" s="1">
        <v>110.78</v>
      </c>
      <c r="I4385" t="s">
        <v>24</v>
      </c>
      <c r="J4385">
        <v>2</v>
      </c>
      <c r="K4385">
        <v>3</v>
      </c>
    </row>
    <row r="4386" spans="1:11" x14ac:dyDescent="0.35">
      <c r="A4386" t="s">
        <v>4423</v>
      </c>
      <c r="B4386">
        <v>53</v>
      </c>
      <c r="C4386" t="s">
        <v>12</v>
      </c>
      <c r="D4386" t="s">
        <v>47</v>
      </c>
      <c r="E4386">
        <v>12</v>
      </c>
      <c r="F4386" t="s">
        <v>26</v>
      </c>
      <c r="G4386" t="s">
        <v>34</v>
      </c>
      <c r="H4386" s="1">
        <v>198.13</v>
      </c>
      <c r="I4386" t="s">
        <v>24</v>
      </c>
      <c r="J4386">
        <v>3</v>
      </c>
      <c r="K4386">
        <v>4</v>
      </c>
    </row>
    <row r="4387" spans="1:11" x14ac:dyDescent="0.35">
      <c r="A4387" t="s">
        <v>4424</v>
      </c>
      <c r="B4387">
        <v>52</v>
      </c>
      <c r="C4387" t="s">
        <v>12</v>
      </c>
      <c r="D4387" t="s">
        <v>13</v>
      </c>
      <c r="E4387">
        <v>22</v>
      </c>
      <c r="F4387" t="s">
        <v>26</v>
      </c>
      <c r="G4387" t="s">
        <v>27</v>
      </c>
      <c r="H4387" s="1">
        <v>150.76</v>
      </c>
      <c r="I4387" t="s">
        <v>24</v>
      </c>
      <c r="J4387">
        <v>0</v>
      </c>
      <c r="K4387">
        <v>3</v>
      </c>
    </row>
    <row r="4388" spans="1:11" x14ac:dyDescent="0.35">
      <c r="A4388" t="s">
        <v>4425</v>
      </c>
      <c r="B4388">
        <v>41</v>
      </c>
      <c r="C4388" t="s">
        <v>18</v>
      </c>
      <c r="D4388" t="s">
        <v>21</v>
      </c>
      <c r="E4388">
        <v>31</v>
      </c>
      <c r="F4388" t="s">
        <v>33</v>
      </c>
      <c r="G4388" t="s">
        <v>37</v>
      </c>
      <c r="H4388" s="1">
        <v>206.54</v>
      </c>
      <c r="I4388" t="s">
        <v>24</v>
      </c>
      <c r="J4388">
        <v>3</v>
      </c>
      <c r="K4388">
        <v>1</v>
      </c>
    </row>
    <row r="4389" spans="1:11" x14ac:dyDescent="0.35">
      <c r="A4389" t="s">
        <v>4426</v>
      </c>
      <c r="B4389">
        <v>21</v>
      </c>
      <c r="C4389" t="s">
        <v>18</v>
      </c>
      <c r="D4389" t="s">
        <v>47</v>
      </c>
      <c r="E4389">
        <v>11</v>
      </c>
      <c r="F4389" t="s">
        <v>14</v>
      </c>
      <c r="G4389" t="s">
        <v>23</v>
      </c>
      <c r="H4389" s="1">
        <v>0</v>
      </c>
      <c r="I4389" t="s">
        <v>16</v>
      </c>
      <c r="J4389">
        <v>0</v>
      </c>
      <c r="K4389">
        <v>8</v>
      </c>
    </row>
    <row r="4390" spans="1:11" x14ac:dyDescent="0.35">
      <c r="A4390" t="s">
        <v>4427</v>
      </c>
      <c r="B4390">
        <v>47</v>
      </c>
      <c r="C4390" t="s">
        <v>18</v>
      </c>
      <c r="D4390" t="s">
        <v>57</v>
      </c>
      <c r="E4390">
        <v>24</v>
      </c>
      <c r="F4390" t="s">
        <v>33</v>
      </c>
      <c r="G4390" t="s">
        <v>34</v>
      </c>
      <c r="H4390" s="1">
        <v>168.25</v>
      </c>
      <c r="I4390" t="s">
        <v>43</v>
      </c>
      <c r="J4390">
        <v>0</v>
      </c>
      <c r="K4390">
        <v>1</v>
      </c>
    </row>
    <row r="4391" spans="1:11" x14ac:dyDescent="0.35">
      <c r="A4391" t="s">
        <v>4428</v>
      </c>
      <c r="B4391">
        <v>61</v>
      </c>
      <c r="C4391" t="s">
        <v>12</v>
      </c>
      <c r="D4391" t="s">
        <v>30</v>
      </c>
      <c r="E4391">
        <v>8</v>
      </c>
      <c r="F4391" t="s">
        <v>31</v>
      </c>
      <c r="G4391" t="s">
        <v>27</v>
      </c>
      <c r="H4391" s="1">
        <v>99.05</v>
      </c>
      <c r="I4391" t="s">
        <v>24</v>
      </c>
      <c r="J4391">
        <v>0</v>
      </c>
      <c r="K4391">
        <v>7</v>
      </c>
    </row>
    <row r="4392" spans="1:11" x14ac:dyDescent="0.35">
      <c r="A4392" t="s">
        <v>4429</v>
      </c>
      <c r="B4392">
        <v>73</v>
      </c>
      <c r="C4392" t="s">
        <v>18</v>
      </c>
      <c r="D4392" t="s">
        <v>13</v>
      </c>
      <c r="E4392">
        <v>20</v>
      </c>
      <c r="F4392" t="s">
        <v>26</v>
      </c>
      <c r="G4392" t="s">
        <v>23</v>
      </c>
      <c r="H4392" s="1">
        <v>178.14</v>
      </c>
      <c r="I4392" t="s">
        <v>28</v>
      </c>
      <c r="J4392">
        <v>1</v>
      </c>
      <c r="K4392">
        <v>2</v>
      </c>
    </row>
    <row r="4393" spans="1:11" x14ac:dyDescent="0.35">
      <c r="A4393" t="s">
        <v>4430</v>
      </c>
      <c r="B4393">
        <v>80</v>
      </c>
      <c r="C4393" t="s">
        <v>12</v>
      </c>
      <c r="D4393" t="s">
        <v>21</v>
      </c>
      <c r="E4393">
        <v>43</v>
      </c>
      <c r="F4393" t="s">
        <v>22</v>
      </c>
      <c r="G4393" t="s">
        <v>15</v>
      </c>
      <c r="H4393" s="1">
        <v>90.73</v>
      </c>
      <c r="I4393" t="s">
        <v>24</v>
      </c>
      <c r="J4393">
        <v>3</v>
      </c>
      <c r="K4393">
        <v>4</v>
      </c>
    </row>
    <row r="4394" spans="1:11" x14ac:dyDescent="0.35">
      <c r="A4394" t="s">
        <v>4431</v>
      </c>
      <c r="B4394">
        <v>34</v>
      </c>
      <c r="C4394" t="s">
        <v>18</v>
      </c>
      <c r="D4394" t="s">
        <v>47</v>
      </c>
      <c r="E4394">
        <v>5</v>
      </c>
      <c r="F4394" t="s">
        <v>33</v>
      </c>
      <c r="G4394" t="s">
        <v>27</v>
      </c>
      <c r="H4394" s="1">
        <v>159.36000000000001</v>
      </c>
      <c r="I4394" t="s">
        <v>24</v>
      </c>
      <c r="J4394">
        <v>2</v>
      </c>
      <c r="K4394">
        <v>7</v>
      </c>
    </row>
    <row r="4395" spans="1:11" x14ac:dyDescent="0.35">
      <c r="A4395" t="s">
        <v>4432</v>
      </c>
      <c r="B4395">
        <v>66</v>
      </c>
      <c r="C4395" t="s">
        <v>18</v>
      </c>
      <c r="D4395" t="s">
        <v>13</v>
      </c>
      <c r="E4395">
        <v>17</v>
      </c>
      <c r="F4395" t="s">
        <v>31</v>
      </c>
      <c r="G4395" t="s">
        <v>23</v>
      </c>
      <c r="H4395" s="1">
        <v>317.52999999999997</v>
      </c>
      <c r="I4395" t="s">
        <v>24</v>
      </c>
      <c r="J4395">
        <v>2</v>
      </c>
      <c r="K4395">
        <v>7</v>
      </c>
    </row>
    <row r="4396" spans="1:11" x14ac:dyDescent="0.35">
      <c r="A4396" t="s">
        <v>4433</v>
      </c>
      <c r="B4396">
        <v>74</v>
      </c>
      <c r="C4396" t="s">
        <v>12</v>
      </c>
      <c r="D4396" t="s">
        <v>19</v>
      </c>
      <c r="E4396">
        <v>21</v>
      </c>
      <c r="F4396" t="s">
        <v>22</v>
      </c>
      <c r="G4396" t="s">
        <v>27</v>
      </c>
      <c r="H4396" s="1">
        <v>105.45</v>
      </c>
      <c r="I4396" t="s">
        <v>24</v>
      </c>
      <c r="J4396">
        <v>1</v>
      </c>
      <c r="K4396">
        <v>2</v>
      </c>
    </row>
    <row r="4397" spans="1:11" x14ac:dyDescent="0.35">
      <c r="A4397" t="s">
        <v>4434</v>
      </c>
      <c r="B4397">
        <v>42</v>
      </c>
      <c r="C4397" t="s">
        <v>12</v>
      </c>
      <c r="D4397" t="s">
        <v>13</v>
      </c>
      <c r="E4397">
        <v>14</v>
      </c>
      <c r="F4397" t="s">
        <v>31</v>
      </c>
      <c r="G4397" t="s">
        <v>15</v>
      </c>
      <c r="H4397" s="1">
        <v>339.65</v>
      </c>
      <c r="I4397" t="s">
        <v>24</v>
      </c>
      <c r="J4397">
        <v>1</v>
      </c>
      <c r="K4397">
        <v>6</v>
      </c>
    </row>
    <row r="4398" spans="1:11" x14ac:dyDescent="0.35">
      <c r="A4398" t="s">
        <v>4435</v>
      </c>
      <c r="B4398">
        <v>26</v>
      </c>
      <c r="C4398" t="s">
        <v>12</v>
      </c>
      <c r="D4398" t="s">
        <v>19</v>
      </c>
      <c r="E4398">
        <v>12</v>
      </c>
      <c r="F4398" t="s">
        <v>33</v>
      </c>
      <c r="G4398" t="s">
        <v>37</v>
      </c>
      <c r="H4398" s="1">
        <v>155.09</v>
      </c>
      <c r="I4398" t="s">
        <v>28</v>
      </c>
      <c r="J4398">
        <v>0</v>
      </c>
      <c r="K4398">
        <v>6</v>
      </c>
    </row>
    <row r="4399" spans="1:11" x14ac:dyDescent="0.35">
      <c r="A4399" t="s">
        <v>4436</v>
      </c>
      <c r="B4399">
        <v>69</v>
      </c>
      <c r="C4399" t="s">
        <v>18</v>
      </c>
      <c r="D4399" t="s">
        <v>19</v>
      </c>
      <c r="E4399">
        <v>24</v>
      </c>
      <c r="F4399" t="s">
        <v>31</v>
      </c>
      <c r="G4399" t="s">
        <v>27</v>
      </c>
      <c r="H4399" s="1">
        <v>58.67</v>
      </c>
      <c r="I4399" t="s">
        <v>24</v>
      </c>
      <c r="J4399">
        <v>1</v>
      </c>
      <c r="K4399">
        <v>2</v>
      </c>
    </row>
    <row r="4400" spans="1:11" x14ac:dyDescent="0.35">
      <c r="A4400" t="s">
        <v>4437</v>
      </c>
      <c r="B4400">
        <v>37</v>
      </c>
      <c r="C4400" t="s">
        <v>18</v>
      </c>
      <c r="D4400" t="s">
        <v>21</v>
      </c>
      <c r="E4400">
        <v>15</v>
      </c>
      <c r="F4400" t="s">
        <v>26</v>
      </c>
      <c r="G4400" t="s">
        <v>15</v>
      </c>
      <c r="H4400" s="1">
        <v>144.06</v>
      </c>
      <c r="I4400" t="s">
        <v>24</v>
      </c>
      <c r="J4400">
        <v>0</v>
      </c>
      <c r="K4400">
        <v>5</v>
      </c>
    </row>
    <row r="4401" spans="1:11" x14ac:dyDescent="0.35">
      <c r="A4401" t="s">
        <v>4438</v>
      </c>
      <c r="B4401">
        <v>52</v>
      </c>
      <c r="C4401" t="s">
        <v>12</v>
      </c>
      <c r="D4401" t="s">
        <v>21</v>
      </c>
      <c r="E4401">
        <v>30</v>
      </c>
      <c r="F4401" t="s">
        <v>26</v>
      </c>
      <c r="G4401" t="s">
        <v>37</v>
      </c>
      <c r="H4401" s="1">
        <v>104.58</v>
      </c>
      <c r="I4401" t="s">
        <v>24</v>
      </c>
      <c r="J4401">
        <v>1</v>
      </c>
      <c r="K4401">
        <v>1</v>
      </c>
    </row>
    <row r="4402" spans="1:11" x14ac:dyDescent="0.35">
      <c r="A4402" t="s">
        <v>4439</v>
      </c>
      <c r="B4402">
        <v>56</v>
      </c>
      <c r="C4402" t="s">
        <v>18</v>
      </c>
      <c r="D4402" t="s">
        <v>13</v>
      </c>
      <c r="E4402">
        <v>18</v>
      </c>
      <c r="F4402" t="s">
        <v>22</v>
      </c>
      <c r="G4402" t="s">
        <v>23</v>
      </c>
      <c r="H4402" s="1">
        <v>374.48</v>
      </c>
      <c r="I4402" t="s">
        <v>24</v>
      </c>
      <c r="J4402">
        <v>1</v>
      </c>
      <c r="K4402">
        <v>7</v>
      </c>
    </row>
    <row r="4403" spans="1:11" x14ac:dyDescent="0.35">
      <c r="A4403" t="s">
        <v>4440</v>
      </c>
      <c r="B4403">
        <v>23</v>
      </c>
      <c r="C4403" t="s">
        <v>12</v>
      </c>
      <c r="D4403" t="s">
        <v>120</v>
      </c>
      <c r="E4403">
        <v>32</v>
      </c>
      <c r="F4403" t="s">
        <v>31</v>
      </c>
      <c r="G4403" t="s">
        <v>34</v>
      </c>
      <c r="H4403" s="1">
        <v>146.88999999999999</v>
      </c>
      <c r="I4403" t="s">
        <v>24</v>
      </c>
      <c r="J4403">
        <v>1</v>
      </c>
      <c r="K4403">
        <v>4</v>
      </c>
    </row>
    <row r="4404" spans="1:11" x14ac:dyDescent="0.35">
      <c r="A4404" t="s">
        <v>4441</v>
      </c>
      <c r="B4404">
        <v>23</v>
      </c>
      <c r="C4404" t="s">
        <v>18</v>
      </c>
      <c r="D4404" t="s">
        <v>21</v>
      </c>
      <c r="E4404">
        <v>13</v>
      </c>
      <c r="F4404" t="s">
        <v>26</v>
      </c>
      <c r="G4404" t="s">
        <v>34</v>
      </c>
      <c r="H4404" s="1">
        <v>173.81</v>
      </c>
      <c r="I4404" t="s">
        <v>24</v>
      </c>
      <c r="J4404">
        <v>3</v>
      </c>
      <c r="K4404">
        <v>8</v>
      </c>
    </row>
    <row r="4405" spans="1:11" x14ac:dyDescent="0.35">
      <c r="A4405" t="s">
        <v>4442</v>
      </c>
      <c r="B4405">
        <v>36</v>
      </c>
      <c r="C4405" t="s">
        <v>18</v>
      </c>
      <c r="D4405" t="s">
        <v>41</v>
      </c>
      <c r="E4405">
        <v>8</v>
      </c>
      <c r="F4405" t="s">
        <v>33</v>
      </c>
      <c r="G4405" t="s">
        <v>27</v>
      </c>
      <c r="H4405" s="1">
        <v>92.56</v>
      </c>
      <c r="I4405" t="s">
        <v>28</v>
      </c>
      <c r="J4405">
        <v>0</v>
      </c>
      <c r="K4405">
        <v>7</v>
      </c>
    </row>
    <row r="4406" spans="1:11" x14ac:dyDescent="0.35">
      <c r="A4406" t="s">
        <v>4443</v>
      </c>
      <c r="B4406">
        <v>60</v>
      </c>
      <c r="C4406" t="s">
        <v>18</v>
      </c>
      <c r="D4406" t="s">
        <v>13</v>
      </c>
      <c r="E4406">
        <v>17</v>
      </c>
      <c r="F4406" t="s">
        <v>22</v>
      </c>
      <c r="G4406" t="s">
        <v>34</v>
      </c>
      <c r="H4406" s="1">
        <v>149.99</v>
      </c>
      <c r="I4406" t="s">
        <v>43</v>
      </c>
      <c r="J4406">
        <v>2</v>
      </c>
      <c r="K4406">
        <v>7</v>
      </c>
    </row>
    <row r="4407" spans="1:11" x14ac:dyDescent="0.35">
      <c r="A4407" t="s">
        <v>4444</v>
      </c>
      <c r="B4407">
        <v>48</v>
      </c>
      <c r="C4407" t="s">
        <v>18</v>
      </c>
      <c r="D4407" t="s">
        <v>19</v>
      </c>
      <c r="E4407">
        <v>22</v>
      </c>
      <c r="F4407" t="s">
        <v>31</v>
      </c>
      <c r="G4407" t="s">
        <v>34</v>
      </c>
      <c r="H4407" s="1">
        <v>208.8</v>
      </c>
      <c r="I4407" t="s">
        <v>24</v>
      </c>
      <c r="J4407">
        <v>0</v>
      </c>
      <c r="K4407">
        <v>4</v>
      </c>
    </row>
    <row r="4408" spans="1:11" x14ac:dyDescent="0.35">
      <c r="A4408" t="s">
        <v>4445</v>
      </c>
      <c r="B4408">
        <v>85</v>
      </c>
      <c r="C4408" t="s">
        <v>18</v>
      </c>
      <c r="D4408" t="s">
        <v>19</v>
      </c>
      <c r="E4408">
        <v>13</v>
      </c>
      <c r="F4408" t="s">
        <v>14</v>
      </c>
      <c r="G4408" t="s">
        <v>37</v>
      </c>
      <c r="H4408" s="1">
        <v>0</v>
      </c>
      <c r="I4408" t="s">
        <v>16</v>
      </c>
      <c r="J4408">
        <v>1</v>
      </c>
      <c r="K4408">
        <v>7</v>
      </c>
    </row>
    <row r="4409" spans="1:11" x14ac:dyDescent="0.35">
      <c r="A4409" t="s">
        <v>4446</v>
      </c>
      <c r="B4409">
        <v>47</v>
      </c>
      <c r="C4409" t="s">
        <v>12</v>
      </c>
      <c r="D4409" t="s">
        <v>13</v>
      </c>
      <c r="E4409">
        <v>22</v>
      </c>
      <c r="F4409" t="s">
        <v>14</v>
      </c>
      <c r="G4409" t="s">
        <v>27</v>
      </c>
      <c r="H4409" s="1">
        <v>0</v>
      </c>
      <c r="I4409" t="s">
        <v>16</v>
      </c>
      <c r="J4409">
        <v>3</v>
      </c>
      <c r="K4409">
        <v>3</v>
      </c>
    </row>
    <row r="4410" spans="1:11" x14ac:dyDescent="0.35">
      <c r="A4410" t="s">
        <v>4447</v>
      </c>
      <c r="B4410">
        <v>82</v>
      </c>
      <c r="C4410" t="s">
        <v>18</v>
      </c>
      <c r="D4410" t="s">
        <v>57</v>
      </c>
      <c r="E4410">
        <v>15</v>
      </c>
      <c r="F4410" t="s">
        <v>26</v>
      </c>
      <c r="G4410" t="s">
        <v>37</v>
      </c>
      <c r="H4410" s="1">
        <v>187.74</v>
      </c>
      <c r="I4410" t="s">
        <v>24</v>
      </c>
      <c r="J4410">
        <v>2</v>
      </c>
      <c r="K4410">
        <v>5</v>
      </c>
    </row>
    <row r="4411" spans="1:11" x14ac:dyDescent="0.35">
      <c r="A4411" t="s">
        <v>4448</v>
      </c>
      <c r="B4411">
        <v>43</v>
      </c>
      <c r="C4411" t="s">
        <v>18</v>
      </c>
      <c r="D4411" t="s">
        <v>41</v>
      </c>
      <c r="E4411">
        <v>14</v>
      </c>
      <c r="F4411" t="s">
        <v>33</v>
      </c>
      <c r="G4411" t="s">
        <v>34</v>
      </c>
      <c r="H4411" s="1">
        <v>127.38</v>
      </c>
      <c r="I4411" t="s">
        <v>24</v>
      </c>
      <c r="J4411">
        <v>1</v>
      </c>
      <c r="K4411">
        <v>8</v>
      </c>
    </row>
    <row r="4412" spans="1:11" x14ac:dyDescent="0.35">
      <c r="A4412" t="s">
        <v>4449</v>
      </c>
      <c r="B4412">
        <v>53</v>
      </c>
      <c r="C4412" t="s">
        <v>12</v>
      </c>
      <c r="D4412" t="s">
        <v>21</v>
      </c>
      <c r="E4412">
        <v>37</v>
      </c>
      <c r="F4412" t="s">
        <v>26</v>
      </c>
      <c r="G4412" t="s">
        <v>37</v>
      </c>
      <c r="H4412" s="1">
        <v>178.36</v>
      </c>
      <c r="I4412" t="s">
        <v>43</v>
      </c>
      <c r="J4412">
        <v>1</v>
      </c>
      <c r="K4412">
        <v>2</v>
      </c>
    </row>
    <row r="4413" spans="1:11" x14ac:dyDescent="0.35">
      <c r="A4413" t="s">
        <v>4450</v>
      </c>
      <c r="B4413">
        <v>70</v>
      </c>
      <c r="C4413" t="s">
        <v>12</v>
      </c>
      <c r="D4413" t="s">
        <v>30</v>
      </c>
      <c r="E4413">
        <v>3</v>
      </c>
      <c r="F4413" t="s">
        <v>14</v>
      </c>
      <c r="G4413" t="s">
        <v>34</v>
      </c>
      <c r="H4413" s="1">
        <v>0</v>
      </c>
      <c r="I4413" t="s">
        <v>16</v>
      </c>
      <c r="J4413">
        <v>1</v>
      </c>
      <c r="K4413">
        <v>7</v>
      </c>
    </row>
    <row r="4414" spans="1:11" x14ac:dyDescent="0.35">
      <c r="A4414" t="s">
        <v>4451</v>
      </c>
      <c r="B4414">
        <v>48</v>
      </c>
      <c r="C4414" t="s">
        <v>18</v>
      </c>
      <c r="D4414" t="s">
        <v>19</v>
      </c>
      <c r="E4414">
        <v>11</v>
      </c>
      <c r="F4414" t="s">
        <v>33</v>
      </c>
      <c r="G4414" t="s">
        <v>27</v>
      </c>
      <c r="H4414" s="1">
        <v>173.82</v>
      </c>
      <c r="I4414" t="s">
        <v>24</v>
      </c>
      <c r="J4414">
        <v>1</v>
      </c>
      <c r="K4414">
        <v>7</v>
      </c>
    </row>
    <row r="4415" spans="1:11" x14ac:dyDescent="0.35">
      <c r="A4415" t="s">
        <v>4452</v>
      </c>
      <c r="B4415">
        <v>26</v>
      </c>
      <c r="C4415" t="s">
        <v>18</v>
      </c>
      <c r="D4415" t="s">
        <v>21</v>
      </c>
      <c r="E4415">
        <v>19</v>
      </c>
      <c r="F4415" t="s">
        <v>22</v>
      </c>
      <c r="G4415" t="s">
        <v>23</v>
      </c>
      <c r="H4415" s="1">
        <v>109.3</v>
      </c>
      <c r="I4415" t="s">
        <v>28</v>
      </c>
      <c r="J4415">
        <v>2</v>
      </c>
      <c r="K4415">
        <v>1</v>
      </c>
    </row>
    <row r="4416" spans="1:11" x14ac:dyDescent="0.35">
      <c r="A4416" t="s">
        <v>4453</v>
      </c>
      <c r="B4416">
        <v>29</v>
      </c>
      <c r="C4416" t="s">
        <v>12</v>
      </c>
      <c r="D4416" t="s">
        <v>57</v>
      </c>
      <c r="E4416">
        <v>43</v>
      </c>
      <c r="F4416" t="s">
        <v>33</v>
      </c>
      <c r="G4416" t="s">
        <v>23</v>
      </c>
      <c r="H4416" s="1">
        <v>385.93</v>
      </c>
      <c r="I4416" t="s">
        <v>24</v>
      </c>
      <c r="J4416">
        <v>2</v>
      </c>
      <c r="K4416">
        <v>3</v>
      </c>
    </row>
    <row r="4417" spans="1:11" x14ac:dyDescent="0.35">
      <c r="A4417" t="s">
        <v>4454</v>
      </c>
      <c r="B4417">
        <v>39</v>
      </c>
      <c r="C4417" t="s">
        <v>18</v>
      </c>
      <c r="D4417" t="s">
        <v>21</v>
      </c>
      <c r="E4417">
        <v>44</v>
      </c>
      <c r="F4417" t="s">
        <v>22</v>
      </c>
      <c r="G4417" t="s">
        <v>23</v>
      </c>
      <c r="H4417" s="1">
        <v>577.5</v>
      </c>
      <c r="I4417" t="s">
        <v>24</v>
      </c>
      <c r="J4417">
        <v>4</v>
      </c>
      <c r="K4417">
        <v>3</v>
      </c>
    </row>
    <row r="4418" spans="1:11" x14ac:dyDescent="0.35">
      <c r="A4418" t="s">
        <v>4455</v>
      </c>
      <c r="B4418">
        <v>82</v>
      </c>
      <c r="C4418" t="s">
        <v>12</v>
      </c>
      <c r="D4418" t="s">
        <v>19</v>
      </c>
      <c r="E4418">
        <v>21</v>
      </c>
      <c r="F4418" t="s">
        <v>31</v>
      </c>
      <c r="G4418" t="s">
        <v>34</v>
      </c>
      <c r="H4418" s="1">
        <v>117.73</v>
      </c>
      <c r="I4418" t="s">
        <v>24</v>
      </c>
      <c r="J4418">
        <v>1</v>
      </c>
      <c r="K4418">
        <v>4</v>
      </c>
    </row>
    <row r="4419" spans="1:11" x14ac:dyDescent="0.35">
      <c r="A4419" t="s">
        <v>4456</v>
      </c>
      <c r="B4419">
        <v>73</v>
      </c>
      <c r="C4419" t="s">
        <v>12</v>
      </c>
      <c r="D4419" t="s">
        <v>19</v>
      </c>
      <c r="E4419">
        <v>13</v>
      </c>
      <c r="F4419" t="s">
        <v>26</v>
      </c>
      <c r="G4419" t="s">
        <v>23</v>
      </c>
      <c r="H4419" s="1">
        <v>598.67999999999995</v>
      </c>
      <c r="I4419" t="s">
        <v>24</v>
      </c>
      <c r="J4419">
        <v>2</v>
      </c>
      <c r="K4419">
        <v>7</v>
      </c>
    </row>
    <row r="4420" spans="1:11" x14ac:dyDescent="0.35">
      <c r="A4420" t="s">
        <v>4457</v>
      </c>
      <c r="B4420">
        <v>23</v>
      </c>
      <c r="C4420" t="s">
        <v>12</v>
      </c>
      <c r="D4420" t="s">
        <v>30</v>
      </c>
      <c r="E4420">
        <v>9</v>
      </c>
      <c r="F4420" t="s">
        <v>33</v>
      </c>
      <c r="G4420" t="s">
        <v>23</v>
      </c>
      <c r="H4420" s="1">
        <v>491.15</v>
      </c>
      <c r="I4420" t="s">
        <v>28</v>
      </c>
      <c r="J4420">
        <v>0</v>
      </c>
      <c r="K4420">
        <v>5</v>
      </c>
    </row>
    <row r="4421" spans="1:11" x14ac:dyDescent="0.35">
      <c r="A4421" t="s">
        <v>4458</v>
      </c>
      <c r="B4421">
        <v>66</v>
      </c>
      <c r="C4421" t="s">
        <v>18</v>
      </c>
      <c r="D4421" t="s">
        <v>21</v>
      </c>
      <c r="E4421">
        <v>17</v>
      </c>
      <c r="F4421" t="s">
        <v>33</v>
      </c>
      <c r="G4421" t="s">
        <v>37</v>
      </c>
      <c r="H4421" s="1">
        <v>92.37</v>
      </c>
      <c r="I4421" t="s">
        <v>24</v>
      </c>
      <c r="J4421">
        <v>1</v>
      </c>
      <c r="K4421">
        <v>7</v>
      </c>
    </row>
    <row r="4422" spans="1:11" x14ac:dyDescent="0.35">
      <c r="A4422" t="s">
        <v>4459</v>
      </c>
      <c r="B4422">
        <v>43</v>
      </c>
      <c r="C4422" t="s">
        <v>18</v>
      </c>
      <c r="D4422" t="s">
        <v>30</v>
      </c>
      <c r="E4422">
        <v>13</v>
      </c>
      <c r="F4422" t="s">
        <v>31</v>
      </c>
      <c r="G4422" t="s">
        <v>15</v>
      </c>
      <c r="H4422" s="1">
        <v>224.68</v>
      </c>
      <c r="I4422" t="s">
        <v>24</v>
      </c>
      <c r="J4422">
        <v>3</v>
      </c>
      <c r="K4422">
        <v>6</v>
      </c>
    </row>
    <row r="4423" spans="1:11" x14ac:dyDescent="0.35">
      <c r="A4423" t="s">
        <v>4460</v>
      </c>
      <c r="B4423">
        <v>27</v>
      </c>
      <c r="C4423" t="s">
        <v>12</v>
      </c>
      <c r="D4423" t="s">
        <v>21</v>
      </c>
      <c r="E4423">
        <v>37</v>
      </c>
      <c r="F4423" t="s">
        <v>31</v>
      </c>
      <c r="G4423" t="s">
        <v>27</v>
      </c>
      <c r="H4423" s="1">
        <v>116.42</v>
      </c>
      <c r="I4423" t="s">
        <v>24</v>
      </c>
      <c r="J4423">
        <v>2</v>
      </c>
      <c r="K4423">
        <v>3</v>
      </c>
    </row>
    <row r="4424" spans="1:11" x14ac:dyDescent="0.35">
      <c r="A4424" t="s">
        <v>4461</v>
      </c>
      <c r="B4424">
        <v>61</v>
      </c>
      <c r="C4424" t="s">
        <v>12</v>
      </c>
      <c r="D4424" t="s">
        <v>200</v>
      </c>
      <c r="E4424">
        <v>7</v>
      </c>
      <c r="F4424" t="s">
        <v>33</v>
      </c>
      <c r="G4424" t="s">
        <v>15</v>
      </c>
      <c r="H4424" s="1">
        <v>443.68</v>
      </c>
      <c r="I4424" t="s">
        <v>28</v>
      </c>
      <c r="J4424">
        <v>0</v>
      </c>
      <c r="K4424">
        <v>8</v>
      </c>
    </row>
    <row r="4425" spans="1:11" x14ac:dyDescent="0.35">
      <c r="A4425" t="s">
        <v>4462</v>
      </c>
      <c r="B4425">
        <v>62</v>
      </c>
      <c r="C4425" t="s">
        <v>18</v>
      </c>
      <c r="D4425" t="s">
        <v>21</v>
      </c>
      <c r="E4425">
        <v>35</v>
      </c>
      <c r="F4425" t="s">
        <v>14</v>
      </c>
      <c r="G4425" t="s">
        <v>15</v>
      </c>
      <c r="H4425" s="1">
        <v>0</v>
      </c>
      <c r="I4425" t="s">
        <v>16</v>
      </c>
      <c r="J4425">
        <v>1</v>
      </c>
      <c r="K4425">
        <v>4</v>
      </c>
    </row>
    <row r="4426" spans="1:11" x14ac:dyDescent="0.35">
      <c r="A4426" t="s">
        <v>4463</v>
      </c>
      <c r="B4426">
        <v>62</v>
      </c>
      <c r="C4426" t="s">
        <v>12</v>
      </c>
      <c r="D4426" t="s">
        <v>120</v>
      </c>
      <c r="E4426">
        <v>28</v>
      </c>
      <c r="F4426" t="s">
        <v>22</v>
      </c>
      <c r="G4426" t="s">
        <v>15</v>
      </c>
      <c r="H4426" s="1">
        <v>246.46</v>
      </c>
      <c r="I4426" t="s">
        <v>28</v>
      </c>
      <c r="J4426">
        <v>1</v>
      </c>
      <c r="K4426">
        <v>2</v>
      </c>
    </row>
    <row r="4427" spans="1:11" x14ac:dyDescent="0.35">
      <c r="A4427" t="s">
        <v>4464</v>
      </c>
      <c r="B4427">
        <v>37</v>
      </c>
      <c r="C4427" t="s">
        <v>12</v>
      </c>
      <c r="D4427" t="s">
        <v>19</v>
      </c>
      <c r="E4427">
        <v>6</v>
      </c>
      <c r="F4427" t="s">
        <v>26</v>
      </c>
      <c r="G4427" t="s">
        <v>15</v>
      </c>
      <c r="H4427" s="1">
        <v>186.87</v>
      </c>
      <c r="I4427" t="s">
        <v>24</v>
      </c>
      <c r="J4427">
        <v>1</v>
      </c>
      <c r="K4427">
        <v>8</v>
      </c>
    </row>
    <row r="4428" spans="1:11" x14ac:dyDescent="0.35">
      <c r="A4428" t="s">
        <v>4465</v>
      </c>
      <c r="B4428">
        <v>70</v>
      </c>
      <c r="C4428" t="s">
        <v>18</v>
      </c>
      <c r="D4428" t="s">
        <v>30</v>
      </c>
      <c r="E4428">
        <v>11</v>
      </c>
      <c r="F4428" t="s">
        <v>31</v>
      </c>
      <c r="G4428" t="s">
        <v>23</v>
      </c>
      <c r="H4428" s="1">
        <v>81.31</v>
      </c>
      <c r="I4428" t="s">
        <v>24</v>
      </c>
      <c r="J4428">
        <v>1</v>
      </c>
      <c r="K4428">
        <v>7</v>
      </c>
    </row>
    <row r="4429" spans="1:11" x14ac:dyDescent="0.35">
      <c r="A4429" t="s">
        <v>4466</v>
      </c>
      <c r="B4429">
        <v>26</v>
      </c>
      <c r="C4429" t="s">
        <v>18</v>
      </c>
      <c r="D4429" t="s">
        <v>19</v>
      </c>
      <c r="E4429">
        <v>7</v>
      </c>
      <c r="F4429" t="s">
        <v>33</v>
      </c>
      <c r="G4429" t="s">
        <v>23</v>
      </c>
      <c r="H4429" s="1">
        <v>103</v>
      </c>
      <c r="I4429" t="s">
        <v>24</v>
      </c>
      <c r="J4429">
        <v>0</v>
      </c>
      <c r="K4429">
        <v>8</v>
      </c>
    </row>
    <row r="4430" spans="1:11" x14ac:dyDescent="0.35">
      <c r="A4430" t="s">
        <v>4467</v>
      </c>
      <c r="B4430">
        <v>57</v>
      </c>
      <c r="C4430" t="s">
        <v>18</v>
      </c>
      <c r="D4430" t="s">
        <v>21</v>
      </c>
      <c r="E4430">
        <v>39</v>
      </c>
      <c r="F4430" t="s">
        <v>22</v>
      </c>
      <c r="G4430" t="s">
        <v>34</v>
      </c>
      <c r="H4430" s="1">
        <v>135.15</v>
      </c>
      <c r="I4430" t="s">
        <v>28</v>
      </c>
      <c r="J4430">
        <v>1</v>
      </c>
      <c r="K4430">
        <v>4</v>
      </c>
    </row>
    <row r="4431" spans="1:11" x14ac:dyDescent="0.35">
      <c r="A4431" t="s">
        <v>4468</v>
      </c>
      <c r="B4431">
        <v>23</v>
      </c>
      <c r="C4431" t="s">
        <v>18</v>
      </c>
      <c r="D4431" t="s">
        <v>13</v>
      </c>
      <c r="E4431">
        <v>13</v>
      </c>
      <c r="F4431" t="s">
        <v>22</v>
      </c>
      <c r="G4431" t="s">
        <v>15</v>
      </c>
      <c r="H4431" s="1">
        <v>182.16</v>
      </c>
      <c r="I4431" t="s">
        <v>24</v>
      </c>
      <c r="J4431">
        <v>2</v>
      </c>
      <c r="K4431">
        <v>5</v>
      </c>
    </row>
    <row r="4432" spans="1:11" x14ac:dyDescent="0.35">
      <c r="A4432" t="s">
        <v>4469</v>
      </c>
      <c r="B4432">
        <v>27</v>
      </c>
      <c r="C4432" t="s">
        <v>18</v>
      </c>
      <c r="D4432" t="s">
        <v>19</v>
      </c>
      <c r="E4432">
        <v>22</v>
      </c>
      <c r="F4432" t="s">
        <v>33</v>
      </c>
      <c r="G4432" t="s">
        <v>23</v>
      </c>
      <c r="H4432" s="1">
        <v>374.95</v>
      </c>
      <c r="I4432" t="s">
        <v>28</v>
      </c>
      <c r="J4432">
        <v>3</v>
      </c>
      <c r="K4432">
        <v>4</v>
      </c>
    </row>
    <row r="4433" spans="1:11" x14ac:dyDescent="0.35">
      <c r="A4433" t="s">
        <v>4470</v>
      </c>
      <c r="B4433">
        <v>32</v>
      </c>
      <c r="C4433" t="s">
        <v>18</v>
      </c>
      <c r="D4433" t="s">
        <v>21</v>
      </c>
      <c r="E4433">
        <v>22</v>
      </c>
      <c r="F4433" t="s">
        <v>22</v>
      </c>
      <c r="G4433" t="s">
        <v>23</v>
      </c>
      <c r="H4433" s="1">
        <v>336.87</v>
      </c>
      <c r="I4433" t="s">
        <v>24</v>
      </c>
      <c r="J4433">
        <v>0</v>
      </c>
      <c r="K4433">
        <v>2</v>
      </c>
    </row>
    <row r="4434" spans="1:11" x14ac:dyDescent="0.35">
      <c r="A4434" t="s">
        <v>4471</v>
      </c>
      <c r="B4434">
        <v>28</v>
      </c>
      <c r="C4434" t="s">
        <v>18</v>
      </c>
      <c r="D4434" t="s">
        <v>19</v>
      </c>
      <c r="E4434">
        <v>21</v>
      </c>
      <c r="F4434" t="s">
        <v>33</v>
      </c>
      <c r="G4434" t="s">
        <v>27</v>
      </c>
      <c r="H4434" s="1">
        <v>48.58</v>
      </c>
      <c r="I4434" t="s">
        <v>24</v>
      </c>
      <c r="J4434">
        <v>2</v>
      </c>
      <c r="K4434">
        <v>1</v>
      </c>
    </row>
    <row r="4435" spans="1:11" x14ac:dyDescent="0.35">
      <c r="A4435" t="s">
        <v>4472</v>
      </c>
      <c r="B4435">
        <v>59</v>
      </c>
      <c r="C4435" t="s">
        <v>18</v>
      </c>
      <c r="D4435" t="s">
        <v>21</v>
      </c>
      <c r="E4435">
        <v>33</v>
      </c>
      <c r="F4435" t="s">
        <v>22</v>
      </c>
      <c r="G4435" t="s">
        <v>15</v>
      </c>
      <c r="H4435" s="1">
        <v>335.66</v>
      </c>
      <c r="I4435" t="s">
        <v>28</v>
      </c>
      <c r="J4435">
        <v>1</v>
      </c>
      <c r="K4435">
        <v>5</v>
      </c>
    </row>
    <row r="4436" spans="1:11" x14ac:dyDescent="0.35">
      <c r="A4436" t="s">
        <v>4473</v>
      </c>
      <c r="B4436">
        <v>60</v>
      </c>
      <c r="C4436" t="s">
        <v>12</v>
      </c>
      <c r="D4436" t="s">
        <v>120</v>
      </c>
      <c r="E4436">
        <v>19</v>
      </c>
      <c r="F4436" t="s">
        <v>33</v>
      </c>
      <c r="G4436" t="s">
        <v>23</v>
      </c>
      <c r="H4436" s="1">
        <v>94.89</v>
      </c>
      <c r="I4436" t="s">
        <v>24</v>
      </c>
      <c r="J4436">
        <v>2</v>
      </c>
      <c r="K4436">
        <v>3</v>
      </c>
    </row>
    <row r="4437" spans="1:11" x14ac:dyDescent="0.35">
      <c r="A4437" t="s">
        <v>4474</v>
      </c>
      <c r="B4437">
        <v>70</v>
      </c>
      <c r="C4437" t="s">
        <v>18</v>
      </c>
      <c r="D4437" t="s">
        <v>21</v>
      </c>
      <c r="E4437">
        <v>34</v>
      </c>
      <c r="F4437" t="s">
        <v>26</v>
      </c>
      <c r="G4437" t="s">
        <v>34</v>
      </c>
      <c r="H4437" s="1">
        <v>179.77</v>
      </c>
      <c r="I4437" t="s">
        <v>24</v>
      </c>
      <c r="J4437">
        <v>1</v>
      </c>
      <c r="K4437">
        <v>2</v>
      </c>
    </row>
    <row r="4438" spans="1:11" x14ac:dyDescent="0.35">
      <c r="A4438" t="s">
        <v>4475</v>
      </c>
      <c r="B4438">
        <v>35</v>
      </c>
      <c r="C4438" t="s">
        <v>18</v>
      </c>
      <c r="D4438" t="s">
        <v>19</v>
      </c>
      <c r="E4438">
        <v>10</v>
      </c>
      <c r="F4438" t="s">
        <v>22</v>
      </c>
      <c r="G4438" t="s">
        <v>23</v>
      </c>
      <c r="H4438" s="1">
        <v>114.5</v>
      </c>
      <c r="I4438" t="s">
        <v>24</v>
      </c>
      <c r="J4438">
        <v>3</v>
      </c>
      <c r="K4438">
        <v>4</v>
      </c>
    </row>
    <row r="4439" spans="1:11" x14ac:dyDescent="0.35">
      <c r="A4439" t="s">
        <v>4476</v>
      </c>
      <c r="B4439">
        <v>41</v>
      </c>
      <c r="C4439" t="s">
        <v>18</v>
      </c>
      <c r="D4439" t="s">
        <v>21</v>
      </c>
      <c r="E4439">
        <v>16</v>
      </c>
      <c r="F4439" t="s">
        <v>31</v>
      </c>
      <c r="G4439" t="s">
        <v>37</v>
      </c>
      <c r="H4439" s="1">
        <v>175.33</v>
      </c>
      <c r="I4439" t="s">
        <v>24</v>
      </c>
      <c r="J4439">
        <v>1</v>
      </c>
      <c r="K4439">
        <v>6</v>
      </c>
    </row>
    <row r="4440" spans="1:11" x14ac:dyDescent="0.35">
      <c r="A4440" t="s">
        <v>4477</v>
      </c>
      <c r="B4440">
        <v>50</v>
      </c>
      <c r="C4440" t="s">
        <v>12</v>
      </c>
      <c r="D4440" t="s">
        <v>19</v>
      </c>
      <c r="E4440">
        <v>20</v>
      </c>
      <c r="F4440" t="s">
        <v>31</v>
      </c>
      <c r="G4440" t="s">
        <v>23</v>
      </c>
      <c r="H4440" s="1">
        <v>358.42</v>
      </c>
      <c r="I4440" t="s">
        <v>24</v>
      </c>
      <c r="J4440">
        <v>2</v>
      </c>
      <c r="K4440">
        <v>4</v>
      </c>
    </row>
    <row r="4441" spans="1:11" x14ac:dyDescent="0.35">
      <c r="A4441" t="s">
        <v>4478</v>
      </c>
      <c r="B4441">
        <v>19</v>
      </c>
      <c r="C4441" t="s">
        <v>12</v>
      </c>
      <c r="D4441" t="s">
        <v>30</v>
      </c>
      <c r="E4441">
        <v>10</v>
      </c>
      <c r="F4441" t="s">
        <v>26</v>
      </c>
      <c r="G4441" t="s">
        <v>34</v>
      </c>
      <c r="H4441" s="1">
        <v>173.03</v>
      </c>
      <c r="I4441" t="s">
        <v>24</v>
      </c>
      <c r="J4441">
        <v>1</v>
      </c>
      <c r="K4441">
        <v>7</v>
      </c>
    </row>
    <row r="4442" spans="1:11" x14ac:dyDescent="0.35">
      <c r="A4442" t="s">
        <v>4479</v>
      </c>
      <c r="B4442">
        <v>46</v>
      </c>
      <c r="C4442" t="s">
        <v>18</v>
      </c>
      <c r="D4442" t="s">
        <v>19</v>
      </c>
      <c r="E4442">
        <v>17</v>
      </c>
      <c r="F4442" t="s">
        <v>31</v>
      </c>
      <c r="G4442" t="s">
        <v>15</v>
      </c>
      <c r="H4442" s="1">
        <v>282.70999999999998</v>
      </c>
      <c r="I4442" t="s">
        <v>24</v>
      </c>
      <c r="J4442">
        <v>0</v>
      </c>
      <c r="K4442">
        <v>5</v>
      </c>
    </row>
    <row r="4443" spans="1:11" x14ac:dyDescent="0.35">
      <c r="A4443" t="s">
        <v>4480</v>
      </c>
      <c r="B4443">
        <v>29</v>
      </c>
      <c r="C4443" t="s">
        <v>18</v>
      </c>
      <c r="D4443" t="s">
        <v>13</v>
      </c>
      <c r="E4443">
        <v>16</v>
      </c>
      <c r="F4443" t="s">
        <v>31</v>
      </c>
      <c r="G4443" t="s">
        <v>27</v>
      </c>
      <c r="H4443" s="1">
        <v>36.15</v>
      </c>
      <c r="I4443" t="s">
        <v>24</v>
      </c>
      <c r="J4443">
        <v>0</v>
      </c>
      <c r="K4443">
        <v>6</v>
      </c>
    </row>
    <row r="4444" spans="1:11" x14ac:dyDescent="0.35">
      <c r="A4444" t="s">
        <v>4481</v>
      </c>
      <c r="B4444">
        <v>21</v>
      </c>
      <c r="C4444" t="s">
        <v>18</v>
      </c>
      <c r="D4444" t="s">
        <v>19</v>
      </c>
      <c r="E4444">
        <v>23</v>
      </c>
      <c r="F4444" t="s">
        <v>22</v>
      </c>
      <c r="G4444" t="s">
        <v>34</v>
      </c>
      <c r="H4444" s="1">
        <v>182.04</v>
      </c>
      <c r="I4444" t="s">
        <v>24</v>
      </c>
      <c r="J4444">
        <v>2</v>
      </c>
      <c r="K4444">
        <v>2</v>
      </c>
    </row>
    <row r="4445" spans="1:11" x14ac:dyDescent="0.35">
      <c r="A4445" t="s">
        <v>4482</v>
      </c>
      <c r="B4445">
        <v>48</v>
      </c>
      <c r="C4445" t="s">
        <v>12</v>
      </c>
      <c r="D4445" t="s">
        <v>19</v>
      </c>
      <c r="E4445">
        <v>20</v>
      </c>
      <c r="F4445" t="s">
        <v>26</v>
      </c>
      <c r="G4445" t="s">
        <v>27</v>
      </c>
      <c r="H4445" s="1">
        <v>50.44</v>
      </c>
      <c r="I4445" t="s">
        <v>24</v>
      </c>
      <c r="J4445">
        <v>1</v>
      </c>
      <c r="K4445">
        <v>5</v>
      </c>
    </row>
    <row r="4446" spans="1:11" x14ac:dyDescent="0.35">
      <c r="A4446" t="s">
        <v>4483</v>
      </c>
      <c r="B4446">
        <v>21</v>
      </c>
      <c r="C4446" t="s">
        <v>18</v>
      </c>
      <c r="D4446" t="s">
        <v>30</v>
      </c>
      <c r="E4446">
        <v>2</v>
      </c>
      <c r="F4446" t="s">
        <v>31</v>
      </c>
      <c r="G4446" t="s">
        <v>23</v>
      </c>
      <c r="H4446" s="1">
        <v>552.14</v>
      </c>
      <c r="I4446" t="s">
        <v>24</v>
      </c>
      <c r="J4446">
        <v>0</v>
      </c>
      <c r="K4446">
        <v>7</v>
      </c>
    </row>
    <row r="4447" spans="1:11" x14ac:dyDescent="0.35">
      <c r="A4447" t="s">
        <v>4484</v>
      </c>
      <c r="B4447">
        <v>55</v>
      </c>
      <c r="C4447" t="s">
        <v>12</v>
      </c>
      <c r="D4447" t="s">
        <v>13</v>
      </c>
      <c r="E4447">
        <v>22</v>
      </c>
      <c r="F4447" t="s">
        <v>22</v>
      </c>
      <c r="G4447" t="s">
        <v>15</v>
      </c>
      <c r="H4447" s="1">
        <v>246.9</v>
      </c>
      <c r="I4447" t="s">
        <v>28</v>
      </c>
      <c r="J4447">
        <v>2</v>
      </c>
      <c r="K4447">
        <v>1</v>
      </c>
    </row>
    <row r="4448" spans="1:11" x14ac:dyDescent="0.35">
      <c r="A4448" t="s">
        <v>4485</v>
      </c>
      <c r="B4448">
        <v>70</v>
      </c>
      <c r="C4448" t="s">
        <v>18</v>
      </c>
      <c r="D4448" t="s">
        <v>30</v>
      </c>
      <c r="E4448">
        <v>8</v>
      </c>
      <c r="F4448" t="s">
        <v>14</v>
      </c>
      <c r="G4448" t="s">
        <v>37</v>
      </c>
      <c r="H4448" s="1">
        <v>0</v>
      </c>
      <c r="I4448" t="s">
        <v>16</v>
      </c>
      <c r="J4448">
        <v>2</v>
      </c>
      <c r="K4448">
        <v>7</v>
      </c>
    </row>
    <row r="4449" spans="1:11" x14ac:dyDescent="0.35">
      <c r="A4449" t="s">
        <v>4486</v>
      </c>
      <c r="B4449">
        <v>38</v>
      </c>
      <c r="C4449" t="s">
        <v>12</v>
      </c>
      <c r="D4449" t="s">
        <v>19</v>
      </c>
      <c r="E4449">
        <v>16</v>
      </c>
      <c r="F4449" t="s">
        <v>14</v>
      </c>
      <c r="G4449" t="s">
        <v>15</v>
      </c>
      <c r="H4449" s="1">
        <v>0</v>
      </c>
      <c r="I4449" t="s">
        <v>16</v>
      </c>
      <c r="J4449">
        <v>2</v>
      </c>
      <c r="K4449">
        <v>7</v>
      </c>
    </row>
    <row r="4450" spans="1:11" x14ac:dyDescent="0.35">
      <c r="A4450" t="s">
        <v>4487</v>
      </c>
      <c r="B4450">
        <v>63</v>
      </c>
      <c r="C4450" t="s">
        <v>18</v>
      </c>
      <c r="D4450" t="s">
        <v>41</v>
      </c>
      <c r="E4450">
        <v>12</v>
      </c>
      <c r="F4450" t="s">
        <v>31</v>
      </c>
      <c r="G4450" t="s">
        <v>27</v>
      </c>
      <c r="H4450" s="1">
        <v>73.27</v>
      </c>
      <c r="I4450" t="s">
        <v>24</v>
      </c>
      <c r="J4450">
        <v>2</v>
      </c>
      <c r="K4450">
        <v>8</v>
      </c>
    </row>
    <row r="4451" spans="1:11" x14ac:dyDescent="0.35">
      <c r="A4451" t="s">
        <v>4488</v>
      </c>
      <c r="B4451">
        <v>73</v>
      </c>
      <c r="C4451" t="s">
        <v>18</v>
      </c>
      <c r="D4451" t="s">
        <v>19</v>
      </c>
      <c r="E4451">
        <v>16</v>
      </c>
      <c r="F4451" t="s">
        <v>26</v>
      </c>
      <c r="G4451" t="s">
        <v>15</v>
      </c>
      <c r="H4451" s="1">
        <v>435.84</v>
      </c>
      <c r="I4451" t="s">
        <v>24</v>
      </c>
      <c r="J4451">
        <v>1</v>
      </c>
      <c r="K4451">
        <v>7</v>
      </c>
    </row>
    <row r="4452" spans="1:11" x14ac:dyDescent="0.35">
      <c r="A4452" t="s">
        <v>4489</v>
      </c>
      <c r="B4452">
        <v>42</v>
      </c>
      <c r="C4452" t="s">
        <v>12</v>
      </c>
      <c r="D4452" t="s">
        <v>19</v>
      </c>
      <c r="E4452">
        <v>10</v>
      </c>
      <c r="F4452" t="s">
        <v>31</v>
      </c>
      <c r="G4452" t="s">
        <v>15</v>
      </c>
      <c r="H4452" s="1">
        <v>161.31</v>
      </c>
      <c r="I4452" t="s">
        <v>24</v>
      </c>
      <c r="J4452">
        <v>1</v>
      </c>
      <c r="K4452">
        <v>8</v>
      </c>
    </row>
    <row r="4453" spans="1:11" x14ac:dyDescent="0.35">
      <c r="A4453" t="s">
        <v>4490</v>
      </c>
      <c r="B4453">
        <v>31</v>
      </c>
      <c r="C4453" t="s">
        <v>18</v>
      </c>
      <c r="D4453" t="s">
        <v>19</v>
      </c>
      <c r="E4453">
        <v>23</v>
      </c>
      <c r="F4453" t="s">
        <v>33</v>
      </c>
      <c r="G4453" t="s">
        <v>15</v>
      </c>
      <c r="H4453" s="1">
        <v>443.57</v>
      </c>
      <c r="I4453" t="s">
        <v>24</v>
      </c>
      <c r="J4453">
        <v>3</v>
      </c>
      <c r="K4453">
        <v>5</v>
      </c>
    </row>
    <row r="4454" spans="1:11" x14ac:dyDescent="0.35">
      <c r="A4454" t="s">
        <v>4491</v>
      </c>
      <c r="B4454">
        <v>62</v>
      </c>
      <c r="C4454" t="s">
        <v>12</v>
      </c>
      <c r="D4454" t="s">
        <v>19</v>
      </c>
      <c r="E4454">
        <v>10</v>
      </c>
      <c r="F4454" t="s">
        <v>33</v>
      </c>
      <c r="G4454" t="s">
        <v>23</v>
      </c>
      <c r="H4454" s="1">
        <v>467.04</v>
      </c>
      <c r="I4454" t="s">
        <v>24</v>
      </c>
      <c r="J4454">
        <v>1</v>
      </c>
      <c r="K4454">
        <v>4</v>
      </c>
    </row>
    <row r="4455" spans="1:11" x14ac:dyDescent="0.35">
      <c r="A4455" t="s">
        <v>4492</v>
      </c>
      <c r="B4455">
        <v>79</v>
      </c>
      <c r="C4455" t="s">
        <v>12</v>
      </c>
      <c r="D4455" t="s">
        <v>21</v>
      </c>
      <c r="E4455">
        <v>44</v>
      </c>
      <c r="F4455" t="s">
        <v>31</v>
      </c>
      <c r="G4455" t="s">
        <v>15</v>
      </c>
      <c r="H4455" s="1">
        <v>228.92</v>
      </c>
      <c r="I4455" t="s">
        <v>24</v>
      </c>
      <c r="J4455">
        <v>0</v>
      </c>
      <c r="K4455">
        <v>3</v>
      </c>
    </row>
    <row r="4456" spans="1:11" x14ac:dyDescent="0.35">
      <c r="A4456" t="s">
        <v>4493</v>
      </c>
      <c r="B4456">
        <v>40</v>
      </c>
      <c r="C4456" t="s">
        <v>18</v>
      </c>
      <c r="D4456" t="s">
        <v>21</v>
      </c>
      <c r="E4456">
        <v>13</v>
      </c>
      <c r="F4456" t="s">
        <v>33</v>
      </c>
      <c r="G4456" t="s">
        <v>37</v>
      </c>
      <c r="H4456" s="1">
        <v>213.68</v>
      </c>
      <c r="I4456" t="s">
        <v>24</v>
      </c>
      <c r="J4456">
        <v>0</v>
      </c>
      <c r="K4456">
        <v>6</v>
      </c>
    </row>
    <row r="4457" spans="1:11" x14ac:dyDescent="0.35">
      <c r="A4457" t="s">
        <v>4494</v>
      </c>
      <c r="B4457">
        <v>69</v>
      </c>
      <c r="C4457" t="s">
        <v>12</v>
      </c>
      <c r="D4457" t="s">
        <v>30</v>
      </c>
      <c r="E4457">
        <v>9</v>
      </c>
      <c r="F4457" t="s">
        <v>31</v>
      </c>
      <c r="G4457" t="s">
        <v>15</v>
      </c>
      <c r="H4457" s="1">
        <v>401.7</v>
      </c>
      <c r="I4457" t="s">
        <v>24</v>
      </c>
      <c r="J4457">
        <v>0</v>
      </c>
      <c r="K4457">
        <v>7</v>
      </c>
    </row>
    <row r="4458" spans="1:11" x14ac:dyDescent="0.35">
      <c r="A4458" t="s">
        <v>4495</v>
      </c>
      <c r="B4458">
        <v>68</v>
      </c>
      <c r="C4458" t="s">
        <v>18</v>
      </c>
      <c r="D4458" t="s">
        <v>19</v>
      </c>
      <c r="E4458">
        <v>15</v>
      </c>
      <c r="F4458" t="s">
        <v>31</v>
      </c>
      <c r="G4458" t="s">
        <v>37</v>
      </c>
      <c r="H4458" s="1">
        <v>192.06</v>
      </c>
      <c r="I4458" t="s">
        <v>24</v>
      </c>
      <c r="J4458">
        <v>1</v>
      </c>
      <c r="K4458">
        <v>8</v>
      </c>
    </row>
    <row r="4459" spans="1:11" x14ac:dyDescent="0.35">
      <c r="A4459" t="s">
        <v>4496</v>
      </c>
      <c r="B4459">
        <v>65</v>
      </c>
      <c r="C4459" t="s">
        <v>12</v>
      </c>
      <c r="D4459" t="s">
        <v>19</v>
      </c>
      <c r="E4459">
        <v>10</v>
      </c>
      <c r="F4459" t="s">
        <v>22</v>
      </c>
      <c r="G4459" t="s">
        <v>15</v>
      </c>
      <c r="H4459" s="1">
        <v>312.60000000000002</v>
      </c>
      <c r="I4459" t="s">
        <v>28</v>
      </c>
      <c r="J4459">
        <v>1</v>
      </c>
      <c r="K4459">
        <v>4</v>
      </c>
    </row>
    <row r="4460" spans="1:11" x14ac:dyDescent="0.35">
      <c r="A4460" t="s">
        <v>4497</v>
      </c>
      <c r="B4460">
        <v>48</v>
      </c>
      <c r="C4460" t="s">
        <v>18</v>
      </c>
      <c r="D4460" t="s">
        <v>21</v>
      </c>
      <c r="E4460">
        <v>19</v>
      </c>
      <c r="F4460" t="s">
        <v>31</v>
      </c>
      <c r="G4460" t="s">
        <v>15</v>
      </c>
      <c r="H4460" s="1">
        <v>387.66</v>
      </c>
      <c r="I4460" t="s">
        <v>24</v>
      </c>
      <c r="J4460">
        <v>4</v>
      </c>
      <c r="K4460">
        <v>5</v>
      </c>
    </row>
    <row r="4461" spans="1:11" x14ac:dyDescent="0.35">
      <c r="A4461" t="s">
        <v>4498</v>
      </c>
      <c r="B4461">
        <v>42</v>
      </c>
      <c r="C4461" t="s">
        <v>18</v>
      </c>
      <c r="D4461" t="s">
        <v>30</v>
      </c>
      <c r="E4461">
        <v>2</v>
      </c>
      <c r="F4461" t="s">
        <v>26</v>
      </c>
      <c r="G4461" t="s">
        <v>27</v>
      </c>
      <c r="H4461" s="1">
        <v>105.06</v>
      </c>
      <c r="I4461" t="s">
        <v>24</v>
      </c>
      <c r="J4461">
        <v>0</v>
      </c>
      <c r="K4461">
        <v>7</v>
      </c>
    </row>
    <row r="4462" spans="1:11" x14ac:dyDescent="0.35">
      <c r="A4462" t="s">
        <v>4499</v>
      </c>
      <c r="B4462">
        <v>47</v>
      </c>
      <c r="C4462" t="s">
        <v>12</v>
      </c>
      <c r="D4462" t="s">
        <v>13</v>
      </c>
      <c r="E4462">
        <v>10</v>
      </c>
      <c r="F4462" t="s">
        <v>14</v>
      </c>
      <c r="G4462" t="s">
        <v>37</v>
      </c>
      <c r="H4462" s="1">
        <v>0</v>
      </c>
      <c r="I4462" t="s">
        <v>16</v>
      </c>
      <c r="J4462">
        <v>3</v>
      </c>
      <c r="K4462">
        <v>8</v>
      </c>
    </row>
    <row r="4463" spans="1:11" x14ac:dyDescent="0.35">
      <c r="A4463" t="s">
        <v>4500</v>
      </c>
      <c r="B4463">
        <v>67</v>
      </c>
      <c r="C4463" t="s">
        <v>12</v>
      </c>
      <c r="D4463" t="s">
        <v>19</v>
      </c>
      <c r="E4463">
        <v>16</v>
      </c>
      <c r="F4463" t="s">
        <v>22</v>
      </c>
      <c r="G4463" t="s">
        <v>37</v>
      </c>
      <c r="H4463" s="1">
        <v>151.78</v>
      </c>
      <c r="I4463" t="s">
        <v>24</v>
      </c>
      <c r="J4463">
        <v>1</v>
      </c>
      <c r="K4463">
        <v>8</v>
      </c>
    </row>
    <row r="4464" spans="1:11" x14ac:dyDescent="0.35">
      <c r="A4464" t="s">
        <v>4501</v>
      </c>
      <c r="B4464">
        <v>40</v>
      </c>
      <c r="C4464" t="s">
        <v>18</v>
      </c>
      <c r="D4464" t="s">
        <v>57</v>
      </c>
      <c r="E4464">
        <v>30</v>
      </c>
      <c r="F4464" t="s">
        <v>33</v>
      </c>
      <c r="G4464" t="s">
        <v>37</v>
      </c>
      <c r="H4464" s="1">
        <v>148.22999999999999</v>
      </c>
      <c r="I4464" t="s">
        <v>24</v>
      </c>
      <c r="J4464">
        <v>2</v>
      </c>
      <c r="K4464">
        <v>1</v>
      </c>
    </row>
    <row r="4465" spans="1:11" x14ac:dyDescent="0.35">
      <c r="A4465" t="s">
        <v>4502</v>
      </c>
      <c r="B4465">
        <v>27</v>
      </c>
      <c r="C4465" t="s">
        <v>12</v>
      </c>
      <c r="D4465" t="s">
        <v>47</v>
      </c>
      <c r="E4465">
        <v>5</v>
      </c>
      <c r="F4465" t="s">
        <v>14</v>
      </c>
      <c r="G4465" t="s">
        <v>27</v>
      </c>
      <c r="H4465" s="1">
        <v>0</v>
      </c>
      <c r="I4465" t="s">
        <v>16</v>
      </c>
      <c r="J4465">
        <v>0</v>
      </c>
      <c r="K4465">
        <v>8</v>
      </c>
    </row>
    <row r="4466" spans="1:11" x14ac:dyDescent="0.35">
      <c r="A4466" t="s">
        <v>4503</v>
      </c>
      <c r="B4466">
        <v>81</v>
      </c>
      <c r="C4466" t="s">
        <v>18</v>
      </c>
      <c r="D4466" t="s">
        <v>13</v>
      </c>
      <c r="E4466">
        <v>24</v>
      </c>
      <c r="F4466" t="s">
        <v>33</v>
      </c>
      <c r="G4466" t="s">
        <v>23</v>
      </c>
      <c r="H4466" s="1">
        <v>494.64</v>
      </c>
      <c r="I4466" t="s">
        <v>24</v>
      </c>
      <c r="J4466">
        <v>2</v>
      </c>
      <c r="K4466">
        <v>2</v>
      </c>
    </row>
    <row r="4467" spans="1:11" x14ac:dyDescent="0.35">
      <c r="A4467" t="s">
        <v>4504</v>
      </c>
      <c r="B4467">
        <v>70</v>
      </c>
      <c r="C4467" t="s">
        <v>18</v>
      </c>
      <c r="D4467" t="s">
        <v>19</v>
      </c>
      <c r="E4467">
        <v>21</v>
      </c>
      <c r="F4467" t="s">
        <v>22</v>
      </c>
      <c r="G4467" t="s">
        <v>15</v>
      </c>
      <c r="H4467" s="1">
        <v>203.37</v>
      </c>
      <c r="I4467" t="s">
        <v>24</v>
      </c>
      <c r="J4467">
        <v>4</v>
      </c>
      <c r="K4467">
        <v>3</v>
      </c>
    </row>
    <row r="4468" spans="1:11" x14ac:dyDescent="0.35">
      <c r="A4468" t="s">
        <v>4505</v>
      </c>
      <c r="B4468">
        <v>52</v>
      </c>
      <c r="C4468" t="s">
        <v>12</v>
      </c>
      <c r="D4468" t="s">
        <v>19</v>
      </c>
      <c r="E4468">
        <v>22</v>
      </c>
      <c r="F4468" t="s">
        <v>26</v>
      </c>
      <c r="G4468" t="s">
        <v>37</v>
      </c>
      <c r="H4468" s="1">
        <v>100.88</v>
      </c>
      <c r="I4468" t="s">
        <v>24</v>
      </c>
      <c r="J4468">
        <v>1</v>
      </c>
      <c r="K4468">
        <v>5</v>
      </c>
    </row>
    <row r="4469" spans="1:11" x14ac:dyDescent="0.35">
      <c r="A4469" t="s">
        <v>4506</v>
      </c>
      <c r="B4469">
        <v>69</v>
      </c>
      <c r="C4469" t="s">
        <v>12</v>
      </c>
      <c r="D4469" t="s">
        <v>13</v>
      </c>
      <c r="E4469">
        <v>22</v>
      </c>
      <c r="F4469" t="s">
        <v>22</v>
      </c>
      <c r="G4469" t="s">
        <v>34</v>
      </c>
      <c r="H4469" s="1">
        <v>132.32</v>
      </c>
      <c r="I4469" t="s">
        <v>28</v>
      </c>
      <c r="J4469">
        <v>4</v>
      </c>
      <c r="K4469">
        <v>2</v>
      </c>
    </row>
    <row r="4470" spans="1:11" x14ac:dyDescent="0.35">
      <c r="A4470" t="s">
        <v>4507</v>
      </c>
      <c r="B4470">
        <v>73</v>
      </c>
      <c r="C4470" t="s">
        <v>18</v>
      </c>
      <c r="D4470" t="s">
        <v>21</v>
      </c>
      <c r="E4470">
        <v>30</v>
      </c>
      <c r="F4470" t="s">
        <v>26</v>
      </c>
      <c r="G4470" t="s">
        <v>27</v>
      </c>
      <c r="H4470" s="1">
        <v>151.54</v>
      </c>
      <c r="I4470" t="s">
        <v>24</v>
      </c>
      <c r="J4470">
        <v>0</v>
      </c>
      <c r="K4470">
        <v>5</v>
      </c>
    </row>
    <row r="4471" spans="1:11" x14ac:dyDescent="0.35">
      <c r="A4471" t="s">
        <v>4508</v>
      </c>
      <c r="B4471">
        <v>85</v>
      </c>
      <c r="C4471" t="s">
        <v>12</v>
      </c>
      <c r="D4471" t="s">
        <v>200</v>
      </c>
      <c r="E4471">
        <v>22</v>
      </c>
      <c r="F4471" t="s">
        <v>33</v>
      </c>
      <c r="G4471" t="s">
        <v>15</v>
      </c>
      <c r="H4471" s="1">
        <v>336.9</v>
      </c>
      <c r="I4471" t="s">
        <v>24</v>
      </c>
      <c r="J4471">
        <v>2</v>
      </c>
      <c r="K4471">
        <v>5</v>
      </c>
    </row>
    <row r="4472" spans="1:11" x14ac:dyDescent="0.35">
      <c r="A4472" t="s">
        <v>4509</v>
      </c>
      <c r="B4472">
        <v>36</v>
      </c>
      <c r="C4472" t="s">
        <v>18</v>
      </c>
      <c r="D4472" t="s">
        <v>120</v>
      </c>
      <c r="E4472">
        <v>37</v>
      </c>
      <c r="F4472" t="s">
        <v>22</v>
      </c>
      <c r="G4472" t="s">
        <v>27</v>
      </c>
      <c r="H4472" s="1">
        <v>74.12</v>
      </c>
      <c r="I4472" t="s">
        <v>24</v>
      </c>
      <c r="J4472">
        <v>3</v>
      </c>
      <c r="K4472">
        <v>1</v>
      </c>
    </row>
    <row r="4473" spans="1:11" x14ac:dyDescent="0.35">
      <c r="A4473" t="s">
        <v>4510</v>
      </c>
      <c r="B4473">
        <v>78</v>
      </c>
      <c r="C4473" t="s">
        <v>18</v>
      </c>
      <c r="D4473" t="s">
        <v>19</v>
      </c>
      <c r="E4473">
        <v>13</v>
      </c>
      <c r="F4473" t="s">
        <v>31</v>
      </c>
      <c r="G4473" t="s">
        <v>23</v>
      </c>
      <c r="H4473" s="1">
        <v>583.27</v>
      </c>
      <c r="I4473" t="s">
        <v>24</v>
      </c>
      <c r="J4473">
        <v>0</v>
      </c>
      <c r="K4473">
        <v>4</v>
      </c>
    </row>
    <row r="4474" spans="1:11" x14ac:dyDescent="0.35">
      <c r="A4474" t="s">
        <v>4511</v>
      </c>
      <c r="B4474">
        <v>78</v>
      </c>
      <c r="C4474" t="s">
        <v>18</v>
      </c>
      <c r="D4474" t="s">
        <v>30</v>
      </c>
      <c r="E4474">
        <v>4</v>
      </c>
      <c r="F4474" t="s">
        <v>31</v>
      </c>
      <c r="G4474" t="s">
        <v>34</v>
      </c>
      <c r="H4474" s="1">
        <v>195.85</v>
      </c>
      <c r="I4474" t="s">
        <v>24</v>
      </c>
      <c r="J4474">
        <v>1</v>
      </c>
      <c r="K4474">
        <v>10</v>
      </c>
    </row>
    <row r="4475" spans="1:11" x14ac:dyDescent="0.35">
      <c r="A4475" t="s">
        <v>4512</v>
      </c>
      <c r="B4475">
        <v>27</v>
      </c>
      <c r="C4475" t="s">
        <v>18</v>
      </c>
      <c r="D4475" t="s">
        <v>30</v>
      </c>
      <c r="E4475">
        <v>14</v>
      </c>
      <c r="F4475" t="s">
        <v>26</v>
      </c>
      <c r="G4475" t="s">
        <v>34</v>
      </c>
      <c r="H4475" s="1">
        <v>128.58000000000001</v>
      </c>
      <c r="I4475" t="s">
        <v>28</v>
      </c>
      <c r="J4475">
        <v>1</v>
      </c>
      <c r="K4475">
        <v>7</v>
      </c>
    </row>
    <row r="4476" spans="1:11" x14ac:dyDescent="0.35">
      <c r="A4476" t="s">
        <v>4513</v>
      </c>
      <c r="B4476">
        <v>66</v>
      </c>
      <c r="C4476" t="s">
        <v>18</v>
      </c>
      <c r="D4476" t="s">
        <v>30</v>
      </c>
      <c r="E4476">
        <v>13</v>
      </c>
      <c r="F4476" t="s">
        <v>31</v>
      </c>
      <c r="G4476" t="s">
        <v>23</v>
      </c>
      <c r="H4476" s="1">
        <v>284.93</v>
      </c>
      <c r="I4476" t="s">
        <v>24</v>
      </c>
      <c r="J4476">
        <v>1</v>
      </c>
      <c r="K4476">
        <v>4</v>
      </c>
    </row>
    <row r="4477" spans="1:11" x14ac:dyDescent="0.35">
      <c r="A4477" t="s">
        <v>4514</v>
      </c>
      <c r="B4477">
        <v>81</v>
      </c>
      <c r="C4477" t="s">
        <v>18</v>
      </c>
      <c r="D4477" t="s">
        <v>19</v>
      </c>
      <c r="E4477">
        <v>17</v>
      </c>
      <c r="F4477" t="s">
        <v>33</v>
      </c>
      <c r="G4477" t="s">
        <v>37</v>
      </c>
      <c r="H4477" s="1">
        <v>91.43</v>
      </c>
      <c r="I4477" t="s">
        <v>24</v>
      </c>
      <c r="J4477">
        <v>1</v>
      </c>
      <c r="K4477">
        <v>4</v>
      </c>
    </row>
    <row r="4478" spans="1:11" x14ac:dyDescent="0.35">
      <c r="A4478" t="s">
        <v>4515</v>
      </c>
      <c r="B4478">
        <v>63</v>
      </c>
      <c r="C4478" t="s">
        <v>18</v>
      </c>
      <c r="D4478" t="s">
        <v>19</v>
      </c>
      <c r="E4478">
        <v>8</v>
      </c>
      <c r="F4478" t="s">
        <v>22</v>
      </c>
      <c r="G4478" t="s">
        <v>23</v>
      </c>
      <c r="H4478" s="1">
        <v>353.93</v>
      </c>
      <c r="I4478" t="s">
        <v>24</v>
      </c>
      <c r="J4478">
        <v>0</v>
      </c>
      <c r="K4478">
        <v>7</v>
      </c>
    </row>
    <row r="4479" spans="1:11" x14ac:dyDescent="0.35">
      <c r="A4479" t="s">
        <v>4516</v>
      </c>
      <c r="B4479">
        <v>57</v>
      </c>
      <c r="C4479" t="s">
        <v>18</v>
      </c>
      <c r="D4479" t="s">
        <v>21</v>
      </c>
      <c r="E4479">
        <v>48</v>
      </c>
      <c r="F4479" t="s">
        <v>33</v>
      </c>
      <c r="G4479" t="s">
        <v>23</v>
      </c>
      <c r="H4479" s="1">
        <v>319.17</v>
      </c>
      <c r="I4479" t="s">
        <v>24</v>
      </c>
      <c r="J4479">
        <v>3</v>
      </c>
      <c r="K4479">
        <v>4</v>
      </c>
    </row>
    <row r="4480" spans="1:11" x14ac:dyDescent="0.35">
      <c r="A4480" t="s">
        <v>4517</v>
      </c>
      <c r="B4480">
        <v>19</v>
      </c>
      <c r="C4480" t="s">
        <v>18</v>
      </c>
      <c r="D4480" t="s">
        <v>21</v>
      </c>
      <c r="E4480">
        <v>31</v>
      </c>
      <c r="F4480" t="s">
        <v>22</v>
      </c>
      <c r="G4480" t="s">
        <v>23</v>
      </c>
      <c r="H4480" s="1">
        <v>185.91</v>
      </c>
      <c r="I4480" t="s">
        <v>28</v>
      </c>
      <c r="J4480">
        <v>2</v>
      </c>
      <c r="K4480">
        <v>1</v>
      </c>
    </row>
    <row r="4481" spans="1:11" x14ac:dyDescent="0.35">
      <c r="A4481" t="s">
        <v>4518</v>
      </c>
      <c r="B4481">
        <v>40</v>
      </c>
      <c r="C4481" t="s">
        <v>12</v>
      </c>
      <c r="D4481" t="s">
        <v>19</v>
      </c>
      <c r="E4481">
        <v>7</v>
      </c>
      <c r="F4481" t="s">
        <v>33</v>
      </c>
      <c r="G4481" t="s">
        <v>23</v>
      </c>
      <c r="H4481" s="1">
        <v>500.97</v>
      </c>
      <c r="I4481" t="s">
        <v>24</v>
      </c>
      <c r="J4481">
        <v>1</v>
      </c>
      <c r="K4481">
        <v>10</v>
      </c>
    </row>
    <row r="4482" spans="1:11" x14ac:dyDescent="0.35">
      <c r="A4482" t="s">
        <v>4519</v>
      </c>
      <c r="B4482">
        <v>85</v>
      </c>
      <c r="C4482" t="s">
        <v>12</v>
      </c>
      <c r="D4482" t="s">
        <v>19</v>
      </c>
      <c r="E4482">
        <v>17</v>
      </c>
      <c r="F4482" t="s">
        <v>26</v>
      </c>
      <c r="G4482" t="s">
        <v>27</v>
      </c>
      <c r="H4482" s="1">
        <v>168.46</v>
      </c>
      <c r="I4482" t="s">
        <v>24</v>
      </c>
      <c r="J4482">
        <v>1</v>
      </c>
      <c r="K4482">
        <v>6</v>
      </c>
    </row>
    <row r="4483" spans="1:11" x14ac:dyDescent="0.35">
      <c r="A4483" t="s">
        <v>4520</v>
      </c>
      <c r="B4483">
        <v>54</v>
      </c>
      <c r="C4483" t="s">
        <v>18</v>
      </c>
      <c r="D4483" t="s">
        <v>47</v>
      </c>
      <c r="E4483">
        <v>11</v>
      </c>
      <c r="F4483" t="s">
        <v>33</v>
      </c>
      <c r="G4483" t="s">
        <v>23</v>
      </c>
      <c r="H4483" s="1">
        <v>577.74</v>
      </c>
      <c r="I4483" t="s">
        <v>24</v>
      </c>
      <c r="J4483">
        <v>3</v>
      </c>
      <c r="K4483">
        <v>6</v>
      </c>
    </row>
    <row r="4484" spans="1:11" x14ac:dyDescent="0.35">
      <c r="A4484" t="s">
        <v>4521</v>
      </c>
      <c r="B4484">
        <v>35</v>
      </c>
      <c r="C4484" t="s">
        <v>12</v>
      </c>
      <c r="D4484" t="s">
        <v>19</v>
      </c>
      <c r="E4484">
        <v>18</v>
      </c>
      <c r="F4484" t="s">
        <v>31</v>
      </c>
      <c r="G4484" t="s">
        <v>34</v>
      </c>
      <c r="H4484" s="1">
        <v>111.5</v>
      </c>
      <c r="I4484" t="s">
        <v>24</v>
      </c>
      <c r="J4484">
        <v>0</v>
      </c>
      <c r="K4484">
        <v>4</v>
      </c>
    </row>
    <row r="4485" spans="1:11" x14ac:dyDescent="0.35">
      <c r="A4485" t="s">
        <v>4522</v>
      </c>
      <c r="B4485">
        <v>84</v>
      </c>
      <c r="C4485" t="s">
        <v>18</v>
      </c>
      <c r="D4485" t="s">
        <v>19</v>
      </c>
      <c r="E4485">
        <v>24</v>
      </c>
      <c r="F4485" t="s">
        <v>33</v>
      </c>
      <c r="G4485" t="s">
        <v>34</v>
      </c>
      <c r="H4485" s="1">
        <v>159.11000000000001</v>
      </c>
      <c r="I4485" t="s">
        <v>24</v>
      </c>
      <c r="J4485">
        <v>2</v>
      </c>
      <c r="K4485">
        <v>5</v>
      </c>
    </row>
    <row r="4486" spans="1:11" x14ac:dyDescent="0.35">
      <c r="A4486" t="s">
        <v>4523</v>
      </c>
      <c r="B4486">
        <v>35</v>
      </c>
      <c r="C4486" t="s">
        <v>18</v>
      </c>
      <c r="D4486" t="s">
        <v>30</v>
      </c>
      <c r="E4486">
        <v>13</v>
      </c>
      <c r="F4486" t="s">
        <v>31</v>
      </c>
      <c r="G4486" t="s">
        <v>27</v>
      </c>
      <c r="H4486" s="1">
        <v>136.47</v>
      </c>
      <c r="I4486" t="s">
        <v>28</v>
      </c>
      <c r="J4486">
        <v>0</v>
      </c>
      <c r="K4486">
        <v>7</v>
      </c>
    </row>
    <row r="4487" spans="1:11" x14ac:dyDescent="0.35">
      <c r="A4487" t="s">
        <v>4524</v>
      </c>
      <c r="B4487">
        <v>77</v>
      </c>
      <c r="C4487" t="s">
        <v>18</v>
      </c>
      <c r="D4487" t="s">
        <v>19</v>
      </c>
      <c r="E4487">
        <v>18</v>
      </c>
      <c r="F4487" t="s">
        <v>22</v>
      </c>
      <c r="G4487" t="s">
        <v>15</v>
      </c>
      <c r="H4487" s="1">
        <v>261.06</v>
      </c>
      <c r="I4487" t="s">
        <v>24</v>
      </c>
      <c r="J4487">
        <v>3</v>
      </c>
      <c r="K4487">
        <v>8</v>
      </c>
    </row>
    <row r="4488" spans="1:11" x14ac:dyDescent="0.35">
      <c r="A4488" t="s">
        <v>4525</v>
      </c>
      <c r="B4488">
        <v>31</v>
      </c>
      <c r="C4488" t="s">
        <v>12</v>
      </c>
      <c r="D4488" t="s">
        <v>47</v>
      </c>
      <c r="E4488">
        <v>14</v>
      </c>
      <c r="F4488" t="s">
        <v>22</v>
      </c>
      <c r="G4488" t="s">
        <v>15</v>
      </c>
      <c r="H4488" s="1">
        <v>324.94</v>
      </c>
      <c r="I4488" t="s">
        <v>24</v>
      </c>
      <c r="J4488">
        <v>3</v>
      </c>
      <c r="K4488">
        <v>4</v>
      </c>
    </row>
    <row r="4489" spans="1:11" x14ac:dyDescent="0.35">
      <c r="A4489" t="s">
        <v>4526</v>
      </c>
      <c r="B4489">
        <v>52</v>
      </c>
      <c r="C4489" t="s">
        <v>12</v>
      </c>
      <c r="D4489" t="s">
        <v>21</v>
      </c>
      <c r="E4489">
        <v>31</v>
      </c>
      <c r="F4489" t="s">
        <v>33</v>
      </c>
      <c r="G4489" t="s">
        <v>34</v>
      </c>
      <c r="H4489" s="1">
        <v>184.87</v>
      </c>
      <c r="I4489" t="s">
        <v>24</v>
      </c>
      <c r="J4489">
        <v>4</v>
      </c>
      <c r="K4489">
        <v>5</v>
      </c>
    </row>
    <row r="4490" spans="1:11" x14ac:dyDescent="0.35">
      <c r="A4490" t="s">
        <v>4527</v>
      </c>
      <c r="B4490">
        <v>85</v>
      </c>
      <c r="C4490" t="s">
        <v>18</v>
      </c>
      <c r="D4490" t="s">
        <v>21</v>
      </c>
      <c r="E4490">
        <v>47</v>
      </c>
      <c r="F4490" t="s">
        <v>22</v>
      </c>
      <c r="G4490" t="s">
        <v>37</v>
      </c>
      <c r="H4490" s="1">
        <v>197.98</v>
      </c>
      <c r="I4490" t="s">
        <v>24</v>
      </c>
      <c r="J4490">
        <v>4</v>
      </c>
      <c r="K4490">
        <v>5</v>
      </c>
    </row>
    <row r="4491" spans="1:11" x14ac:dyDescent="0.35">
      <c r="A4491" t="s">
        <v>4528</v>
      </c>
      <c r="B4491">
        <v>26</v>
      </c>
      <c r="C4491" t="s">
        <v>12</v>
      </c>
      <c r="D4491" t="s">
        <v>41</v>
      </c>
      <c r="E4491">
        <v>13</v>
      </c>
      <c r="F4491" t="s">
        <v>33</v>
      </c>
      <c r="G4491" t="s">
        <v>37</v>
      </c>
      <c r="H4491" s="1">
        <v>208.31</v>
      </c>
      <c r="I4491" t="s">
        <v>24</v>
      </c>
      <c r="J4491">
        <v>3</v>
      </c>
      <c r="K4491">
        <v>4</v>
      </c>
    </row>
    <row r="4492" spans="1:11" x14ac:dyDescent="0.35">
      <c r="A4492" t="s">
        <v>4529</v>
      </c>
      <c r="B4492">
        <v>21</v>
      </c>
      <c r="C4492" t="s">
        <v>18</v>
      </c>
      <c r="D4492" t="s">
        <v>19</v>
      </c>
      <c r="E4492">
        <v>12</v>
      </c>
      <c r="F4492" t="s">
        <v>31</v>
      </c>
      <c r="G4492" t="s">
        <v>37</v>
      </c>
      <c r="H4492" s="1">
        <v>168.84</v>
      </c>
      <c r="I4492" t="s">
        <v>28</v>
      </c>
      <c r="J4492">
        <v>1</v>
      </c>
      <c r="K4492">
        <v>5</v>
      </c>
    </row>
    <row r="4493" spans="1:11" x14ac:dyDescent="0.35">
      <c r="A4493" t="s">
        <v>4530</v>
      </c>
      <c r="B4493">
        <v>67</v>
      </c>
      <c r="C4493" t="s">
        <v>12</v>
      </c>
      <c r="D4493" t="s">
        <v>21</v>
      </c>
      <c r="E4493">
        <v>39</v>
      </c>
      <c r="F4493" t="s">
        <v>26</v>
      </c>
      <c r="G4493" t="s">
        <v>23</v>
      </c>
      <c r="H4493" s="1">
        <v>425.39</v>
      </c>
      <c r="I4493" t="s">
        <v>24</v>
      </c>
      <c r="J4493">
        <v>2</v>
      </c>
      <c r="K4493">
        <v>1</v>
      </c>
    </row>
    <row r="4494" spans="1:11" x14ac:dyDescent="0.35">
      <c r="A4494" t="s">
        <v>4531</v>
      </c>
      <c r="B4494">
        <v>18</v>
      </c>
      <c r="C4494" t="s">
        <v>18</v>
      </c>
      <c r="D4494" t="s">
        <v>21</v>
      </c>
      <c r="E4494">
        <v>36</v>
      </c>
      <c r="F4494" t="s">
        <v>31</v>
      </c>
      <c r="G4494" t="s">
        <v>37</v>
      </c>
      <c r="H4494" s="1">
        <v>122.56</v>
      </c>
      <c r="I4494" t="s">
        <v>24</v>
      </c>
      <c r="J4494">
        <v>3</v>
      </c>
      <c r="K4494">
        <v>4</v>
      </c>
    </row>
    <row r="4495" spans="1:11" x14ac:dyDescent="0.35">
      <c r="A4495" t="s">
        <v>4532</v>
      </c>
      <c r="B4495">
        <v>60</v>
      </c>
      <c r="C4495" t="s">
        <v>18</v>
      </c>
      <c r="D4495" t="s">
        <v>47</v>
      </c>
      <c r="E4495">
        <v>13</v>
      </c>
      <c r="F4495" t="s">
        <v>31</v>
      </c>
      <c r="G4495" t="s">
        <v>34</v>
      </c>
      <c r="H4495" s="1">
        <v>114.26</v>
      </c>
      <c r="I4495" t="s">
        <v>28</v>
      </c>
      <c r="J4495">
        <v>0</v>
      </c>
      <c r="K4495">
        <v>8</v>
      </c>
    </row>
    <row r="4496" spans="1:11" x14ac:dyDescent="0.35">
      <c r="A4496" t="s">
        <v>4533</v>
      </c>
      <c r="B4496">
        <v>66</v>
      </c>
      <c r="C4496" t="s">
        <v>12</v>
      </c>
      <c r="D4496" t="s">
        <v>19</v>
      </c>
      <c r="E4496">
        <v>6</v>
      </c>
      <c r="F4496" t="s">
        <v>22</v>
      </c>
      <c r="G4496" t="s">
        <v>15</v>
      </c>
      <c r="H4496" s="1">
        <v>441.92</v>
      </c>
      <c r="I4496" t="s">
        <v>24</v>
      </c>
      <c r="J4496">
        <v>0</v>
      </c>
      <c r="K4496">
        <v>8</v>
      </c>
    </row>
    <row r="4497" spans="1:11" x14ac:dyDescent="0.35">
      <c r="A4497" t="s">
        <v>4534</v>
      </c>
      <c r="B4497">
        <v>29</v>
      </c>
      <c r="C4497" t="s">
        <v>18</v>
      </c>
      <c r="D4497" t="s">
        <v>13</v>
      </c>
      <c r="E4497">
        <v>22</v>
      </c>
      <c r="F4497" t="s">
        <v>26</v>
      </c>
      <c r="G4497" t="s">
        <v>15</v>
      </c>
      <c r="H4497" s="1">
        <v>425.78</v>
      </c>
      <c r="I4497" t="s">
        <v>24</v>
      </c>
      <c r="J4497">
        <v>4</v>
      </c>
      <c r="K4497">
        <v>3</v>
      </c>
    </row>
    <row r="4498" spans="1:11" x14ac:dyDescent="0.35">
      <c r="A4498" t="s">
        <v>4535</v>
      </c>
      <c r="B4498">
        <v>63</v>
      </c>
      <c r="C4498" t="s">
        <v>12</v>
      </c>
      <c r="D4498" t="s">
        <v>30</v>
      </c>
      <c r="E4498">
        <v>6</v>
      </c>
      <c r="F4498" t="s">
        <v>26</v>
      </c>
      <c r="G4498" t="s">
        <v>37</v>
      </c>
      <c r="H4498" s="1">
        <v>204.21</v>
      </c>
      <c r="I4498" t="s">
        <v>24</v>
      </c>
      <c r="J4498">
        <v>2</v>
      </c>
      <c r="K4498">
        <v>9</v>
      </c>
    </row>
    <row r="4499" spans="1:11" x14ac:dyDescent="0.35">
      <c r="A4499" t="s">
        <v>4536</v>
      </c>
      <c r="B4499">
        <v>82</v>
      </c>
      <c r="C4499" t="s">
        <v>18</v>
      </c>
      <c r="D4499" t="s">
        <v>30</v>
      </c>
      <c r="E4499">
        <v>7</v>
      </c>
      <c r="F4499" t="s">
        <v>22</v>
      </c>
      <c r="G4499" t="s">
        <v>37</v>
      </c>
      <c r="H4499" s="1">
        <v>109.42</v>
      </c>
      <c r="I4499" t="s">
        <v>24</v>
      </c>
      <c r="J4499">
        <v>0</v>
      </c>
      <c r="K4499">
        <v>7</v>
      </c>
    </row>
    <row r="4500" spans="1:11" x14ac:dyDescent="0.35">
      <c r="A4500" t="s">
        <v>4537</v>
      </c>
      <c r="B4500">
        <v>54</v>
      </c>
      <c r="C4500" t="s">
        <v>18</v>
      </c>
      <c r="D4500" t="s">
        <v>13</v>
      </c>
      <c r="E4500">
        <v>7</v>
      </c>
      <c r="F4500" t="s">
        <v>26</v>
      </c>
      <c r="G4500" t="s">
        <v>34</v>
      </c>
      <c r="H4500" s="1">
        <v>181.38</v>
      </c>
      <c r="I4500" t="s">
        <v>24</v>
      </c>
      <c r="J4500">
        <v>2</v>
      </c>
      <c r="K4500">
        <v>7</v>
      </c>
    </row>
    <row r="4501" spans="1:11" x14ac:dyDescent="0.35">
      <c r="A4501" t="s">
        <v>4538</v>
      </c>
      <c r="B4501">
        <v>63</v>
      </c>
      <c r="C4501" t="s">
        <v>18</v>
      </c>
      <c r="D4501" t="s">
        <v>21</v>
      </c>
      <c r="E4501">
        <v>44</v>
      </c>
      <c r="F4501" t="s">
        <v>26</v>
      </c>
      <c r="G4501" t="s">
        <v>27</v>
      </c>
      <c r="H4501" s="1">
        <v>41.16</v>
      </c>
      <c r="I4501" t="s">
        <v>24</v>
      </c>
      <c r="J4501">
        <v>3</v>
      </c>
      <c r="K4501">
        <v>2</v>
      </c>
    </row>
    <row r="4502" spans="1:11" x14ac:dyDescent="0.35">
      <c r="A4502" t="s">
        <v>4539</v>
      </c>
      <c r="B4502">
        <v>75</v>
      </c>
      <c r="C4502" t="s">
        <v>12</v>
      </c>
      <c r="D4502" t="s">
        <v>19</v>
      </c>
      <c r="E4502">
        <v>12</v>
      </c>
      <c r="F4502" t="s">
        <v>22</v>
      </c>
      <c r="G4502" t="s">
        <v>15</v>
      </c>
      <c r="H4502" s="1">
        <v>90.34</v>
      </c>
      <c r="I4502" t="s">
        <v>24</v>
      </c>
      <c r="J4502">
        <v>1</v>
      </c>
      <c r="K4502">
        <v>8</v>
      </c>
    </row>
    <row r="4503" spans="1:11" x14ac:dyDescent="0.35">
      <c r="A4503" t="s">
        <v>4540</v>
      </c>
      <c r="B4503">
        <v>54</v>
      </c>
      <c r="C4503" t="s">
        <v>528</v>
      </c>
      <c r="D4503" t="s">
        <v>19</v>
      </c>
      <c r="E4503">
        <v>12</v>
      </c>
      <c r="F4503" t="s">
        <v>14</v>
      </c>
      <c r="G4503" t="s">
        <v>37</v>
      </c>
      <c r="H4503" s="1">
        <v>0</v>
      </c>
      <c r="I4503" t="s">
        <v>16</v>
      </c>
      <c r="J4503">
        <v>0</v>
      </c>
      <c r="K4503">
        <v>4</v>
      </c>
    </row>
    <row r="4504" spans="1:11" x14ac:dyDescent="0.35">
      <c r="A4504" t="s">
        <v>4541</v>
      </c>
      <c r="B4504">
        <v>50</v>
      </c>
      <c r="C4504" t="s">
        <v>18</v>
      </c>
      <c r="D4504" t="s">
        <v>19</v>
      </c>
      <c r="E4504">
        <v>24</v>
      </c>
      <c r="F4504" t="s">
        <v>26</v>
      </c>
      <c r="G4504" t="s">
        <v>34</v>
      </c>
      <c r="H4504" s="1">
        <v>183.32</v>
      </c>
      <c r="I4504" t="s">
        <v>24</v>
      </c>
      <c r="J4504">
        <v>1</v>
      </c>
      <c r="K4504">
        <v>5</v>
      </c>
    </row>
    <row r="4505" spans="1:11" x14ac:dyDescent="0.35">
      <c r="A4505" t="s">
        <v>4542</v>
      </c>
      <c r="B4505">
        <v>20</v>
      </c>
      <c r="C4505" t="s">
        <v>18</v>
      </c>
      <c r="D4505" t="s">
        <v>19</v>
      </c>
      <c r="E4505">
        <v>10</v>
      </c>
      <c r="F4505" t="s">
        <v>33</v>
      </c>
      <c r="G4505" t="s">
        <v>34</v>
      </c>
      <c r="H4505" s="1">
        <v>148.86000000000001</v>
      </c>
      <c r="I4505" t="s">
        <v>24</v>
      </c>
      <c r="J4505">
        <v>1</v>
      </c>
      <c r="K4505">
        <v>7</v>
      </c>
    </row>
    <row r="4506" spans="1:11" x14ac:dyDescent="0.35">
      <c r="A4506" t="s">
        <v>4543</v>
      </c>
      <c r="B4506">
        <v>30</v>
      </c>
      <c r="C4506" t="s">
        <v>18</v>
      </c>
      <c r="D4506" t="s">
        <v>21</v>
      </c>
      <c r="E4506">
        <v>16</v>
      </c>
      <c r="F4506" t="s">
        <v>22</v>
      </c>
      <c r="G4506" t="s">
        <v>27</v>
      </c>
      <c r="H4506" s="1">
        <v>101.71</v>
      </c>
      <c r="I4506" t="s">
        <v>24</v>
      </c>
      <c r="J4506">
        <v>0</v>
      </c>
      <c r="K4506">
        <v>7</v>
      </c>
    </row>
    <row r="4507" spans="1:11" x14ac:dyDescent="0.35">
      <c r="A4507" t="s">
        <v>4544</v>
      </c>
      <c r="B4507">
        <v>31</v>
      </c>
      <c r="C4507" t="s">
        <v>12</v>
      </c>
      <c r="D4507" t="s">
        <v>21</v>
      </c>
      <c r="E4507">
        <v>39</v>
      </c>
      <c r="F4507" t="s">
        <v>31</v>
      </c>
      <c r="G4507" t="s">
        <v>15</v>
      </c>
      <c r="H4507" s="1">
        <v>123.49</v>
      </c>
      <c r="I4507" t="s">
        <v>28</v>
      </c>
      <c r="J4507">
        <v>4</v>
      </c>
      <c r="K4507">
        <v>2</v>
      </c>
    </row>
    <row r="4508" spans="1:11" x14ac:dyDescent="0.35">
      <c r="A4508" t="s">
        <v>4545</v>
      </c>
      <c r="B4508">
        <v>44</v>
      </c>
      <c r="C4508" t="s">
        <v>18</v>
      </c>
      <c r="D4508" t="s">
        <v>19</v>
      </c>
      <c r="E4508">
        <v>10</v>
      </c>
      <c r="F4508" t="s">
        <v>22</v>
      </c>
      <c r="G4508" t="s">
        <v>27</v>
      </c>
      <c r="H4508" s="1">
        <v>169.41</v>
      </c>
      <c r="I4508" t="s">
        <v>24</v>
      </c>
      <c r="J4508">
        <v>0</v>
      </c>
      <c r="K4508">
        <v>5</v>
      </c>
    </row>
    <row r="4509" spans="1:11" x14ac:dyDescent="0.35">
      <c r="A4509" t="s">
        <v>4546</v>
      </c>
      <c r="B4509">
        <v>39</v>
      </c>
      <c r="C4509" t="s">
        <v>12</v>
      </c>
      <c r="D4509" t="s">
        <v>19</v>
      </c>
      <c r="E4509">
        <v>12</v>
      </c>
      <c r="F4509" t="s">
        <v>31</v>
      </c>
      <c r="G4509" t="s">
        <v>27</v>
      </c>
      <c r="H4509" s="1">
        <v>43.86</v>
      </c>
      <c r="I4509" t="s">
        <v>24</v>
      </c>
      <c r="J4509">
        <v>2</v>
      </c>
      <c r="K4509">
        <v>7</v>
      </c>
    </row>
    <row r="4510" spans="1:11" x14ac:dyDescent="0.35">
      <c r="A4510" t="s">
        <v>4547</v>
      </c>
      <c r="B4510">
        <v>38</v>
      </c>
      <c r="C4510" t="s">
        <v>12</v>
      </c>
      <c r="D4510" t="s">
        <v>19</v>
      </c>
      <c r="E4510">
        <v>18</v>
      </c>
      <c r="F4510" t="s">
        <v>26</v>
      </c>
      <c r="G4510" t="s">
        <v>23</v>
      </c>
      <c r="H4510" s="1">
        <v>419.16</v>
      </c>
      <c r="I4510" t="s">
        <v>24</v>
      </c>
      <c r="J4510">
        <v>0</v>
      </c>
      <c r="K4510">
        <v>8</v>
      </c>
    </row>
    <row r="4511" spans="1:11" x14ac:dyDescent="0.35">
      <c r="A4511" t="s">
        <v>4548</v>
      </c>
      <c r="B4511">
        <v>66</v>
      </c>
      <c r="C4511" t="s">
        <v>12</v>
      </c>
      <c r="D4511" t="s">
        <v>41</v>
      </c>
      <c r="E4511">
        <v>14</v>
      </c>
      <c r="F4511" t="s">
        <v>31</v>
      </c>
      <c r="G4511" t="s">
        <v>23</v>
      </c>
      <c r="H4511" s="1">
        <v>155.15</v>
      </c>
      <c r="I4511" t="s">
        <v>43</v>
      </c>
      <c r="J4511">
        <v>0</v>
      </c>
      <c r="K4511">
        <v>7</v>
      </c>
    </row>
    <row r="4512" spans="1:11" x14ac:dyDescent="0.35">
      <c r="A4512" t="s">
        <v>4549</v>
      </c>
      <c r="B4512">
        <v>68</v>
      </c>
      <c r="C4512" t="s">
        <v>18</v>
      </c>
      <c r="D4512" t="s">
        <v>244</v>
      </c>
      <c r="E4512">
        <v>10</v>
      </c>
      <c r="F4512" t="s">
        <v>33</v>
      </c>
      <c r="G4512" t="s">
        <v>34</v>
      </c>
      <c r="H4512" s="1">
        <v>176.97</v>
      </c>
      <c r="I4512" t="s">
        <v>24</v>
      </c>
      <c r="J4512">
        <v>3</v>
      </c>
      <c r="K4512">
        <v>7</v>
      </c>
    </row>
    <row r="4513" spans="1:11" x14ac:dyDescent="0.35">
      <c r="A4513" t="s">
        <v>4550</v>
      </c>
      <c r="B4513">
        <v>57</v>
      </c>
      <c r="C4513" t="s">
        <v>12</v>
      </c>
      <c r="D4513" t="s">
        <v>13</v>
      </c>
      <c r="E4513">
        <v>16</v>
      </c>
      <c r="F4513" t="s">
        <v>33</v>
      </c>
      <c r="G4513" t="s">
        <v>23</v>
      </c>
      <c r="H4513" s="1">
        <v>455.61</v>
      </c>
      <c r="I4513" t="s">
        <v>28</v>
      </c>
      <c r="J4513">
        <v>0</v>
      </c>
      <c r="K4513">
        <v>5</v>
      </c>
    </row>
    <row r="4514" spans="1:11" x14ac:dyDescent="0.35">
      <c r="A4514" t="s">
        <v>4551</v>
      </c>
      <c r="B4514">
        <v>44</v>
      </c>
      <c r="C4514" t="s">
        <v>18</v>
      </c>
      <c r="D4514" t="s">
        <v>47</v>
      </c>
      <c r="E4514">
        <v>8</v>
      </c>
      <c r="F4514" t="s">
        <v>26</v>
      </c>
      <c r="G4514" t="s">
        <v>37</v>
      </c>
      <c r="H4514" s="1">
        <v>92.7</v>
      </c>
      <c r="I4514" t="s">
        <v>24</v>
      </c>
      <c r="J4514">
        <v>2</v>
      </c>
      <c r="K4514">
        <v>9</v>
      </c>
    </row>
    <row r="4515" spans="1:11" x14ac:dyDescent="0.35">
      <c r="A4515" t="s">
        <v>4552</v>
      </c>
      <c r="B4515">
        <v>40</v>
      </c>
      <c r="C4515" t="s">
        <v>12</v>
      </c>
      <c r="D4515" t="s">
        <v>200</v>
      </c>
      <c r="E4515">
        <v>19</v>
      </c>
      <c r="F4515" t="s">
        <v>22</v>
      </c>
      <c r="G4515" t="s">
        <v>15</v>
      </c>
      <c r="H4515" s="1">
        <v>279.10000000000002</v>
      </c>
      <c r="I4515" t="s">
        <v>24</v>
      </c>
      <c r="J4515">
        <v>1</v>
      </c>
      <c r="K4515">
        <v>4</v>
      </c>
    </row>
    <row r="4516" spans="1:11" x14ac:dyDescent="0.35">
      <c r="A4516" t="s">
        <v>4553</v>
      </c>
      <c r="B4516">
        <v>71</v>
      </c>
      <c r="C4516" t="s">
        <v>12</v>
      </c>
      <c r="D4516" t="s">
        <v>120</v>
      </c>
      <c r="E4516">
        <v>42</v>
      </c>
      <c r="F4516" t="s">
        <v>26</v>
      </c>
      <c r="G4516" t="s">
        <v>23</v>
      </c>
      <c r="H4516" s="1">
        <v>331.1</v>
      </c>
      <c r="I4516" t="s">
        <v>24</v>
      </c>
      <c r="J4516">
        <v>2</v>
      </c>
      <c r="K4516">
        <v>5</v>
      </c>
    </row>
    <row r="4517" spans="1:11" x14ac:dyDescent="0.35">
      <c r="A4517" t="s">
        <v>4554</v>
      </c>
      <c r="B4517">
        <v>43</v>
      </c>
      <c r="C4517" t="s">
        <v>18</v>
      </c>
      <c r="D4517" t="s">
        <v>13</v>
      </c>
      <c r="E4517">
        <v>18</v>
      </c>
      <c r="F4517" t="s">
        <v>22</v>
      </c>
      <c r="G4517" t="s">
        <v>15</v>
      </c>
      <c r="H4517" s="1">
        <v>366.7</v>
      </c>
      <c r="I4517" t="s">
        <v>24</v>
      </c>
      <c r="J4517">
        <v>0</v>
      </c>
      <c r="K4517">
        <v>6</v>
      </c>
    </row>
    <row r="4518" spans="1:11" x14ac:dyDescent="0.35">
      <c r="A4518" t="s">
        <v>4555</v>
      </c>
      <c r="B4518">
        <v>27</v>
      </c>
      <c r="C4518" t="s">
        <v>18</v>
      </c>
      <c r="D4518" t="s">
        <v>19</v>
      </c>
      <c r="E4518">
        <v>16</v>
      </c>
      <c r="F4518" t="s">
        <v>22</v>
      </c>
      <c r="G4518" t="s">
        <v>37</v>
      </c>
      <c r="H4518" s="1">
        <v>111.97</v>
      </c>
      <c r="I4518" t="s">
        <v>24</v>
      </c>
      <c r="J4518">
        <v>2</v>
      </c>
      <c r="K4518">
        <v>4</v>
      </c>
    </row>
    <row r="4519" spans="1:11" x14ac:dyDescent="0.35">
      <c r="A4519" t="s">
        <v>4556</v>
      </c>
      <c r="B4519">
        <v>51</v>
      </c>
      <c r="C4519" t="s">
        <v>18</v>
      </c>
      <c r="D4519" t="s">
        <v>13</v>
      </c>
      <c r="E4519">
        <v>16</v>
      </c>
      <c r="F4519" t="s">
        <v>14</v>
      </c>
      <c r="G4519" t="s">
        <v>23</v>
      </c>
      <c r="H4519" s="1">
        <v>0</v>
      </c>
      <c r="I4519" t="s">
        <v>16</v>
      </c>
      <c r="J4519">
        <v>2</v>
      </c>
      <c r="K4519">
        <v>7</v>
      </c>
    </row>
    <row r="4520" spans="1:11" x14ac:dyDescent="0.35">
      <c r="A4520" t="s">
        <v>4557</v>
      </c>
      <c r="B4520">
        <v>38</v>
      </c>
      <c r="C4520" t="s">
        <v>12</v>
      </c>
      <c r="D4520" t="s">
        <v>19</v>
      </c>
      <c r="E4520">
        <v>22</v>
      </c>
      <c r="F4520" t="s">
        <v>33</v>
      </c>
      <c r="G4520" t="s">
        <v>37</v>
      </c>
      <c r="H4520" s="1">
        <v>207.77</v>
      </c>
      <c r="I4520" t="s">
        <v>24</v>
      </c>
      <c r="J4520">
        <v>1</v>
      </c>
      <c r="K4520">
        <v>4</v>
      </c>
    </row>
    <row r="4521" spans="1:11" x14ac:dyDescent="0.35">
      <c r="A4521" t="s">
        <v>4558</v>
      </c>
      <c r="B4521">
        <v>60</v>
      </c>
      <c r="C4521" t="s">
        <v>12</v>
      </c>
      <c r="D4521" t="s">
        <v>30</v>
      </c>
      <c r="E4521">
        <v>12</v>
      </c>
      <c r="F4521" t="s">
        <v>31</v>
      </c>
      <c r="G4521" t="s">
        <v>23</v>
      </c>
      <c r="H4521" s="1">
        <v>300.70999999999998</v>
      </c>
      <c r="I4521" t="s">
        <v>28</v>
      </c>
      <c r="J4521">
        <v>0</v>
      </c>
      <c r="K4521">
        <v>8</v>
      </c>
    </row>
    <row r="4522" spans="1:11" x14ac:dyDescent="0.35">
      <c r="A4522" t="s">
        <v>4559</v>
      </c>
      <c r="B4522">
        <v>41</v>
      </c>
      <c r="C4522" t="s">
        <v>18</v>
      </c>
      <c r="D4522" t="s">
        <v>30</v>
      </c>
      <c r="E4522">
        <v>5</v>
      </c>
      <c r="F4522" t="s">
        <v>26</v>
      </c>
      <c r="G4522" t="s">
        <v>23</v>
      </c>
      <c r="H4522" s="1">
        <v>529.77</v>
      </c>
      <c r="I4522" t="s">
        <v>24</v>
      </c>
      <c r="J4522">
        <v>2</v>
      </c>
      <c r="K4522">
        <v>10</v>
      </c>
    </row>
    <row r="4523" spans="1:11" x14ac:dyDescent="0.35">
      <c r="A4523" t="s">
        <v>4560</v>
      </c>
      <c r="B4523">
        <v>81</v>
      </c>
      <c r="C4523" t="s">
        <v>12</v>
      </c>
      <c r="D4523" t="s">
        <v>19</v>
      </c>
      <c r="E4523">
        <v>13</v>
      </c>
      <c r="F4523" t="s">
        <v>22</v>
      </c>
      <c r="G4523" t="s">
        <v>23</v>
      </c>
      <c r="H4523" s="1">
        <v>450.35</v>
      </c>
      <c r="I4523" t="s">
        <v>24</v>
      </c>
      <c r="J4523">
        <v>1</v>
      </c>
      <c r="K4523">
        <v>7</v>
      </c>
    </row>
    <row r="4524" spans="1:11" x14ac:dyDescent="0.35">
      <c r="A4524" t="s">
        <v>4561</v>
      </c>
      <c r="B4524">
        <v>76</v>
      </c>
      <c r="C4524" t="s">
        <v>18</v>
      </c>
      <c r="D4524" t="s">
        <v>21</v>
      </c>
      <c r="E4524">
        <v>15</v>
      </c>
      <c r="F4524" t="s">
        <v>31</v>
      </c>
      <c r="G4524" t="s">
        <v>23</v>
      </c>
      <c r="H4524" s="1">
        <v>263.02999999999997</v>
      </c>
      <c r="I4524" t="s">
        <v>24</v>
      </c>
      <c r="J4524">
        <v>0</v>
      </c>
      <c r="K4524">
        <v>8</v>
      </c>
    </row>
    <row r="4525" spans="1:11" x14ac:dyDescent="0.35">
      <c r="A4525" t="s">
        <v>4562</v>
      </c>
      <c r="B4525">
        <v>29</v>
      </c>
      <c r="C4525" t="s">
        <v>18</v>
      </c>
      <c r="D4525" t="s">
        <v>13</v>
      </c>
      <c r="E4525">
        <v>18</v>
      </c>
      <c r="F4525" t="s">
        <v>22</v>
      </c>
      <c r="G4525" t="s">
        <v>15</v>
      </c>
      <c r="H4525" s="1">
        <v>187.94</v>
      </c>
      <c r="I4525" t="s">
        <v>28</v>
      </c>
      <c r="J4525">
        <v>1</v>
      </c>
      <c r="K4525">
        <v>7</v>
      </c>
    </row>
    <row r="4526" spans="1:11" x14ac:dyDescent="0.35">
      <c r="A4526" t="s">
        <v>4563</v>
      </c>
      <c r="B4526">
        <v>76</v>
      </c>
      <c r="C4526" t="s">
        <v>18</v>
      </c>
      <c r="D4526" t="s">
        <v>21</v>
      </c>
      <c r="E4526">
        <v>36</v>
      </c>
      <c r="F4526" t="s">
        <v>22</v>
      </c>
      <c r="G4526" t="s">
        <v>15</v>
      </c>
      <c r="H4526" s="1">
        <v>270.82</v>
      </c>
      <c r="I4526" t="s">
        <v>24</v>
      </c>
      <c r="J4526">
        <v>3</v>
      </c>
      <c r="K4526">
        <v>5</v>
      </c>
    </row>
    <row r="4527" spans="1:11" x14ac:dyDescent="0.35">
      <c r="A4527" t="s">
        <v>4564</v>
      </c>
      <c r="B4527">
        <v>42</v>
      </c>
      <c r="C4527" t="s">
        <v>12</v>
      </c>
      <c r="D4527" t="s">
        <v>19</v>
      </c>
      <c r="E4527">
        <v>14</v>
      </c>
      <c r="F4527" t="s">
        <v>26</v>
      </c>
      <c r="G4527" t="s">
        <v>37</v>
      </c>
      <c r="H4527" s="1">
        <v>132.16</v>
      </c>
      <c r="I4527" t="s">
        <v>24</v>
      </c>
      <c r="J4527">
        <v>1</v>
      </c>
      <c r="K4527">
        <v>8</v>
      </c>
    </row>
    <row r="4528" spans="1:11" x14ac:dyDescent="0.35">
      <c r="A4528" t="s">
        <v>4565</v>
      </c>
      <c r="B4528">
        <v>78</v>
      </c>
      <c r="C4528" t="s">
        <v>12</v>
      </c>
      <c r="D4528" t="s">
        <v>19</v>
      </c>
      <c r="E4528">
        <v>11</v>
      </c>
      <c r="F4528" t="s">
        <v>31</v>
      </c>
      <c r="G4528" t="s">
        <v>23</v>
      </c>
      <c r="H4528" s="1">
        <v>256.02</v>
      </c>
      <c r="I4528" t="s">
        <v>24</v>
      </c>
      <c r="J4528">
        <v>3</v>
      </c>
      <c r="K4528">
        <v>5</v>
      </c>
    </row>
    <row r="4529" spans="1:11" x14ac:dyDescent="0.35">
      <c r="A4529" t="s">
        <v>4566</v>
      </c>
      <c r="B4529">
        <v>70</v>
      </c>
      <c r="C4529" t="s">
        <v>12</v>
      </c>
      <c r="D4529" t="s">
        <v>120</v>
      </c>
      <c r="E4529">
        <v>16</v>
      </c>
      <c r="F4529" t="s">
        <v>22</v>
      </c>
      <c r="G4529" t="s">
        <v>23</v>
      </c>
      <c r="H4529" s="1">
        <v>79.739999999999995</v>
      </c>
      <c r="I4529" t="s">
        <v>24</v>
      </c>
      <c r="J4529">
        <v>0</v>
      </c>
      <c r="K4529">
        <v>4</v>
      </c>
    </row>
    <row r="4530" spans="1:11" x14ac:dyDescent="0.35">
      <c r="A4530" t="s">
        <v>4567</v>
      </c>
      <c r="B4530">
        <v>21</v>
      </c>
      <c r="C4530" t="s">
        <v>18</v>
      </c>
      <c r="D4530" t="s">
        <v>30</v>
      </c>
      <c r="E4530">
        <v>12</v>
      </c>
      <c r="F4530" t="s">
        <v>33</v>
      </c>
      <c r="G4530" t="s">
        <v>34</v>
      </c>
      <c r="H4530" s="1">
        <v>169.22</v>
      </c>
      <c r="I4530" t="s">
        <v>24</v>
      </c>
      <c r="J4530">
        <v>1</v>
      </c>
      <c r="K4530">
        <v>6</v>
      </c>
    </row>
    <row r="4531" spans="1:11" x14ac:dyDescent="0.35">
      <c r="A4531" t="s">
        <v>4568</v>
      </c>
      <c r="B4531">
        <v>58</v>
      </c>
      <c r="C4531" t="s">
        <v>18</v>
      </c>
      <c r="D4531" t="s">
        <v>21</v>
      </c>
      <c r="E4531">
        <v>17</v>
      </c>
      <c r="F4531" t="s">
        <v>33</v>
      </c>
      <c r="G4531" t="s">
        <v>15</v>
      </c>
      <c r="H4531" s="1">
        <v>118.13</v>
      </c>
      <c r="I4531" t="s">
        <v>24</v>
      </c>
      <c r="J4531">
        <v>3</v>
      </c>
      <c r="K4531">
        <v>7</v>
      </c>
    </row>
    <row r="4532" spans="1:11" x14ac:dyDescent="0.35">
      <c r="A4532" t="s">
        <v>4569</v>
      </c>
      <c r="B4532">
        <v>44</v>
      </c>
      <c r="C4532" t="s">
        <v>18</v>
      </c>
      <c r="D4532" t="s">
        <v>21</v>
      </c>
      <c r="E4532">
        <v>46</v>
      </c>
      <c r="F4532" t="s">
        <v>26</v>
      </c>
      <c r="G4532" t="s">
        <v>37</v>
      </c>
      <c r="H4532" s="1">
        <v>120.47</v>
      </c>
      <c r="I4532" t="s">
        <v>24</v>
      </c>
      <c r="J4532">
        <v>3</v>
      </c>
      <c r="K4532">
        <v>3</v>
      </c>
    </row>
    <row r="4533" spans="1:11" x14ac:dyDescent="0.35">
      <c r="A4533" t="s">
        <v>4570</v>
      </c>
      <c r="B4533">
        <v>28</v>
      </c>
      <c r="C4533" t="s">
        <v>12</v>
      </c>
      <c r="D4533" t="s">
        <v>30</v>
      </c>
      <c r="E4533">
        <v>12</v>
      </c>
      <c r="F4533" t="s">
        <v>22</v>
      </c>
      <c r="G4533" t="s">
        <v>37</v>
      </c>
      <c r="H4533" s="1">
        <v>158.49</v>
      </c>
      <c r="I4533" t="s">
        <v>24</v>
      </c>
      <c r="J4533">
        <v>0</v>
      </c>
      <c r="K4533">
        <v>5</v>
      </c>
    </row>
    <row r="4534" spans="1:11" x14ac:dyDescent="0.35">
      <c r="A4534" t="s">
        <v>4571</v>
      </c>
      <c r="B4534">
        <v>67</v>
      </c>
      <c r="C4534" t="s">
        <v>12</v>
      </c>
      <c r="D4534" t="s">
        <v>13</v>
      </c>
      <c r="E4534">
        <v>10</v>
      </c>
      <c r="F4534" t="s">
        <v>31</v>
      </c>
      <c r="G4534" t="s">
        <v>27</v>
      </c>
      <c r="H4534" s="1">
        <v>80.319999999999993</v>
      </c>
      <c r="I4534" t="s">
        <v>24</v>
      </c>
      <c r="J4534">
        <v>3</v>
      </c>
      <c r="K4534">
        <v>5</v>
      </c>
    </row>
    <row r="4535" spans="1:11" x14ac:dyDescent="0.35">
      <c r="A4535" t="s">
        <v>4572</v>
      </c>
      <c r="B4535">
        <v>37</v>
      </c>
      <c r="C4535" t="s">
        <v>12</v>
      </c>
      <c r="D4535" t="s">
        <v>41</v>
      </c>
      <c r="E4535">
        <v>2</v>
      </c>
      <c r="F4535" t="s">
        <v>22</v>
      </c>
      <c r="G4535" t="s">
        <v>27</v>
      </c>
      <c r="H4535" s="1">
        <v>119.31</v>
      </c>
      <c r="I4535" t="s">
        <v>24</v>
      </c>
      <c r="J4535">
        <v>0</v>
      </c>
      <c r="K4535">
        <v>8</v>
      </c>
    </row>
    <row r="4536" spans="1:11" x14ac:dyDescent="0.35">
      <c r="A4536" t="s">
        <v>4573</v>
      </c>
      <c r="B4536">
        <v>81</v>
      </c>
      <c r="C4536" t="s">
        <v>12</v>
      </c>
      <c r="D4536" t="s">
        <v>19</v>
      </c>
      <c r="E4536">
        <v>24</v>
      </c>
      <c r="F4536" t="s">
        <v>31</v>
      </c>
      <c r="G4536" t="s">
        <v>15</v>
      </c>
      <c r="H4536" s="1">
        <v>267.01</v>
      </c>
      <c r="I4536" t="s">
        <v>24</v>
      </c>
      <c r="J4536">
        <v>1</v>
      </c>
      <c r="K4536">
        <v>4</v>
      </c>
    </row>
    <row r="4537" spans="1:11" x14ac:dyDescent="0.35">
      <c r="A4537" t="s">
        <v>4574</v>
      </c>
      <c r="B4537">
        <v>18</v>
      </c>
      <c r="C4537" t="s">
        <v>18</v>
      </c>
      <c r="D4537" t="s">
        <v>19</v>
      </c>
      <c r="E4537">
        <v>18</v>
      </c>
      <c r="F4537" t="s">
        <v>22</v>
      </c>
      <c r="G4537" t="s">
        <v>37</v>
      </c>
      <c r="H4537" s="1">
        <v>90.98</v>
      </c>
      <c r="I4537" t="s">
        <v>24</v>
      </c>
      <c r="J4537">
        <v>3</v>
      </c>
      <c r="K4537">
        <v>6</v>
      </c>
    </row>
    <row r="4538" spans="1:11" x14ac:dyDescent="0.35">
      <c r="A4538" t="s">
        <v>4575</v>
      </c>
      <c r="B4538">
        <v>48</v>
      </c>
      <c r="C4538" t="s">
        <v>12</v>
      </c>
      <c r="D4538" t="s">
        <v>13</v>
      </c>
      <c r="E4538">
        <v>8</v>
      </c>
      <c r="F4538" t="s">
        <v>14</v>
      </c>
      <c r="G4538" t="s">
        <v>23</v>
      </c>
      <c r="H4538" s="1">
        <v>0</v>
      </c>
      <c r="I4538" t="s">
        <v>16</v>
      </c>
      <c r="J4538">
        <v>0</v>
      </c>
      <c r="K4538">
        <v>10</v>
      </c>
    </row>
    <row r="4539" spans="1:11" x14ac:dyDescent="0.35">
      <c r="A4539" t="s">
        <v>4576</v>
      </c>
      <c r="B4539">
        <v>36</v>
      </c>
      <c r="C4539" t="s">
        <v>18</v>
      </c>
      <c r="D4539" t="s">
        <v>30</v>
      </c>
      <c r="E4539">
        <v>10</v>
      </c>
      <c r="F4539" t="s">
        <v>26</v>
      </c>
      <c r="G4539" t="s">
        <v>34</v>
      </c>
      <c r="H4539" s="1">
        <v>126.71</v>
      </c>
      <c r="I4539" t="s">
        <v>24</v>
      </c>
      <c r="J4539">
        <v>0</v>
      </c>
      <c r="K4539">
        <v>7</v>
      </c>
    </row>
    <row r="4540" spans="1:11" x14ac:dyDescent="0.35">
      <c r="A4540" t="s">
        <v>4577</v>
      </c>
      <c r="B4540">
        <v>59</v>
      </c>
      <c r="C4540" t="s">
        <v>12</v>
      </c>
      <c r="D4540" t="s">
        <v>19</v>
      </c>
      <c r="E4540">
        <v>7</v>
      </c>
      <c r="F4540" t="s">
        <v>31</v>
      </c>
      <c r="G4540" t="s">
        <v>27</v>
      </c>
      <c r="H4540" s="1">
        <v>99.74</v>
      </c>
      <c r="I4540" t="s">
        <v>28</v>
      </c>
      <c r="J4540">
        <v>0</v>
      </c>
      <c r="K4540">
        <v>9</v>
      </c>
    </row>
    <row r="4541" spans="1:11" x14ac:dyDescent="0.35">
      <c r="A4541" t="s">
        <v>4578</v>
      </c>
      <c r="B4541">
        <v>82</v>
      </c>
      <c r="C4541" t="s">
        <v>12</v>
      </c>
      <c r="D4541" t="s">
        <v>41</v>
      </c>
      <c r="E4541">
        <v>14</v>
      </c>
      <c r="F4541" t="s">
        <v>33</v>
      </c>
      <c r="G4541" t="s">
        <v>27</v>
      </c>
      <c r="H4541" s="1">
        <v>91.27</v>
      </c>
      <c r="I4541" t="s">
        <v>24</v>
      </c>
      <c r="J4541">
        <v>1</v>
      </c>
      <c r="K4541">
        <v>8</v>
      </c>
    </row>
    <row r="4542" spans="1:11" x14ac:dyDescent="0.35">
      <c r="A4542" t="s">
        <v>4579</v>
      </c>
      <c r="B4542">
        <v>27</v>
      </c>
      <c r="C4542" t="s">
        <v>12</v>
      </c>
      <c r="D4542" t="s">
        <v>19</v>
      </c>
      <c r="E4542">
        <v>16</v>
      </c>
      <c r="F4542" t="s">
        <v>33</v>
      </c>
      <c r="G4542" t="s">
        <v>23</v>
      </c>
      <c r="H4542" s="1">
        <v>337.95</v>
      </c>
      <c r="I4542" t="s">
        <v>28</v>
      </c>
      <c r="J4542">
        <v>0</v>
      </c>
      <c r="K4542">
        <v>5</v>
      </c>
    </row>
    <row r="4543" spans="1:11" x14ac:dyDescent="0.35">
      <c r="A4543" t="s">
        <v>4580</v>
      </c>
      <c r="B4543">
        <v>64</v>
      </c>
      <c r="C4543" t="s">
        <v>18</v>
      </c>
      <c r="D4543" t="s">
        <v>19</v>
      </c>
      <c r="E4543">
        <v>12</v>
      </c>
      <c r="F4543" t="s">
        <v>22</v>
      </c>
      <c r="G4543" t="s">
        <v>34</v>
      </c>
      <c r="H4543" s="1">
        <v>219.48</v>
      </c>
      <c r="I4543" t="s">
        <v>24</v>
      </c>
      <c r="J4543">
        <v>0</v>
      </c>
      <c r="K4543">
        <v>4</v>
      </c>
    </row>
    <row r="4544" spans="1:11" x14ac:dyDescent="0.35">
      <c r="A4544" t="s">
        <v>4581</v>
      </c>
      <c r="B4544">
        <v>18</v>
      </c>
      <c r="C4544" t="s">
        <v>18</v>
      </c>
      <c r="D4544" t="s">
        <v>21</v>
      </c>
      <c r="E4544">
        <v>30</v>
      </c>
      <c r="F4544" t="s">
        <v>33</v>
      </c>
      <c r="G4544" t="s">
        <v>34</v>
      </c>
      <c r="H4544" s="1">
        <v>124.59</v>
      </c>
      <c r="I4544" t="s">
        <v>24</v>
      </c>
      <c r="J4544">
        <v>1</v>
      </c>
      <c r="K4544">
        <v>4</v>
      </c>
    </row>
    <row r="4545" spans="1:11" x14ac:dyDescent="0.35">
      <c r="A4545" t="s">
        <v>4582</v>
      </c>
      <c r="B4545">
        <v>46</v>
      </c>
      <c r="C4545" t="s">
        <v>18</v>
      </c>
      <c r="D4545" t="s">
        <v>30</v>
      </c>
      <c r="E4545">
        <v>5</v>
      </c>
      <c r="F4545" t="s">
        <v>33</v>
      </c>
      <c r="G4545" t="s">
        <v>23</v>
      </c>
      <c r="H4545" s="1">
        <v>476.19</v>
      </c>
      <c r="I4545" t="s">
        <v>24</v>
      </c>
      <c r="J4545">
        <v>0</v>
      </c>
      <c r="K4545">
        <v>7</v>
      </c>
    </row>
    <row r="4546" spans="1:11" x14ac:dyDescent="0.35">
      <c r="A4546" t="s">
        <v>4583</v>
      </c>
      <c r="B4546">
        <v>79</v>
      </c>
      <c r="C4546" t="s">
        <v>18</v>
      </c>
      <c r="D4546" t="s">
        <v>13</v>
      </c>
      <c r="E4546">
        <v>8</v>
      </c>
      <c r="F4546" t="s">
        <v>33</v>
      </c>
      <c r="G4546" t="s">
        <v>15</v>
      </c>
      <c r="H4546" s="1">
        <v>426.44</v>
      </c>
      <c r="I4546" t="s">
        <v>24</v>
      </c>
      <c r="J4546">
        <v>1</v>
      </c>
      <c r="K4546">
        <v>10</v>
      </c>
    </row>
    <row r="4547" spans="1:11" x14ac:dyDescent="0.35">
      <c r="A4547" t="s">
        <v>4584</v>
      </c>
      <c r="B4547">
        <v>24</v>
      </c>
      <c r="C4547" t="s">
        <v>12</v>
      </c>
      <c r="D4547" t="s">
        <v>13</v>
      </c>
      <c r="E4547">
        <v>13</v>
      </c>
      <c r="F4547" t="s">
        <v>33</v>
      </c>
      <c r="G4547" t="s">
        <v>37</v>
      </c>
      <c r="H4547" s="1">
        <v>115.99</v>
      </c>
      <c r="I4547" t="s">
        <v>28</v>
      </c>
      <c r="J4547">
        <v>2</v>
      </c>
      <c r="K4547">
        <v>4</v>
      </c>
    </row>
    <row r="4548" spans="1:11" x14ac:dyDescent="0.35">
      <c r="A4548" t="s">
        <v>4585</v>
      </c>
      <c r="B4548">
        <v>63</v>
      </c>
      <c r="C4548" t="s">
        <v>18</v>
      </c>
      <c r="D4548" t="s">
        <v>30</v>
      </c>
      <c r="E4548">
        <v>14</v>
      </c>
      <c r="F4548" t="s">
        <v>22</v>
      </c>
      <c r="G4548" t="s">
        <v>15</v>
      </c>
      <c r="H4548" s="1">
        <v>177.88</v>
      </c>
      <c r="I4548" t="s">
        <v>24</v>
      </c>
      <c r="J4548">
        <v>2</v>
      </c>
      <c r="K4548">
        <v>5</v>
      </c>
    </row>
    <row r="4549" spans="1:11" x14ac:dyDescent="0.35">
      <c r="A4549" t="s">
        <v>4586</v>
      </c>
      <c r="B4549">
        <v>47</v>
      </c>
      <c r="C4549" t="s">
        <v>18</v>
      </c>
      <c r="D4549" t="s">
        <v>21</v>
      </c>
      <c r="E4549">
        <v>18</v>
      </c>
      <c r="F4549" t="s">
        <v>33</v>
      </c>
      <c r="G4549" t="s">
        <v>27</v>
      </c>
      <c r="H4549" s="1">
        <v>140.11000000000001</v>
      </c>
      <c r="I4549" t="s">
        <v>24</v>
      </c>
      <c r="J4549">
        <v>2</v>
      </c>
      <c r="K4549">
        <v>7</v>
      </c>
    </row>
    <row r="4550" spans="1:11" x14ac:dyDescent="0.35">
      <c r="A4550" t="s">
        <v>4587</v>
      </c>
      <c r="B4550">
        <v>75</v>
      </c>
      <c r="C4550" t="s">
        <v>18</v>
      </c>
      <c r="D4550" t="s">
        <v>19</v>
      </c>
      <c r="E4550">
        <v>13</v>
      </c>
      <c r="F4550" t="s">
        <v>26</v>
      </c>
      <c r="G4550" t="s">
        <v>27</v>
      </c>
      <c r="H4550" s="1">
        <v>52.22</v>
      </c>
      <c r="I4550" t="s">
        <v>24</v>
      </c>
      <c r="J4550">
        <v>0</v>
      </c>
      <c r="K4550">
        <v>7</v>
      </c>
    </row>
    <row r="4551" spans="1:11" x14ac:dyDescent="0.35">
      <c r="A4551" t="s">
        <v>4588</v>
      </c>
      <c r="B4551">
        <v>85</v>
      </c>
      <c r="C4551" t="s">
        <v>18</v>
      </c>
      <c r="D4551" t="s">
        <v>21</v>
      </c>
      <c r="E4551">
        <v>19</v>
      </c>
      <c r="F4551" t="s">
        <v>26</v>
      </c>
      <c r="G4551" t="s">
        <v>15</v>
      </c>
      <c r="H4551" s="1">
        <v>145.30000000000001</v>
      </c>
      <c r="I4551" t="s">
        <v>24</v>
      </c>
      <c r="J4551">
        <v>0</v>
      </c>
      <c r="K4551">
        <v>2</v>
      </c>
    </row>
    <row r="4552" spans="1:11" x14ac:dyDescent="0.35">
      <c r="A4552" t="s">
        <v>4589</v>
      </c>
      <c r="B4552">
        <v>27</v>
      </c>
      <c r="C4552" t="s">
        <v>18</v>
      </c>
      <c r="D4552" t="s">
        <v>21</v>
      </c>
      <c r="E4552">
        <v>19</v>
      </c>
      <c r="F4552" t="s">
        <v>22</v>
      </c>
      <c r="G4552" t="s">
        <v>15</v>
      </c>
      <c r="H4552" s="1">
        <v>263.77</v>
      </c>
      <c r="I4552" t="s">
        <v>24</v>
      </c>
      <c r="J4552">
        <v>0</v>
      </c>
      <c r="K4552">
        <v>3</v>
      </c>
    </row>
    <row r="4553" spans="1:11" x14ac:dyDescent="0.35">
      <c r="A4553" t="s">
        <v>4590</v>
      </c>
      <c r="B4553">
        <v>70</v>
      </c>
      <c r="C4553" t="s">
        <v>12</v>
      </c>
      <c r="D4553" t="s">
        <v>47</v>
      </c>
      <c r="E4553">
        <v>7</v>
      </c>
      <c r="F4553" t="s">
        <v>33</v>
      </c>
      <c r="G4553" t="s">
        <v>34</v>
      </c>
      <c r="H4553" s="1">
        <v>107.52</v>
      </c>
      <c r="I4553" t="s">
        <v>24</v>
      </c>
      <c r="J4553">
        <v>2</v>
      </c>
      <c r="K4553">
        <v>7</v>
      </c>
    </row>
    <row r="4554" spans="1:11" x14ac:dyDescent="0.35">
      <c r="A4554" t="s">
        <v>4591</v>
      </c>
      <c r="B4554">
        <v>79</v>
      </c>
      <c r="C4554" t="s">
        <v>12</v>
      </c>
      <c r="D4554" t="s">
        <v>19</v>
      </c>
      <c r="E4554">
        <v>6</v>
      </c>
      <c r="F4554" t="s">
        <v>22</v>
      </c>
      <c r="G4554" t="s">
        <v>34</v>
      </c>
      <c r="H4554" s="1">
        <v>142.49</v>
      </c>
      <c r="I4554" t="s">
        <v>24</v>
      </c>
      <c r="J4554">
        <v>2</v>
      </c>
      <c r="K4554">
        <v>7</v>
      </c>
    </row>
    <row r="4555" spans="1:11" x14ac:dyDescent="0.35">
      <c r="A4555" t="s">
        <v>4592</v>
      </c>
      <c r="B4555">
        <v>20</v>
      </c>
      <c r="C4555" t="s">
        <v>18</v>
      </c>
      <c r="D4555" t="s">
        <v>19</v>
      </c>
      <c r="E4555">
        <v>6</v>
      </c>
      <c r="F4555" t="s">
        <v>14</v>
      </c>
      <c r="G4555" t="s">
        <v>37</v>
      </c>
      <c r="H4555" s="1">
        <v>0</v>
      </c>
      <c r="I4555" t="s">
        <v>16</v>
      </c>
      <c r="J4555">
        <v>1</v>
      </c>
      <c r="K4555">
        <v>8</v>
      </c>
    </row>
    <row r="4556" spans="1:11" x14ac:dyDescent="0.35">
      <c r="A4556" t="s">
        <v>4593</v>
      </c>
      <c r="B4556">
        <v>45</v>
      </c>
      <c r="C4556" t="s">
        <v>12</v>
      </c>
      <c r="D4556" t="s">
        <v>21</v>
      </c>
      <c r="E4556">
        <v>39</v>
      </c>
      <c r="F4556" t="s">
        <v>22</v>
      </c>
      <c r="G4556" t="s">
        <v>15</v>
      </c>
      <c r="H4556" s="1">
        <v>214.55</v>
      </c>
      <c r="I4556" t="s">
        <v>24</v>
      </c>
      <c r="J4556">
        <v>3</v>
      </c>
      <c r="K4556">
        <v>2</v>
      </c>
    </row>
    <row r="4557" spans="1:11" x14ac:dyDescent="0.35">
      <c r="A4557" t="s">
        <v>4594</v>
      </c>
      <c r="B4557">
        <v>30</v>
      </c>
      <c r="C4557" t="s">
        <v>12</v>
      </c>
      <c r="D4557" t="s">
        <v>21</v>
      </c>
      <c r="E4557">
        <v>27</v>
      </c>
      <c r="F4557" t="s">
        <v>33</v>
      </c>
      <c r="G4557" t="s">
        <v>37</v>
      </c>
      <c r="H4557" s="1">
        <v>128.02000000000001</v>
      </c>
      <c r="I4557" t="s">
        <v>24</v>
      </c>
      <c r="J4557">
        <v>1</v>
      </c>
      <c r="K4557">
        <v>2</v>
      </c>
    </row>
    <row r="4558" spans="1:11" x14ac:dyDescent="0.35">
      <c r="A4558" t="s">
        <v>4595</v>
      </c>
      <c r="B4558">
        <v>28</v>
      </c>
      <c r="C4558" t="s">
        <v>18</v>
      </c>
      <c r="D4558" t="s">
        <v>19</v>
      </c>
      <c r="E4558">
        <v>18</v>
      </c>
      <c r="F4558" t="s">
        <v>22</v>
      </c>
      <c r="G4558" t="s">
        <v>34</v>
      </c>
      <c r="H4558" s="1">
        <v>219.05</v>
      </c>
      <c r="I4558" t="s">
        <v>28</v>
      </c>
      <c r="J4558">
        <v>3</v>
      </c>
      <c r="K4558">
        <v>8</v>
      </c>
    </row>
    <row r="4559" spans="1:11" x14ac:dyDescent="0.35">
      <c r="A4559" t="s">
        <v>4596</v>
      </c>
      <c r="B4559">
        <v>59</v>
      </c>
      <c r="C4559" t="s">
        <v>18</v>
      </c>
      <c r="D4559" t="s">
        <v>30</v>
      </c>
      <c r="E4559">
        <v>12</v>
      </c>
      <c r="F4559" t="s">
        <v>31</v>
      </c>
      <c r="G4559" t="s">
        <v>37</v>
      </c>
      <c r="H4559" s="1">
        <v>168.4</v>
      </c>
      <c r="I4559" t="s">
        <v>24</v>
      </c>
      <c r="J4559">
        <v>3</v>
      </c>
      <c r="K4559">
        <v>7</v>
      </c>
    </row>
    <row r="4560" spans="1:11" x14ac:dyDescent="0.35">
      <c r="A4560" t="s">
        <v>4597</v>
      </c>
      <c r="B4560">
        <v>35</v>
      </c>
      <c r="C4560" t="s">
        <v>18</v>
      </c>
      <c r="D4560" t="s">
        <v>21</v>
      </c>
      <c r="E4560">
        <v>44</v>
      </c>
      <c r="F4560" t="s">
        <v>14</v>
      </c>
      <c r="G4560" t="s">
        <v>37</v>
      </c>
      <c r="H4560" s="1">
        <v>0</v>
      </c>
      <c r="I4560" t="s">
        <v>16</v>
      </c>
      <c r="J4560">
        <v>3</v>
      </c>
      <c r="K4560">
        <v>4</v>
      </c>
    </row>
    <row r="4561" spans="1:11" x14ac:dyDescent="0.35">
      <c r="A4561" t="s">
        <v>4598</v>
      </c>
      <c r="B4561">
        <v>53</v>
      </c>
      <c r="C4561" t="s">
        <v>18</v>
      </c>
      <c r="D4561" t="s">
        <v>19</v>
      </c>
      <c r="E4561">
        <v>21</v>
      </c>
      <c r="F4561" t="s">
        <v>33</v>
      </c>
      <c r="G4561" t="s">
        <v>27</v>
      </c>
      <c r="H4561" s="1">
        <v>150.12</v>
      </c>
      <c r="I4561" t="s">
        <v>43</v>
      </c>
      <c r="J4561">
        <v>1</v>
      </c>
      <c r="K4561">
        <v>3</v>
      </c>
    </row>
    <row r="4562" spans="1:11" x14ac:dyDescent="0.35">
      <c r="A4562" t="s">
        <v>4599</v>
      </c>
      <c r="B4562">
        <v>20</v>
      </c>
      <c r="C4562" t="s">
        <v>18</v>
      </c>
      <c r="D4562" t="s">
        <v>21</v>
      </c>
      <c r="E4562">
        <v>19</v>
      </c>
      <c r="F4562" t="s">
        <v>22</v>
      </c>
      <c r="G4562" t="s">
        <v>37</v>
      </c>
      <c r="H4562" s="1">
        <v>162.22</v>
      </c>
      <c r="I4562" t="s">
        <v>24</v>
      </c>
      <c r="J4562">
        <v>4</v>
      </c>
      <c r="K4562">
        <v>3</v>
      </c>
    </row>
    <row r="4563" spans="1:11" x14ac:dyDescent="0.35">
      <c r="A4563" t="s">
        <v>4600</v>
      </c>
      <c r="B4563">
        <v>25</v>
      </c>
      <c r="C4563" t="s">
        <v>12</v>
      </c>
      <c r="D4563" t="s">
        <v>21</v>
      </c>
      <c r="E4563">
        <v>21</v>
      </c>
      <c r="F4563" t="s">
        <v>33</v>
      </c>
      <c r="G4563" t="s">
        <v>15</v>
      </c>
      <c r="H4563" s="1">
        <v>414.5</v>
      </c>
      <c r="I4563" t="s">
        <v>28</v>
      </c>
      <c r="J4563">
        <v>1</v>
      </c>
      <c r="K4563">
        <v>4</v>
      </c>
    </row>
    <row r="4564" spans="1:11" x14ac:dyDescent="0.35">
      <c r="A4564" t="s">
        <v>4601</v>
      </c>
      <c r="B4564">
        <v>44</v>
      </c>
      <c r="C4564" t="s">
        <v>12</v>
      </c>
      <c r="D4564" t="s">
        <v>21</v>
      </c>
      <c r="E4564">
        <v>19</v>
      </c>
      <c r="F4564" t="s">
        <v>22</v>
      </c>
      <c r="G4564" t="s">
        <v>27</v>
      </c>
      <c r="H4564" s="1">
        <v>141.63999999999999</v>
      </c>
      <c r="I4564" t="s">
        <v>24</v>
      </c>
      <c r="J4564">
        <v>0</v>
      </c>
      <c r="K4564">
        <v>5</v>
      </c>
    </row>
    <row r="4565" spans="1:11" x14ac:dyDescent="0.35">
      <c r="A4565" t="s">
        <v>4602</v>
      </c>
      <c r="B4565">
        <v>46</v>
      </c>
      <c r="C4565" t="s">
        <v>18</v>
      </c>
      <c r="D4565" t="s">
        <v>47</v>
      </c>
      <c r="E4565">
        <v>3</v>
      </c>
      <c r="F4565" t="s">
        <v>26</v>
      </c>
      <c r="G4565" t="s">
        <v>27</v>
      </c>
      <c r="H4565" s="1">
        <v>93.24</v>
      </c>
      <c r="I4565" t="s">
        <v>24</v>
      </c>
      <c r="J4565">
        <v>1</v>
      </c>
      <c r="K4565">
        <v>9</v>
      </c>
    </row>
    <row r="4566" spans="1:11" x14ac:dyDescent="0.35">
      <c r="A4566" t="s">
        <v>4603</v>
      </c>
      <c r="B4566">
        <v>41</v>
      </c>
      <c r="C4566" t="s">
        <v>12</v>
      </c>
      <c r="D4566" t="s">
        <v>21</v>
      </c>
      <c r="E4566">
        <v>47</v>
      </c>
      <c r="F4566" t="s">
        <v>33</v>
      </c>
      <c r="G4566" t="s">
        <v>34</v>
      </c>
      <c r="H4566" s="1">
        <v>111.45</v>
      </c>
      <c r="I4566" t="s">
        <v>43</v>
      </c>
      <c r="J4566">
        <v>2</v>
      </c>
      <c r="K4566">
        <v>3</v>
      </c>
    </row>
    <row r="4567" spans="1:11" x14ac:dyDescent="0.35">
      <c r="A4567" t="s">
        <v>4604</v>
      </c>
      <c r="B4567">
        <v>81</v>
      </c>
      <c r="C4567" t="s">
        <v>18</v>
      </c>
      <c r="D4567" t="s">
        <v>21</v>
      </c>
      <c r="E4567">
        <v>26</v>
      </c>
      <c r="F4567" t="s">
        <v>22</v>
      </c>
      <c r="G4567" t="s">
        <v>15</v>
      </c>
      <c r="H4567" s="1">
        <v>219.81</v>
      </c>
      <c r="I4567" t="s">
        <v>28</v>
      </c>
      <c r="J4567">
        <v>1</v>
      </c>
      <c r="K4567">
        <v>2</v>
      </c>
    </row>
    <row r="4568" spans="1:11" x14ac:dyDescent="0.35">
      <c r="A4568" t="s">
        <v>4605</v>
      </c>
      <c r="B4568">
        <v>56</v>
      </c>
      <c r="C4568" t="s">
        <v>12</v>
      </c>
      <c r="D4568" t="s">
        <v>21</v>
      </c>
      <c r="E4568">
        <v>19</v>
      </c>
      <c r="F4568" t="s">
        <v>22</v>
      </c>
      <c r="G4568" t="s">
        <v>15</v>
      </c>
      <c r="H4568" s="1">
        <v>431.36</v>
      </c>
      <c r="I4568" t="s">
        <v>24</v>
      </c>
      <c r="J4568">
        <v>0</v>
      </c>
      <c r="K4568">
        <v>4</v>
      </c>
    </row>
    <row r="4569" spans="1:11" x14ac:dyDescent="0.35">
      <c r="A4569" t="s">
        <v>4606</v>
      </c>
      <c r="B4569">
        <v>73</v>
      </c>
      <c r="C4569" t="s">
        <v>12</v>
      </c>
      <c r="D4569" t="s">
        <v>41</v>
      </c>
      <c r="E4569">
        <v>2</v>
      </c>
      <c r="F4569" t="s">
        <v>33</v>
      </c>
      <c r="G4569" t="s">
        <v>34</v>
      </c>
      <c r="H4569" s="1">
        <v>184.05</v>
      </c>
      <c r="I4569" t="s">
        <v>24</v>
      </c>
      <c r="J4569">
        <v>2</v>
      </c>
      <c r="K4569">
        <v>10</v>
      </c>
    </row>
    <row r="4570" spans="1:11" x14ac:dyDescent="0.35">
      <c r="A4570" t="s">
        <v>4607</v>
      </c>
      <c r="B4570">
        <v>61</v>
      </c>
      <c r="C4570" t="s">
        <v>18</v>
      </c>
      <c r="D4570" t="s">
        <v>13</v>
      </c>
      <c r="E4570">
        <v>9</v>
      </c>
      <c r="F4570" t="s">
        <v>33</v>
      </c>
      <c r="G4570" t="s">
        <v>23</v>
      </c>
      <c r="H4570" s="1">
        <v>82.39</v>
      </c>
      <c r="I4570" t="s">
        <v>24</v>
      </c>
      <c r="J4570">
        <v>0</v>
      </c>
      <c r="K4570">
        <v>6</v>
      </c>
    </row>
    <row r="4571" spans="1:11" x14ac:dyDescent="0.35">
      <c r="A4571" t="s">
        <v>4608</v>
      </c>
      <c r="B4571">
        <v>28</v>
      </c>
      <c r="C4571" t="s">
        <v>12</v>
      </c>
      <c r="D4571" t="s">
        <v>30</v>
      </c>
      <c r="E4571">
        <v>7</v>
      </c>
      <c r="F4571" t="s">
        <v>26</v>
      </c>
      <c r="G4571" t="s">
        <v>15</v>
      </c>
      <c r="H4571" s="1">
        <v>421.75</v>
      </c>
      <c r="I4571" t="s">
        <v>24</v>
      </c>
      <c r="J4571">
        <v>0</v>
      </c>
      <c r="K4571">
        <v>7</v>
      </c>
    </row>
    <row r="4572" spans="1:11" x14ac:dyDescent="0.35">
      <c r="A4572" t="s">
        <v>4609</v>
      </c>
      <c r="B4572">
        <v>21</v>
      </c>
      <c r="C4572" t="s">
        <v>18</v>
      </c>
      <c r="D4572" t="s">
        <v>13</v>
      </c>
      <c r="E4572">
        <v>10</v>
      </c>
      <c r="F4572" t="s">
        <v>26</v>
      </c>
      <c r="G4572" t="s">
        <v>37</v>
      </c>
      <c r="H4572" s="1">
        <v>91.07</v>
      </c>
      <c r="I4572" t="s">
        <v>24</v>
      </c>
      <c r="J4572">
        <v>2</v>
      </c>
      <c r="K4572">
        <v>7</v>
      </c>
    </row>
    <row r="4573" spans="1:11" x14ac:dyDescent="0.35">
      <c r="A4573" t="s">
        <v>4610</v>
      </c>
      <c r="B4573">
        <v>24</v>
      </c>
      <c r="C4573" t="s">
        <v>12</v>
      </c>
      <c r="D4573" t="s">
        <v>30</v>
      </c>
      <c r="E4573">
        <v>7</v>
      </c>
      <c r="F4573" t="s">
        <v>14</v>
      </c>
      <c r="G4573" t="s">
        <v>27</v>
      </c>
      <c r="H4573" s="1">
        <v>0</v>
      </c>
      <c r="I4573" t="s">
        <v>16</v>
      </c>
      <c r="J4573">
        <v>0</v>
      </c>
      <c r="K4573">
        <v>7</v>
      </c>
    </row>
    <row r="4574" spans="1:11" x14ac:dyDescent="0.35">
      <c r="A4574" t="s">
        <v>4611</v>
      </c>
      <c r="B4574">
        <v>84</v>
      </c>
      <c r="C4574" t="s">
        <v>12</v>
      </c>
      <c r="D4574" t="s">
        <v>21</v>
      </c>
      <c r="E4574">
        <v>26</v>
      </c>
      <c r="F4574" t="s">
        <v>14</v>
      </c>
      <c r="G4574" t="s">
        <v>27</v>
      </c>
      <c r="H4574" s="1">
        <v>0</v>
      </c>
      <c r="I4574" t="s">
        <v>16</v>
      </c>
      <c r="J4574">
        <v>4</v>
      </c>
      <c r="K4574">
        <v>2</v>
      </c>
    </row>
    <row r="4575" spans="1:11" x14ac:dyDescent="0.35">
      <c r="A4575" t="s">
        <v>4612</v>
      </c>
      <c r="B4575">
        <v>24</v>
      </c>
      <c r="C4575" t="s">
        <v>12</v>
      </c>
      <c r="D4575" t="s">
        <v>19</v>
      </c>
      <c r="E4575">
        <v>17</v>
      </c>
      <c r="F4575" t="s">
        <v>22</v>
      </c>
      <c r="G4575" t="s">
        <v>34</v>
      </c>
      <c r="H4575" s="1">
        <v>145.02000000000001</v>
      </c>
      <c r="I4575" t="s">
        <v>24</v>
      </c>
      <c r="J4575">
        <v>0</v>
      </c>
      <c r="K4575">
        <v>5</v>
      </c>
    </row>
    <row r="4576" spans="1:11" x14ac:dyDescent="0.35">
      <c r="A4576" t="s">
        <v>4613</v>
      </c>
      <c r="B4576">
        <v>57</v>
      </c>
      <c r="C4576" t="s">
        <v>18</v>
      </c>
      <c r="D4576" t="s">
        <v>30</v>
      </c>
      <c r="E4576">
        <v>12</v>
      </c>
      <c r="F4576" t="s">
        <v>22</v>
      </c>
      <c r="G4576" t="s">
        <v>23</v>
      </c>
      <c r="H4576" s="1">
        <v>286.92</v>
      </c>
      <c r="I4576" t="s">
        <v>24</v>
      </c>
      <c r="J4576">
        <v>2</v>
      </c>
      <c r="K4576">
        <v>6</v>
      </c>
    </row>
    <row r="4577" spans="1:11" x14ac:dyDescent="0.35">
      <c r="A4577" t="s">
        <v>4614</v>
      </c>
      <c r="B4577">
        <v>34</v>
      </c>
      <c r="C4577" t="s">
        <v>18</v>
      </c>
      <c r="D4577" t="s">
        <v>19</v>
      </c>
      <c r="E4577">
        <v>10</v>
      </c>
      <c r="F4577" t="s">
        <v>22</v>
      </c>
      <c r="G4577" t="s">
        <v>15</v>
      </c>
      <c r="H4577" s="1">
        <v>132.80000000000001</v>
      </c>
      <c r="I4577" t="s">
        <v>28</v>
      </c>
      <c r="J4577">
        <v>0</v>
      </c>
      <c r="K4577">
        <v>7</v>
      </c>
    </row>
    <row r="4578" spans="1:11" x14ac:dyDescent="0.35">
      <c r="A4578" t="s">
        <v>4615</v>
      </c>
      <c r="B4578">
        <v>67</v>
      </c>
      <c r="C4578" t="s">
        <v>12</v>
      </c>
      <c r="D4578" t="s">
        <v>21</v>
      </c>
      <c r="E4578">
        <v>46</v>
      </c>
      <c r="F4578" t="s">
        <v>33</v>
      </c>
      <c r="G4578" t="s">
        <v>37</v>
      </c>
      <c r="H4578" s="1">
        <v>192.55</v>
      </c>
      <c r="I4578" t="s">
        <v>24</v>
      </c>
      <c r="J4578">
        <v>3</v>
      </c>
      <c r="K4578">
        <v>3</v>
      </c>
    </row>
    <row r="4579" spans="1:11" x14ac:dyDescent="0.35">
      <c r="A4579" t="s">
        <v>4616</v>
      </c>
      <c r="B4579">
        <v>74</v>
      </c>
      <c r="C4579" t="s">
        <v>12</v>
      </c>
      <c r="D4579" t="s">
        <v>30</v>
      </c>
      <c r="E4579">
        <v>4</v>
      </c>
      <c r="F4579" t="s">
        <v>31</v>
      </c>
      <c r="G4579" t="s">
        <v>37</v>
      </c>
      <c r="H4579" s="1">
        <v>147.74</v>
      </c>
      <c r="I4579" t="s">
        <v>24</v>
      </c>
      <c r="J4579">
        <v>0</v>
      </c>
      <c r="K4579">
        <v>8</v>
      </c>
    </row>
    <row r="4580" spans="1:11" x14ac:dyDescent="0.35">
      <c r="A4580" t="s">
        <v>4617</v>
      </c>
      <c r="B4580">
        <v>80</v>
      </c>
      <c r="C4580" t="s">
        <v>18</v>
      </c>
      <c r="D4580" t="s">
        <v>30</v>
      </c>
      <c r="E4580">
        <v>2</v>
      </c>
      <c r="F4580" t="s">
        <v>31</v>
      </c>
      <c r="G4580" t="s">
        <v>23</v>
      </c>
      <c r="H4580" s="1">
        <v>366.22</v>
      </c>
      <c r="I4580" t="s">
        <v>24</v>
      </c>
      <c r="J4580">
        <v>1</v>
      </c>
      <c r="K4580">
        <v>9</v>
      </c>
    </row>
    <row r="4581" spans="1:11" x14ac:dyDescent="0.35">
      <c r="A4581" t="s">
        <v>4618</v>
      </c>
      <c r="B4581">
        <v>80</v>
      </c>
      <c r="C4581" t="s">
        <v>12</v>
      </c>
      <c r="D4581" t="s">
        <v>19</v>
      </c>
      <c r="E4581">
        <v>7</v>
      </c>
      <c r="F4581" t="s">
        <v>31</v>
      </c>
      <c r="G4581" t="s">
        <v>15</v>
      </c>
      <c r="H4581" s="1">
        <v>129.94</v>
      </c>
      <c r="I4581" t="s">
        <v>24</v>
      </c>
      <c r="J4581">
        <v>0</v>
      </c>
      <c r="K4581">
        <v>9</v>
      </c>
    </row>
    <row r="4582" spans="1:11" x14ac:dyDescent="0.35">
      <c r="A4582" t="s">
        <v>4619</v>
      </c>
      <c r="B4582">
        <v>55</v>
      </c>
      <c r="C4582" t="s">
        <v>12</v>
      </c>
      <c r="D4582" t="s">
        <v>21</v>
      </c>
      <c r="E4582">
        <v>30</v>
      </c>
      <c r="F4582" t="s">
        <v>22</v>
      </c>
      <c r="G4582" t="s">
        <v>23</v>
      </c>
      <c r="H4582" s="1">
        <v>321.33</v>
      </c>
      <c r="I4582" t="s">
        <v>24</v>
      </c>
      <c r="J4582">
        <v>3</v>
      </c>
      <c r="K4582">
        <v>4</v>
      </c>
    </row>
    <row r="4583" spans="1:11" x14ac:dyDescent="0.35">
      <c r="A4583" t="s">
        <v>4620</v>
      </c>
      <c r="B4583">
        <v>35</v>
      </c>
      <c r="C4583" t="s">
        <v>12</v>
      </c>
      <c r="D4583" t="s">
        <v>19</v>
      </c>
      <c r="E4583">
        <v>12</v>
      </c>
      <c r="F4583" t="s">
        <v>33</v>
      </c>
      <c r="G4583" t="s">
        <v>37</v>
      </c>
      <c r="H4583" s="1">
        <v>123.85</v>
      </c>
      <c r="I4583" t="s">
        <v>24</v>
      </c>
      <c r="J4583">
        <v>0</v>
      </c>
      <c r="K4583">
        <v>4</v>
      </c>
    </row>
    <row r="4584" spans="1:11" x14ac:dyDescent="0.35">
      <c r="A4584" t="s">
        <v>4621</v>
      </c>
      <c r="B4584">
        <v>75</v>
      </c>
      <c r="C4584" t="s">
        <v>12</v>
      </c>
      <c r="D4584" t="s">
        <v>47</v>
      </c>
      <c r="E4584">
        <v>4</v>
      </c>
      <c r="F4584" t="s">
        <v>33</v>
      </c>
      <c r="G4584" t="s">
        <v>23</v>
      </c>
      <c r="H4584" s="1">
        <v>447.6</v>
      </c>
      <c r="I4584" t="s">
        <v>24</v>
      </c>
      <c r="J4584">
        <v>0</v>
      </c>
      <c r="K4584">
        <v>10</v>
      </c>
    </row>
    <row r="4585" spans="1:11" x14ac:dyDescent="0.35">
      <c r="A4585" t="s">
        <v>4622</v>
      </c>
      <c r="B4585">
        <v>61</v>
      </c>
      <c r="C4585" t="s">
        <v>18</v>
      </c>
      <c r="D4585" t="s">
        <v>19</v>
      </c>
      <c r="E4585">
        <v>21</v>
      </c>
      <c r="F4585" t="s">
        <v>22</v>
      </c>
      <c r="G4585" t="s">
        <v>23</v>
      </c>
      <c r="H4585" s="1">
        <v>201.36</v>
      </c>
      <c r="I4585" t="s">
        <v>24</v>
      </c>
      <c r="J4585">
        <v>1</v>
      </c>
      <c r="K4585">
        <v>2</v>
      </c>
    </row>
    <row r="4586" spans="1:11" x14ac:dyDescent="0.35">
      <c r="A4586" t="s">
        <v>4623</v>
      </c>
      <c r="B4586">
        <v>38</v>
      </c>
      <c r="C4586" t="s">
        <v>12</v>
      </c>
      <c r="D4586" t="s">
        <v>21</v>
      </c>
      <c r="E4586">
        <v>14</v>
      </c>
      <c r="F4586" t="s">
        <v>26</v>
      </c>
      <c r="G4586" t="s">
        <v>34</v>
      </c>
      <c r="H4586" s="1">
        <v>215.54</v>
      </c>
      <c r="I4586" t="s">
        <v>28</v>
      </c>
      <c r="J4586">
        <v>1</v>
      </c>
      <c r="K4586">
        <v>8</v>
      </c>
    </row>
    <row r="4587" spans="1:11" x14ac:dyDescent="0.35">
      <c r="A4587" t="s">
        <v>4624</v>
      </c>
      <c r="B4587">
        <v>42</v>
      </c>
      <c r="C4587" t="s">
        <v>12</v>
      </c>
      <c r="D4587" t="s">
        <v>19</v>
      </c>
      <c r="E4587">
        <v>18</v>
      </c>
      <c r="F4587" t="s">
        <v>33</v>
      </c>
      <c r="G4587" t="s">
        <v>27</v>
      </c>
      <c r="H4587" s="1">
        <v>16.010000000000002</v>
      </c>
      <c r="I4587" t="s">
        <v>24</v>
      </c>
      <c r="J4587">
        <v>0</v>
      </c>
      <c r="K4587">
        <v>7</v>
      </c>
    </row>
    <row r="4588" spans="1:11" x14ac:dyDescent="0.35">
      <c r="A4588" t="s">
        <v>4625</v>
      </c>
      <c r="B4588">
        <v>35</v>
      </c>
      <c r="C4588" t="s">
        <v>18</v>
      </c>
      <c r="D4588" t="s">
        <v>21</v>
      </c>
      <c r="E4588">
        <v>13</v>
      </c>
      <c r="F4588" t="s">
        <v>22</v>
      </c>
      <c r="G4588" t="s">
        <v>34</v>
      </c>
      <c r="H4588" s="1">
        <v>210.27</v>
      </c>
      <c r="I4588" t="s">
        <v>24</v>
      </c>
      <c r="J4588">
        <v>0</v>
      </c>
      <c r="K4588">
        <v>4</v>
      </c>
    </row>
    <row r="4589" spans="1:11" x14ac:dyDescent="0.35">
      <c r="A4589" t="s">
        <v>4626</v>
      </c>
      <c r="B4589">
        <v>32</v>
      </c>
      <c r="C4589" t="s">
        <v>12</v>
      </c>
      <c r="D4589" t="s">
        <v>30</v>
      </c>
      <c r="E4589">
        <v>12</v>
      </c>
      <c r="F4589" t="s">
        <v>31</v>
      </c>
      <c r="G4589" t="s">
        <v>23</v>
      </c>
      <c r="H4589" s="1">
        <v>268.87</v>
      </c>
      <c r="I4589" t="s">
        <v>24</v>
      </c>
      <c r="J4589">
        <v>1</v>
      </c>
      <c r="K4589">
        <v>5</v>
      </c>
    </row>
    <row r="4590" spans="1:11" x14ac:dyDescent="0.35">
      <c r="A4590" t="s">
        <v>4627</v>
      </c>
      <c r="B4590">
        <v>43</v>
      </c>
      <c r="C4590" t="s">
        <v>18</v>
      </c>
      <c r="D4590" t="s">
        <v>13</v>
      </c>
      <c r="E4590">
        <v>16</v>
      </c>
      <c r="F4590" t="s">
        <v>31</v>
      </c>
      <c r="G4590" t="s">
        <v>27</v>
      </c>
      <c r="H4590" s="1">
        <v>136.46</v>
      </c>
      <c r="I4590" t="s">
        <v>28</v>
      </c>
      <c r="J4590">
        <v>1</v>
      </c>
      <c r="K4590">
        <v>6</v>
      </c>
    </row>
    <row r="4591" spans="1:11" x14ac:dyDescent="0.35">
      <c r="A4591" t="s">
        <v>4628</v>
      </c>
      <c r="B4591">
        <v>76</v>
      </c>
      <c r="C4591" t="s">
        <v>12</v>
      </c>
      <c r="D4591" t="s">
        <v>57</v>
      </c>
      <c r="E4591">
        <v>35</v>
      </c>
      <c r="F4591" t="s">
        <v>31</v>
      </c>
      <c r="G4591" t="s">
        <v>37</v>
      </c>
      <c r="H4591" s="1">
        <v>127.64</v>
      </c>
      <c r="I4591" t="s">
        <v>28</v>
      </c>
      <c r="J4591">
        <v>2</v>
      </c>
      <c r="K4591">
        <v>2</v>
      </c>
    </row>
    <row r="4592" spans="1:11" x14ac:dyDescent="0.35">
      <c r="A4592" t="s">
        <v>4629</v>
      </c>
      <c r="B4592">
        <v>37</v>
      </c>
      <c r="C4592" t="s">
        <v>18</v>
      </c>
      <c r="D4592" t="s">
        <v>21</v>
      </c>
      <c r="E4592">
        <v>39</v>
      </c>
      <c r="F4592" t="s">
        <v>26</v>
      </c>
      <c r="G4592" t="s">
        <v>15</v>
      </c>
      <c r="H4592" s="1">
        <v>326.57</v>
      </c>
      <c r="I4592" t="s">
        <v>24</v>
      </c>
      <c r="J4592">
        <v>2</v>
      </c>
      <c r="K4592">
        <v>1</v>
      </c>
    </row>
    <row r="4593" spans="1:11" x14ac:dyDescent="0.35">
      <c r="A4593" t="s">
        <v>4630</v>
      </c>
      <c r="B4593">
        <v>30</v>
      </c>
      <c r="C4593" t="s">
        <v>18</v>
      </c>
      <c r="D4593" t="s">
        <v>21</v>
      </c>
      <c r="E4593">
        <v>22</v>
      </c>
      <c r="F4593" t="s">
        <v>33</v>
      </c>
      <c r="G4593" t="s">
        <v>34</v>
      </c>
      <c r="H4593" s="1">
        <v>131.94999999999999</v>
      </c>
      <c r="I4593" t="s">
        <v>24</v>
      </c>
      <c r="J4593">
        <v>2</v>
      </c>
      <c r="K4593">
        <v>4</v>
      </c>
    </row>
    <row r="4594" spans="1:11" x14ac:dyDescent="0.35">
      <c r="A4594" t="s">
        <v>4631</v>
      </c>
      <c r="B4594">
        <v>84</v>
      </c>
      <c r="C4594" t="s">
        <v>12</v>
      </c>
      <c r="D4594" t="s">
        <v>30</v>
      </c>
      <c r="E4594">
        <v>6</v>
      </c>
      <c r="F4594" t="s">
        <v>33</v>
      </c>
      <c r="G4594" t="s">
        <v>37</v>
      </c>
      <c r="H4594" s="1">
        <v>195.47</v>
      </c>
      <c r="I4594" t="s">
        <v>24</v>
      </c>
      <c r="J4594">
        <v>0</v>
      </c>
      <c r="K4594">
        <v>10</v>
      </c>
    </row>
    <row r="4595" spans="1:11" x14ac:dyDescent="0.35">
      <c r="A4595" t="s">
        <v>4632</v>
      </c>
      <c r="B4595">
        <v>35</v>
      </c>
      <c r="C4595" t="s">
        <v>18</v>
      </c>
      <c r="D4595" t="s">
        <v>30</v>
      </c>
      <c r="E4595">
        <v>4</v>
      </c>
      <c r="F4595" t="s">
        <v>31</v>
      </c>
      <c r="G4595" t="s">
        <v>15</v>
      </c>
      <c r="H4595" s="1">
        <v>199.53</v>
      </c>
      <c r="I4595" t="s">
        <v>28</v>
      </c>
      <c r="J4595">
        <v>0</v>
      </c>
      <c r="K4595">
        <v>8</v>
      </c>
    </row>
    <row r="4596" spans="1:11" x14ac:dyDescent="0.35">
      <c r="A4596" t="s">
        <v>4633</v>
      </c>
      <c r="B4596">
        <v>50</v>
      </c>
      <c r="C4596" t="s">
        <v>18</v>
      </c>
      <c r="D4596" t="s">
        <v>19</v>
      </c>
      <c r="E4596">
        <v>10</v>
      </c>
      <c r="F4596" t="s">
        <v>33</v>
      </c>
      <c r="G4596" t="s">
        <v>27</v>
      </c>
      <c r="H4596" s="1">
        <v>27.29</v>
      </c>
      <c r="I4596" t="s">
        <v>24</v>
      </c>
      <c r="J4596">
        <v>1</v>
      </c>
      <c r="K4596">
        <v>6</v>
      </c>
    </row>
    <row r="4597" spans="1:11" x14ac:dyDescent="0.35">
      <c r="A4597" t="s">
        <v>4634</v>
      </c>
      <c r="B4597">
        <v>37</v>
      </c>
      <c r="C4597" t="s">
        <v>12</v>
      </c>
      <c r="D4597" t="s">
        <v>21</v>
      </c>
      <c r="E4597">
        <v>34</v>
      </c>
      <c r="F4597" t="s">
        <v>33</v>
      </c>
      <c r="G4597" t="s">
        <v>23</v>
      </c>
      <c r="H4597" s="1">
        <v>356.27</v>
      </c>
      <c r="I4597" t="s">
        <v>24</v>
      </c>
      <c r="J4597">
        <v>1</v>
      </c>
      <c r="K4597">
        <v>2</v>
      </c>
    </row>
    <row r="4598" spans="1:11" x14ac:dyDescent="0.35">
      <c r="A4598" t="s">
        <v>4635</v>
      </c>
      <c r="B4598">
        <v>23</v>
      </c>
      <c r="C4598" t="s">
        <v>18</v>
      </c>
      <c r="D4598" t="s">
        <v>19</v>
      </c>
      <c r="E4598">
        <v>18</v>
      </c>
      <c r="F4598" t="s">
        <v>31</v>
      </c>
      <c r="G4598" t="s">
        <v>23</v>
      </c>
      <c r="H4598" s="1">
        <v>476.07</v>
      </c>
      <c r="I4598" t="s">
        <v>24</v>
      </c>
      <c r="J4598">
        <v>0</v>
      </c>
      <c r="K4598">
        <v>6</v>
      </c>
    </row>
    <row r="4599" spans="1:11" x14ac:dyDescent="0.35">
      <c r="A4599" t="s">
        <v>4636</v>
      </c>
      <c r="B4599">
        <v>27</v>
      </c>
      <c r="C4599" t="s">
        <v>18</v>
      </c>
      <c r="D4599" t="s">
        <v>21</v>
      </c>
      <c r="E4599">
        <v>15</v>
      </c>
      <c r="F4599" t="s">
        <v>33</v>
      </c>
      <c r="G4599" t="s">
        <v>15</v>
      </c>
      <c r="H4599" s="1">
        <v>297.68</v>
      </c>
      <c r="I4599" t="s">
        <v>24</v>
      </c>
      <c r="J4599">
        <v>1</v>
      </c>
      <c r="K4599">
        <v>5</v>
      </c>
    </row>
    <row r="4600" spans="1:11" x14ac:dyDescent="0.35">
      <c r="A4600" t="s">
        <v>4637</v>
      </c>
      <c r="B4600">
        <v>74</v>
      </c>
      <c r="C4600" t="s">
        <v>12</v>
      </c>
      <c r="D4600" t="s">
        <v>21</v>
      </c>
      <c r="E4600">
        <v>30</v>
      </c>
      <c r="F4600" t="s">
        <v>31</v>
      </c>
      <c r="G4600" t="s">
        <v>23</v>
      </c>
      <c r="H4600" s="1">
        <v>591.66</v>
      </c>
      <c r="I4600" t="s">
        <v>24</v>
      </c>
      <c r="J4600">
        <v>4</v>
      </c>
      <c r="K4600">
        <v>1</v>
      </c>
    </row>
    <row r="4601" spans="1:11" x14ac:dyDescent="0.35">
      <c r="A4601" t="s">
        <v>4638</v>
      </c>
      <c r="B4601">
        <v>62</v>
      </c>
      <c r="C4601" t="s">
        <v>18</v>
      </c>
      <c r="D4601" t="s">
        <v>30</v>
      </c>
      <c r="E4601">
        <v>2</v>
      </c>
      <c r="F4601" t="s">
        <v>22</v>
      </c>
      <c r="G4601" t="s">
        <v>34</v>
      </c>
      <c r="H4601" s="1">
        <v>160.15</v>
      </c>
      <c r="I4601" t="s">
        <v>28</v>
      </c>
      <c r="J4601">
        <v>0</v>
      </c>
      <c r="K4601">
        <v>7</v>
      </c>
    </row>
    <row r="4602" spans="1:11" x14ac:dyDescent="0.35">
      <c r="A4602" t="s">
        <v>4639</v>
      </c>
      <c r="B4602">
        <v>78</v>
      </c>
      <c r="C4602" t="s">
        <v>12</v>
      </c>
      <c r="D4602" t="s">
        <v>21</v>
      </c>
      <c r="E4602">
        <v>14</v>
      </c>
      <c r="F4602" t="s">
        <v>22</v>
      </c>
      <c r="G4602" t="s">
        <v>15</v>
      </c>
      <c r="H4602" s="1">
        <v>144.6</v>
      </c>
      <c r="I4602" t="s">
        <v>24</v>
      </c>
      <c r="J4602">
        <v>3</v>
      </c>
      <c r="K4602">
        <v>4</v>
      </c>
    </row>
    <row r="4603" spans="1:11" x14ac:dyDescent="0.35">
      <c r="A4603" t="s">
        <v>4640</v>
      </c>
      <c r="B4603">
        <v>45</v>
      </c>
      <c r="C4603" t="s">
        <v>12</v>
      </c>
      <c r="D4603" t="s">
        <v>30</v>
      </c>
      <c r="E4603">
        <v>11</v>
      </c>
      <c r="F4603" t="s">
        <v>22</v>
      </c>
      <c r="G4603" t="s">
        <v>34</v>
      </c>
      <c r="H4603" s="1">
        <v>114.14</v>
      </c>
      <c r="I4603" t="s">
        <v>28</v>
      </c>
      <c r="J4603">
        <v>2</v>
      </c>
      <c r="K4603">
        <v>6</v>
      </c>
    </row>
    <row r="4604" spans="1:11" x14ac:dyDescent="0.35">
      <c r="A4604" t="s">
        <v>4641</v>
      </c>
      <c r="B4604">
        <v>84</v>
      </c>
      <c r="C4604" t="s">
        <v>12</v>
      </c>
      <c r="D4604" t="s">
        <v>19</v>
      </c>
      <c r="E4604">
        <v>22</v>
      </c>
      <c r="F4604" t="s">
        <v>22</v>
      </c>
      <c r="G4604" t="s">
        <v>23</v>
      </c>
      <c r="H4604" s="1">
        <v>281.27</v>
      </c>
      <c r="I4604" t="s">
        <v>24</v>
      </c>
      <c r="J4604">
        <v>1</v>
      </c>
      <c r="K4604">
        <v>1</v>
      </c>
    </row>
    <row r="4605" spans="1:11" x14ac:dyDescent="0.35">
      <c r="A4605" t="s">
        <v>4642</v>
      </c>
      <c r="B4605">
        <v>85</v>
      </c>
      <c r="C4605" t="s">
        <v>18</v>
      </c>
      <c r="D4605" t="s">
        <v>200</v>
      </c>
      <c r="E4605">
        <v>19</v>
      </c>
      <c r="F4605" t="s">
        <v>31</v>
      </c>
      <c r="G4605" t="s">
        <v>37</v>
      </c>
      <c r="H4605" s="1">
        <v>158.41999999999999</v>
      </c>
      <c r="I4605" t="s">
        <v>24</v>
      </c>
      <c r="J4605">
        <v>1</v>
      </c>
      <c r="K4605">
        <v>4</v>
      </c>
    </row>
    <row r="4606" spans="1:11" x14ac:dyDescent="0.35">
      <c r="A4606" t="s">
        <v>4643</v>
      </c>
      <c r="B4606">
        <v>72</v>
      </c>
      <c r="C4606" t="s">
        <v>528</v>
      </c>
      <c r="D4606" t="s">
        <v>21</v>
      </c>
      <c r="E4606">
        <v>16</v>
      </c>
      <c r="F4606" t="s">
        <v>33</v>
      </c>
      <c r="G4606" t="s">
        <v>34</v>
      </c>
      <c r="H4606" s="1">
        <v>105.79</v>
      </c>
      <c r="I4606" t="s">
        <v>24</v>
      </c>
      <c r="J4606">
        <v>0</v>
      </c>
      <c r="K4606">
        <v>7</v>
      </c>
    </row>
    <row r="4607" spans="1:11" x14ac:dyDescent="0.35">
      <c r="A4607" t="s">
        <v>4644</v>
      </c>
      <c r="B4607">
        <v>80</v>
      </c>
      <c r="C4607" t="s">
        <v>12</v>
      </c>
      <c r="D4607" t="s">
        <v>21</v>
      </c>
      <c r="E4607">
        <v>48</v>
      </c>
      <c r="F4607" t="s">
        <v>31</v>
      </c>
      <c r="G4607" t="s">
        <v>37</v>
      </c>
      <c r="H4607" s="1">
        <v>208.38</v>
      </c>
      <c r="I4607" t="s">
        <v>24</v>
      </c>
      <c r="J4607">
        <v>3</v>
      </c>
      <c r="K4607">
        <v>5</v>
      </c>
    </row>
    <row r="4608" spans="1:11" x14ac:dyDescent="0.35">
      <c r="A4608" t="s">
        <v>4645</v>
      </c>
      <c r="B4608">
        <v>27</v>
      </c>
      <c r="C4608" t="s">
        <v>18</v>
      </c>
      <c r="D4608" t="s">
        <v>19</v>
      </c>
      <c r="E4608">
        <v>10</v>
      </c>
      <c r="F4608" t="s">
        <v>33</v>
      </c>
      <c r="G4608" t="s">
        <v>37</v>
      </c>
      <c r="H4608" s="1">
        <v>187.62</v>
      </c>
      <c r="I4608" t="s">
        <v>24</v>
      </c>
      <c r="J4608">
        <v>1</v>
      </c>
      <c r="K4608">
        <v>7</v>
      </c>
    </row>
    <row r="4609" spans="1:11" x14ac:dyDescent="0.35">
      <c r="A4609" t="s">
        <v>4646</v>
      </c>
      <c r="B4609">
        <v>81</v>
      </c>
      <c r="C4609" t="s">
        <v>528</v>
      </c>
      <c r="D4609" t="s">
        <v>21</v>
      </c>
      <c r="E4609">
        <v>47</v>
      </c>
      <c r="F4609" t="s">
        <v>14</v>
      </c>
      <c r="G4609" t="s">
        <v>23</v>
      </c>
      <c r="H4609" s="1">
        <v>0</v>
      </c>
      <c r="I4609" t="s">
        <v>16</v>
      </c>
      <c r="J4609">
        <v>1</v>
      </c>
      <c r="K4609">
        <v>3</v>
      </c>
    </row>
    <row r="4610" spans="1:11" x14ac:dyDescent="0.35">
      <c r="A4610" t="s">
        <v>4647</v>
      </c>
      <c r="B4610">
        <v>26</v>
      </c>
      <c r="C4610" t="s">
        <v>18</v>
      </c>
      <c r="D4610" t="s">
        <v>19</v>
      </c>
      <c r="E4610">
        <v>20</v>
      </c>
      <c r="F4610" t="s">
        <v>31</v>
      </c>
      <c r="G4610" t="s">
        <v>27</v>
      </c>
      <c r="H4610" s="1">
        <v>60.59</v>
      </c>
      <c r="I4610" t="s">
        <v>43</v>
      </c>
      <c r="J4610">
        <v>4</v>
      </c>
      <c r="K4610">
        <v>3</v>
      </c>
    </row>
    <row r="4611" spans="1:11" x14ac:dyDescent="0.35">
      <c r="A4611" t="s">
        <v>4648</v>
      </c>
      <c r="B4611">
        <v>26</v>
      </c>
      <c r="C4611" t="s">
        <v>18</v>
      </c>
      <c r="D4611" t="s">
        <v>200</v>
      </c>
      <c r="E4611">
        <v>13</v>
      </c>
      <c r="F4611" t="s">
        <v>31</v>
      </c>
      <c r="G4611" t="s">
        <v>27</v>
      </c>
      <c r="H4611" s="1">
        <v>164.54</v>
      </c>
      <c r="I4611" t="s">
        <v>24</v>
      </c>
      <c r="J4611">
        <v>3</v>
      </c>
      <c r="K4611">
        <v>8</v>
      </c>
    </row>
    <row r="4612" spans="1:11" x14ac:dyDescent="0.35">
      <c r="A4612" t="s">
        <v>4649</v>
      </c>
      <c r="B4612">
        <v>51</v>
      </c>
      <c r="C4612" t="s">
        <v>528</v>
      </c>
      <c r="D4612" t="s">
        <v>30</v>
      </c>
      <c r="E4612">
        <v>10</v>
      </c>
      <c r="F4612" t="s">
        <v>33</v>
      </c>
      <c r="G4612" t="s">
        <v>15</v>
      </c>
      <c r="H4612" s="1">
        <v>155.77000000000001</v>
      </c>
      <c r="I4612" t="s">
        <v>28</v>
      </c>
      <c r="J4612">
        <v>1</v>
      </c>
      <c r="K4612">
        <v>7</v>
      </c>
    </row>
    <row r="4613" spans="1:11" x14ac:dyDescent="0.35">
      <c r="A4613" t="s">
        <v>4650</v>
      </c>
      <c r="B4613">
        <v>26</v>
      </c>
      <c r="C4613" t="s">
        <v>18</v>
      </c>
      <c r="D4613" t="s">
        <v>21</v>
      </c>
      <c r="E4613">
        <v>22</v>
      </c>
      <c r="F4613" t="s">
        <v>33</v>
      </c>
      <c r="G4613" t="s">
        <v>37</v>
      </c>
      <c r="H4613" s="1">
        <v>216.2</v>
      </c>
      <c r="I4613" t="s">
        <v>28</v>
      </c>
      <c r="J4613">
        <v>0</v>
      </c>
      <c r="K4613">
        <v>5</v>
      </c>
    </row>
    <row r="4614" spans="1:11" x14ac:dyDescent="0.35">
      <c r="A4614" t="s">
        <v>4651</v>
      </c>
      <c r="B4614">
        <v>73</v>
      </c>
      <c r="C4614" t="s">
        <v>18</v>
      </c>
      <c r="D4614" t="s">
        <v>21</v>
      </c>
      <c r="E4614">
        <v>17</v>
      </c>
      <c r="F4614" t="s">
        <v>33</v>
      </c>
      <c r="G4614" t="s">
        <v>15</v>
      </c>
      <c r="H4614" s="1">
        <v>206.29</v>
      </c>
      <c r="I4614" t="s">
        <v>43</v>
      </c>
      <c r="J4614">
        <v>1</v>
      </c>
      <c r="K4614">
        <v>5</v>
      </c>
    </row>
    <row r="4615" spans="1:11" x14ac:dyDescent="0.35">
      <c r="A4615" t="s">
        <v>4652</v>
      </c>
      <c r="B4615">
        <v>67</v>
      </c>
      <c r="C4615" t="s">
        <v>12</v>
      </c>
      <c r="D4615" t="s">
        <v>30</v>
      </c>
      <c r="E4615">
        <v>11</v>
      </c>
      <c r="F4615" t="s">
        <v>22</v>
      </c>
      <c r="G4615" t="s">
        <v>37</v>
      </c>
      <c r="H4615" s="1">
        <v>121.01</v>
      </c>
      <c r="I4615" t="s">
        <v>24</v>
      </c>
      <c r="J4615">
        <v>3</v>
      </c>
      <c r="K4615">
        <v>8</v>
      </c>
    </row>
    <row r="4616" spans="1:11" x14ac:dyDescent="0.35">
      <c r="A4616" t="s">
        <v>4653</v>
      </c>
      <c r="B4616">
        <v>22</v>
      </c>
      <c r="C4616" t="s">
        <v>18</v>
      </c>
      <c r="D4616" t="s">
        <v>30</v>
      </c>
      <c r="E4616">
        <v>4</v>
      </c>
      <c r="F4616" t="s">
        <v>31</v>
      </c>
      <c r="G4616" t="s">
        <v>23</v>
      </c>
      <c r="H4616" s="1">
        <v>167.96</v>
      </c>
      <c r="I4616" t="s">
        <v>43</v>
      </c>
      <c r="J4616">
        <v>0</v>
      </c>
      <c r="K4616">
        <v>8</v>
      </c>
    </row>
    <row r="4617" spans="1:11" x14ac:dyDescent="0.35">
      <c r="A4617" t="s">
        <v>4654</v>
      </c>
      <c r="B4617">
        <v>82</v>
      </c>
      <c r="C4617" t="s">
        <v>18</v>
      </c>
      <c r="D4617" t="s">
        <v>21</v>
      </c>
      <c r="E4617">
        <v>43</v>
      </c>
      <c r="F4617" t="s">
        <v>22</v>
      </c>
      <c r="G4617" t="s">
        <v>23</v>
      </c>
      <c r="H4617" s="1">
        <v>91.67</v>
      </c>
      <c r="I4617" t="s">
        <v>24</v>
      </c>
      <c r="J4617">
        <v>1</v>
      </c>
      <c r="K4617">
        <v>5</v>
      </c>
    </row>
    <row r="4618" spans="1:11" x14ac:dyDescent="0.35">
      <c r="A4618" t="s">
        <v>4655</v>
      </c>
      <c r="B4618">
        <v>40</v>
      </c>
      <c r="C4618" t="s">
        <v>18</v>
      </c>
      <c r="D4618" t="s">
        <v>19</v>
      </c>
      <c r="E4618">
        <v>24</v>
      </c>
      <c r="F4618" t="s">
        <v>33</v>
      </c>
      <c r="G4618" t="s">
        <v>37</v>
      </c>
      <c r="H4618" s="1">
        <v>206.42</v>
      </c>
      <c r="I4618" t="s">
        <v>24</v>
      </c>
      <c r="J4618">
        <v>1</v>
      </c>
      <c r="K4618">
        <v>2</v>
      </c>
    </row>
    <row r="4619" spans="1:11" x14ac:dyDescent="0.35">
      <c r="A4619" t="s">
        <v>4656</v>
      </c>
      <c r="B4619">
        <v>51</v>
      </c>
      <c r="C4619" t="s">
        <v>18</v>
      </c>
      <c r="D4619" t="s">
        <v>19</v>
      </c>
      <c r="E4619">
        <v>9</v>
      </c>
      <c r="F4619" t="s">
        <v>26</v>
      </c>
      <c r="G4619" t="s">
        <v>15</v>
      </c>
      <c r="H4619" s="1">
        <v>238.26</v>
      </c>
      <c r="I4619" t="s">
        <v>24</v>
      </c>
      <c r="J4619">
        <v>2</v>
      </c>
      <c r="K4619">
        <v>6</v>
      </c>
    </row>
    <row r="4620" spans="1:11" x14ac:dyDescent="0.35">
      <c r="A4620" t="s">
        <v>4657</v>
      </c>
      <c r="B4620">
        <v>62</v>
      </c>
      <c r="C4620" t="s">
        <v>12</v>
      </c>
      <c r="D4620" t="s">
        <v>21</v>
      </c>
      <c r="E4620">
        <v>29</v>
      </c>
      <c r="F4620" t="s">
        <v>31</v>
      </c>
      <c r="G4620" t="s">
        <v>15</v>
      </c>
      <c r="H4620" s="1">
        <v>337.83</v>
      </c>
      <c r="I4620" t="s">
        <v>24</v>
      </c>
      <c r="J4620">
        <v>1</v>
      </c>
      <c r="K4620">
        <v>2</v>
      </c>
    </row>
    <row r="4621" spans="1:11" x14ac:dyDescent="0.35">
      <c r="A4621" t="s">
        <v>4658</v>
      </c>
      <c r="B4621">
        <v>29</v>
      </c>
      <c r="C4621" t="s">
        <v>18</v>
      </c>
      <c r="D4621" t="s">
        <v>21</v>
      </c>
      <c r="E4621">
        <v>34</v>
      </c>
      <c r="F4621" t="s">
        <v>33</v>
      </c>
      <c r="G4621" t="s">
        <v>37</v>
      </c>
      <c r="H4621" s="1">
        <v>190.54</v>
      </c>
      <c r="I4621" t="s">
        <v>24</v>
      </c>
      <c r="J4621">
        <v>1</v>
      </c>
      <c r="K4621">
        <v>1</v>
      </c>
    </row>
    <row r="4622" spans="1:11" x14ac:dyDescent="0.35">
      <c r="A4622" t="s">
        <v>4659</v>
      </c>
      <c r="B4622">
        <v>19</v>
      </c>
      <c r="C4622" t="s">
        <v>18</v>
      </c>
      <c r="D4622" t="s">
        <v>21</v>
      </c>
      <c r="E4622">
        <v>36</v>
      </c>
      <c r="F4622" t="s">
        <v>33</v>
      </c>
      <c r="G4622" t="s">
        <v>37</v>
      </c>
      <c r="H4622" s="1">
        <v>129.97</v>
      </c>
      <c r="I4622" t="s">
        <v>24</v>
      </c>
      <c r="J4622">
        <v>0</v>
      </c>
      <c r="K4622">
        <v>5</v>
      </c>
    </row>
    <row r="4623" spans="1:11" x14ac:dyDescent="0.35">
      <c r="A4623" t="s">
        <v>4660</v>
      </c>
      <c r="B4623">
        <v>35</v>
      </c>
      <c r="C4623" t="s">
        <v>189</v>
      </c>
      <c r="D4623" t="s">
        <v>19</v>
      </c>
      <c r="E4623">
        <v>19</v>
      </c>
      <c r="F4623" t="s">
        <v>33</v>
      </c>
      <c r="G4623" t="s">
        <v>15</v>
      </c>
      <c r="H4623" s="1">
        <v>389.17</v>
      </c>
      <c r="I4623" t="s">
        <v>24</v>
      </c>
      <c r="J4623">
        <v>2</v>
      </c>
      <c r="K4623">
        <v>1</v>
      </c>
    </row>
    <row r="4624" spans="1:11" x14ac:dyDescent="0.35">
      <c r="A4624" t="s">
        <v>4661</v>
      </c>
      <c r="B4624">
        <v>75</v>
      </c>
      <c r="C4624" t="s">
        <v>12</v>
      </c>
      <c r="D4624" t="s">
        <v>30</v>
      </c>
      <c r="E4624">
        <v>5</v>
      </c>
      <c r="F4624" t="s">
        <v>22</v>
      </c>
      <c r="G4624" t="s">
        <v>27</v>
      </c>
      <c r="H4624" s="1">
        <v>87.65</v>
      </c>
      <c r="I4624" t="s">
        <v>24</v>
      </c>
      <c r="J4624">
        <v>2</v>
      </c>
      <c r="K4624">
        <v>7</v>
      </c>
    </row>
    <row r="4625" spans="1:11" x14ac:dyDescent="0.35">
      <c r="A4625" t="s">
        <v>4662</v>
      </c>
      <c r="B4625">
        <v>44</v>
      </c>
      <c r="C4625" t="s">
        <v>18</v>
      </c>
      <c r="D4625" t="s">
        <v>21</v>
      </c>
      <c r="E4625">
        <v>19</v>
      </c>
      <c r="F4625" t="s">
        <v>22</v>
      </c>
      <c r="G4625" t="s">
        <v>27</v>
      </c>
      <c r="H4625" s="1">
        <v>145.4</v>
      </c>
      <c r="I4625" t="s">
        <v>24</v>
      </c>
      <c r="J4625">
        <v>4</v>
      </c>
      <c r="K4625">
        <v>4</v>
      </c>
    </row>
    <row r="4626" spans="1:11" x14ac:dyDescent="0.35">
      <c r="A4626" t="s">
        <v>4663</v>
      </c>
      <c r="B4626">
        <v>85</v>
      </c>
      <c r="C4626" t="s">
        <v>12</v>
      </c>
      <c r="D4626" t="s">
        <v>19</v>
      </c>
      <c r="E4626">
        <v>11</v>
      </c>
      <c r="F4626" t="s">
        <v>33</v>
      </c>
      <c r="G4626" t="s">
        <v>15</v>
      </c>
      <c r="H4626" s="1">
        <v>173.79</v>
      </c>
      <c r="I4626" t="s">
        <v>24</v>
      </c>
      <c r="J4626">
        <v>2</v>
      </c>
      <c r="K4626">
        <v>8</v>
      </c>
    </row>
    <row r="4627" spans="1:11" x14ac:dyDescent="0.35">
      <c r="A4627" t="s">
        <v>4664</v>
      </c>
      <c r="B4627">
        <v>71</v>
      </c>
      <c r="C4627" t="s">
        <v>12</v>
      </c>
      <c r="D4627" t="s">
        <v>21</v>
      </c>
      <c r="E4627">
        <v>44</v>
      </c>
      <c r="F4627" t="s">
        <v>26</v>
      </c>
      <c r="G4627" t="s">
        <v>27</v>
      </c>
      <c r="H4627" s="1">
        <v>74.739999999999995</v>
      </c>
      <c r="I4627" t="s">
        <v>24</v>
      </c>
      <c r="J4627">
        <v>2</v>
      </c>
      <c r="K4627">
        <v>4</v>
      </c>
    </row>
    <row r="4628" spans="1:11" x14ac:dyDescent="0.35">
      <c r="A4628" t="s">
        <v>4665</v>
      </c>
      <c r="B4628">
        <v>47</v>
      </c>
      <c r="C4628" t="s">
        <v>12</v>
      </c>
      <c r="D4628" t="s">
        <v>19</v>
      </c>
      <c r="E4628">
        <v>17</v>
      </c>
      <c r="F4628" t="s">
        <v>33</v>
      </c>
      <c r="G4628" t="s">
        <v>15</v>
      </c>
      <c r="H4628" s="1">
        <v>177.64</v>
      </c>
      <c r="I4628" t="s">
        <v>24</v>
      </c>
      <c r="J4628">
        <v>0</v>
      </c>
      <c r="K4628">
        <v>5</v>
      </c>
    </row>
    <row r="4629" spans="1:11" x14ac:dyDescent="0.35">
      <c r="A4629" t="s">
        <v>4666</v>
      </c>
      <c r="B4629">
        <v>20</v>
      </c>
      <c r="C4629" t="s">
        <v>18</v>
      </c>
      <c r="D4629" t="s">
        <v>13</v>
      </c>
      <c r="E4629">
        <v>21</v>
      </c>
      <c r="F4629" t="s">
        <v>33</v>
      </c>
      <c r="G4629" t="s">
        <v>15</v>
      </c>
      <c r="H4629" s="1">
        <v>328.83</v>
      </c>
      <c r="I4629" t="s">
        <v>28</v>
      </c>
      <c r="J4629">
        <v>1</v>
      </c>
      <c r="K4629">
        <v>1</v>
      </c>
    </row>
    <row r="4630" spans="1:11" x14ac:dyDescent="0.35">
      <c r="A4630" t="s">
        <v>4667</v>
      </c>
      <c r="B4630">
        <v>37</v>
      </c>
      <c r="C4630" t="s">
        <v>12</v>
      </c>
      <c r="D4630" t="s">
        <v>41</v>
      </c>
      <c r="E4630">
        <v>8</v>
      </c>
      <c r="F4630" t="s">
        <v>22</v>
      </c>
      <c r="G4630" t="s">
        <v>37</v>
      </c>
      <c r="H4630" s="1">
        <v>124.03</v>
      </c>
      <c r="I4630" t="s">
        <v>28</v>
      </c>
      <c r="J4630">
        <v>0</v>
      </c>
      <c r="K4630">
        <v>8</v>
      </c>
    </row>
    <row r="4631" spans="1:11" x14ac:dyDescent="0.35">
      <c r="A4631" t="s">
        <v>4668</v>
      </c>
      <c r="B4631">
        <v>43</v>
      </c>
      <c r="C4631" t="s">
        <v>18</v>
      </c>
      <c r="D4631" t="s">
        <v>21</v>
      </c>
      <c r="E4631">
        <v>26</v>
      </c>
      <c r="F4631" t="s">
        <v>31</v>
      </c>
      <c r="G4631" t="s">
        <v>15</v>
      </c>
      <c r="H4631" s="1">
        <v>294.7</v>
      </c>
      <c r="I4631" t="s">
        <v>24</v>
      </c>
      <c r="J4631">
        <v>3</v>
      </c>
      <c r="K4631">
        <v>3</v>
      </c>
    </row>
    <row r="4632" spans="1:11" x14ac:dyDescent="0.35">
      <c r="A4632" t="s">
        <v>4669</v>
      </c>
      <c r="B4632">
        <v>30</v>
      </c>
      <c r="C4632" t="s">
        <v>12</v>
      </c>
      <c r="D4632" t="s">
        <v>30</v>
      </c>
      <c r="E4632">
        <v>10</v>
      </c>
      <c r="F4632" t="s">
        <v>33</v>
      </c>
      <c r="G4632" t="s">
        <v>15</v>
      </c>
      <c r="H4632" s="1">
        <v>351.7</v>
      </c>
      <c r="I4632" t="s">
        <v>24</v>
      </c>
      <c r="J4632">
        <v>0</v>
      </c>
      <c r="K4632">
        <v>8</v>
      </c>
    </row>
    <row r="4633" spans="1:11" x14ac:dyDescent="0.35">
      <c r="A4633" t="s">
        <v>4670</v>
      </c>
      <c r="B4633">
        <v>46</v>
      </c>
      <c r="C4633" t="s">
        <v>18</v>
      </c>
      <c r="D4633" t="s">
        <v>41</v>
      </c>
      <c r="E4633">
        <v>12</v>
      </c>
      <c r="F4633" t="s">
        <v>33</v>
      </c>
      <c r="G4633" t="s">
        <v>34</v>
      </c>
      <c r="H4633" s="1">
        <v>120.35</v>
      </c>
      <c r="I4633" t="s">
        <v>24</v>
      </c>
      <c r="J4633">
        <v>1</v>
      </c>
      <c r="K4633">
        <v>6</v>
      </c>
    </row>
    <row r="4634" spans="1:11" x14ac:dyDescent="0.35">
      <c r="A4634" t="s">
        <v>4671</v>
      </c>
      <c r="B4634">
        <v>68</v>
      </c>
      <c r="C4634" t="s">
        <v>189</v>
      </c>
      <c r="D4634" t="s">
        <v>19</v>
      </c>
      <c r="E4634">
        <v>19</v>
      </c>
      <c r="F4634" t="s">
        <v>26</v>
      </c>
      <c r="G4634" t="s">
        <v>27</v>
      </c>
      <c r="H4634" s="1">
        <v>136.66999999999999</v>
      </c>
      <c r="I4634" t="s">
        <v>24</v>
      </c>
      <c r="J4634">
        <v>2</v>
      </c>
      <c r="K4634">
        <v>4</v>
      </c>
    </row>
    <row r="4635" spans="1:11" x14ac:dyDescent="0.35">
      <c r="A4635" t="s">
        <v>4672</v>
      </c>
      <c r="B4635">
        <v>84</v>
      </c>
      <c r="C4635" t="s">
        <v>18</v>
      </c>
      <c r="D4635" t="s">
        <v>19</v>
      </c>
      <c r="E4635">
        <v>10</v>
      </c>
      <c r="F4635" t="s">
        <v>26</v>
      </c>
      <c r="G4635" t="s">
        <v>23</v>
      </c>
      <c r="H4635" s="1">
        <v>577.51</v>
      </c>
      <c r="I4635" t="s">
        <v>24</v>
      </c>
      <c r="J4635">
        <v>0</v>
      </c>
      <c r="K4635">
        <v>4</v>
      </c>
    </row>
    <row r="4636" spans="1:11" x14ac:dyDescent="0.35">
      <c r="A4636" t="s">
        <v>4673</v>
      </c>
      <c r="B4636">
        <v>26</v>
      </c>
      <c r="C4636" t="s">
        <v>12</v>
      </c>
      <c r="D4636" t="s">
        <v>19</v>
      </c>
      <c r="E4636">
        <v>23</v>
      </c>
      <c r="F4636" t="s">
        <v>14</v>
      </c>
      <c r="G4636" t="s">
        <v>27</v>
      </c>
      <c r="H4636" s="1">
        <v>0</v>
      </c>
      <c r="I4636" t="s">
        <v>16</v>
      </c>
      <c r="J4636">
        <v>2</v>
      </c>
      <c r="K4636">
        <v>2</v>
      </c>
    </row>
    <row r="4637" spans="1:11" x14ac:dyDescent="0.35">
      <c r="A4637" t="s">
        <v>4674</v>
      </c>
      <c r="B4637">
        <v>56</v>
      </c>
      <c r="C4637" t="s">
        <v>18</v>
      </c>
      <c r="D4637" t="s">
        <v>19</v>
      </c>
      <c r="E4637">
        <v>8</v>
      </c>
      <c r="F4637" t="s">
        <v>26</v>
      </c>
      <c r="G4637" t="s">
        <v>37</v>
      </c>
      <c r="H4637" s="1">
        <v>104.64</v>
      </c>
      <c r="I4637" t="s">
        <v>43</v>
      </c>
      <c r="J4637">
        <v>0</v>
      </c>
      <c r="K4637">
        <v>10</v>
      </c>
    </row>
    <row r="4638" spans="1:11" x14ac:dyDescent="0.35">
      <c r="A4638" t="s">
        <v>4675</v>
      </c>
      <c r="B4638">
        <v>27</v>
      </c>
      <c r="C4638" t="s">
        <v>12</v>
      </c>
      <c r="D4638" t="s">
        <v>13</v>
      </c>
      <c r="E4638">
        <v>24</v>
      </c>
      <c r="F4638" t="s">
        <v>26</v>
      </c>
      <c r="G4638" t="s">
        <v>34</v>
      </c>
      <c r="H4638" s="1">
        <v>121.97</v>
      </c>
      <c r="I4638" t="s">
        <v>24</v>
      </c>
      <c r="J4638">
        <v>1</v>
      </c>
      <c r="K4638">
        <v>3</v>
      </c>
    </row>
    <row r="4639" spans="1:11" x14ac:dyDescent="0.35">
      <c r="A4639" t="s">
        <v>4676</v>
      </c>
      <c r="B4639">
        <v>36</v>
      </c>
      <c r="C4639" t="s">
        <v>12</v>
      </c>
      <c r="D4639" t="s">
        <v>21</v>
      </c>
      <c r="E4639">
        <v>28</v>
      </c>
      <c r="F4639" t="s">
        <v>33</v>
      </c>
      <c r="G4639" t="s">
        <v>27</v>
      </c>
      <c r="H4639" s="1">
        <v>175.98</v>
      </c>
      <c r="I4639" t="s">
        <v>28</v>
      </c>
      <c r="J4639">
        <v>1</v>
      </c>
      <c r="K4639">
        <v>3</v>
      </c>
    </row>
    <row r="4640" spans="1:11" x14ac:dyDescent="0.35">
      <c r="A4640" t="s">
        <v>4677</v>
      </c>
      <c r="B4640">
        <v>57</v>
      </c>
      <c r="C4640" t="s">
        <v>12</v>
      </c>
      <c r="D4640" t="s">
        <v>21</v>
      </c>
      <c r="E4640">
        <v>14</v>
      </c>
      <c r="F4640" t="s">
        <v>22</v>
      </c>
      <c r="G4640" t="s">
        <v>23</v>
      </c>
      <c r="H4640" s="1">
        <v>384.85</v>
      </c>
      <c r="I4640" t="s">
        <v>24</v>
      </c>
      <c r="J4640">
        <v>1</v>
      </c>
      <c r="K4640">
        <v>7</v>
      </c>
    </row>
    <row r="4641" spans="1:11" x14ac:dyDescent="0.35">
      <c r="A4641" t="s">
        <v>4678</v>
      </c>
      <c r="B4641">
        <v>85</v>
      </c>
      <c r="C4641" t="s">
        <v>18</v>
      </c>
      <c r="D4641" t="s">
        <v>47</v>
      </c>
      <c r="E4641">
        <v>4</v>
      </c>
      <c r="F4641" t="s">
        <v>33</v>
      </c>
      <c r="G4641" t="s">
        <v>27</v>
      </c>
      <c r="H4641" s="1">
        <v>83</v>
      </c>
      <c r="I4641" t="s">
        <v>28</v>
      </c>
      <c r="J4641">
        <v>0</v>
      </c>
      <c r="K4641">
        <v>7</v>
      </c>
    </row>
    <row r="4642" spans="1:11" x14ac:dyDescent="0.35">
      <c r="A4642" t="s">
        <v>4679</v>
      </c>
      <c r="B4642">
        <v>37</v>
      </c>
      <c r="C4642" t="s">
        <v>12</v>
      </c>
      <c r="D4642" t="s">
        <v>19</v>
      </c>
      <c r="E4642">
        <v>6</v>
      </c>
      <c r="F4642" t="s">
        <v>26</v>
      </c>
      <c r="G4642" t="s">
        <v>34</v>
      </c>
      <c r="H4642" s="1">
        <v>157.02000000000001</v>
      </c>
      <c r="I4642" t="s">
        <v>24</v>
      </c>
      <c r="J4642">
        <v>0</v>
      </c>
      <c r="K4642">
        <v>8</v>
      </c>
    </row>
    <row r="4643" spans="1:11" x14ac:dyDescent="0.35">
      <c r="A4643" t="s">
        <v>4680</v>
      </c>
      <c r="B4643">
        <v>33</v>
      </c>
      <c r="C4643" t="s">
        <v>12</v>
      </c>
      <c r="D4643" t="s">
        <v>47</v>
      </c>
      <c r="E4643">
        <v>3</v>
      </c>
      <c r="F4643" t="s">
        <v>22</v>
      </c>
      <c r="G4643" t="s">
        <v>37</v>
      </c>
      <c r="H4643" s="1">
        <v>140.74</v>
      </c>
      <c r="I4643" t="s">
        <v>24</v>
      </c>
      <c r="J4643">
        <v>0</v>
      </c>
      <c r="K4643">
        <v>7</v>
      </c>
    </row>
    <row r="4644" spans="1:11" x14ac:dyDescent="0.35">
      <c r="A4644" t="s">
        <v>4681</v>
      </c>
      <c r="B4644">
        <v>34</v>
      </c>
      <c r="C4644" t="s">
        <v>18</v>
      </c>
      <c r="D4644" t="s">
        <v>21</v>
      </c>
      <c r="E4644">
        <v>15</v>
      </c>
      <c r="F4644" t="s">
        <v>31</v>
      </c>
      <c r="G4644" t="s">
        <v>37</v>
      </c>
      <c r="H4644" s="1">
        <v>196.68</v>
      </c>
      <c r="I4644" t="s">
        <v>24</v>
      </c>
      <c r="J4644">
        <v>0</v>
      </c>
      <c r="K4644">
        <v>8</v>
      </c>
    </row>
    <row r="4645" spans="1:11" x14ac:dyDescent="0.35">
      <c r="A4645" t="s">
        <v>4682</v>
      </c>
      <c r="B4645">
        <v>70</v>
      </c>
      <c r="C4645" t="s">
        <v>12</v>
      </c>
      <c r="D4645" t="s">
        <v>21</v>
      </c>
      <c r="E4645">
        <v>22</v>
      </c>
      <c r="F4645" t="s">
        <v>14</v>
      </c>
      <c r="G4645" t="s">
        <v>37</v>
      </c>
      <c r="H4645" s="1">
        <v>0</v>
      </c>
      <c r="I4645" t="s">
        <v>16</v>
      </c>
      <c r="J4645">
        <v>2</v>
      </c>
      <c r="K4645">
        <v>1</v>
      </c>
    </row>
    <row r="4646" spans="1:11" x14ac:dyDescent="0.35">
      <c r="A4646" t="s">
        <v>4683</v>
      </c>
      <c r="B4646">
        <v>22</v>
      </c>
      <c r="C4646" t="s">
        <v>18</v>
      </c>
      <c r="D4646" t="s">
        <v>19</v>
      </c>
      <c r="E4646">
        <v>12</v>
      </c>
      <c r="F4646" t="s">
        <v>33</v>
      </c>
      <c r="G4646" t="s">
        <v>23</v>
      </c>
      <c r="H4646" s="1">
        <v>229.38</v>
      </c>
      <c r="I4646" t="s">
        <v>43</v>
      </c>
      <c r="J4646">
        <v>1</v>
      </c>
      <c r="K4646">
        <v>5</v>
      </c>
    </row>
    <row r="4647" spans="1:11" x14ac:dyDescent="0.35">
      <c r="A4647" t="s">
        <v>4684</v>
      </c>
      <c r="B4647">
        <v>38</v>
      </c>
      <c r="C4647" t="s">
        <v>18</v>
      </c>
      <c r="D4647" t="s">
        <v>19</v>
      </c>
      <c r="E4647">
        <v>21</v>
      </c>
      <c r="F4647" t="s">
        <v>31</v>
      </c>
      <c r="G4647" t="s">
        <v>37</v>
      </c>
      <c r="H4647" s="1">
        <v>134.49</v>
      </c>
      <c r="I4647" t="s">
        <v>24</v>
      </c>
      <c r="J4647">
        <v>2</v>
      </c>
      <c r="K4647">
        <v>1</v>
      </c>
    </row>
    <row r="4648" spans="1:11" x14ac:dyDescent="0.35">
      <c r="A4648" t="s">
        <v>4685</v>
      </c>
      <c r="B4648">
        <v>30</v>
      </c>
      <c r="C4648" t="s">
        <v>12</v>
      </c>
      <c r="D4648" t="s">
        <v>21</v>
      </c>
      <c r="E4648">
        <v>26</v>
      </c>
      <c r="F4648" t="s">
        <v>22</v>
      </c>
      <c r="G4648" t="s">
        <v>34</v>
      </c>
      <c r="H4648" s="1">
        <v>212.81</v>
      </c>
      <c r="I4648" t="s">
        <v>24</v>
      </c>
      <c r="J4648">
        <v>1</v>
      </c>
      <c r="K4648">
        <v>4</v>
      </c>
    </row>
    <row r="4649" spans="1:11" x14ac:dyDescent="0.35">
      <c r="A4649" t="s">
        <v>4686</v>
      </c>
      <c r="B4649">
        <v>62</v>
      </c>
      <c r="C4649" t="s">
        <v>12</v>
      </c>
      <c r="D4649" t="s">
        <v>13</v>
      </c>
      <c r="E4649">
        <v>21</v>
      </c>
      <c r="F4649" t="s">
        <v>33</v>
      </c>
      <c r="G4649" t="s">
        <v>15</v>
      </c>
      <c r="H4649" s="1">
        <v>378.38</v>
      </c>
      <c r="I4649" t="s">
        <v>28</v>
      </c>
      <c r="J4649">
        <v>2</v>
      </c>
      <c r="K4649">
        <v>1</v>
      </c>
    </row>
    <row r="4650" spans="1:11" x14ac:dyDescent="0.35">
      <c r="A4650" t="s">
        <v>4687</v>
      </c>
      <c r="B4650">
        <v>46</v>
      </c>
      <c r="C4650" t="s">
        <v>12</v>
      </c>
      <c r="D4650" t="s">
        <v>13</v>
      </c>
      <c r="E4650">
        <v>17</v>
      </c>
      <c r="F4650" t="s">
        <v>33</v>
      </c>
      <c r="G4650" t="s">
        <v>27</v>
      </c>
      <c r="H4650" s="1">
        <v>146.11000000000001</v>
      </c>
      <c r="I4650" t="s">
        <v>28</v>
      </c>
      <c r="J4650">
        <v>1</v>
      </c>
      <c r="K4650">
        <v>8</v>
      </c>
    </row>
    <row r="4651" spans="1:11" x14ac:dyDescent="0.35">
      <c r="A4651" t="s">
        <v>4688</v>
      </c>
      <c r="B4651">
        <v>18</v>
      </c>
      <c r="C4651" t="s">
        <v>18</v>
      </c>
      <c r="D4651" t="s">
        <v>13</v>
      </c>
      <c r="E4651">
        <v>20</v>
      </c>
      <c r="F4651" t="s">
        <v>31</v>
      </c>
      <c r="G4651" t="s">
        <v>37</v>
      </c>
      <c r="H4651" s="1">
        <v>159.99</v>
      </c>
      <c r="I4651" t="s">
        <v>24</v>
      </c>
      <c r="J4651">
        <v>0</v>
      </c>
      <c r="K4651">
        <v>5</v>
      </c>
    </row>
    <row r="4652" spans="1:11" x14ac:dyDescent="0.35">
      <c r="A4652" t="s">
        <v>4689</v>
      </c>
      <c r="B4652">
        <v>55</v>
      </c>
      <c r="C4652" t="s">
        <v>12</v>
      </c>
      <c r="D4652" t="s">
        <v>13</v>
      </c>
      <c r="E4652">
        <v>15</v>
      </c>
      <c r="F4652" t="s">
        <v>26</v>
      </c>
      <c r="G4652" t="s">
        <v>27</v>
      </c>
      <c r="H4652" s="1">
        <v>126.23</v>
      </c>
      <c r="I4652" t="s">
        <v>28</v>
      </c>
      <c r="J4652">
        <v>0</v>
      </c>
      <c r="K4652">
        <v>4</v>
      </c>
    </row>
    <row r="4653" spans="1:11" x14ac:dyDescent="0.35">
      <c r="A4653" t="s">
        <v>4690</v>
      </c>
      <c r="B4653">
        <v>65</v>
      </c>
      <c r="C4653" t="s">
        <v>18</v>
      </c>
      <c r="D4653" t="s">
        <v>21</v>
      </c>
      <c r="E4653">
        <v>17</v>
      </c>
      <c r="F4653" t="s">
        <v>33</v>
      </c>
      <c r="G4653" t="s">
        <v>15</v>
      </c>
      <c r="H4653" s="1">
        <v>273.35000000000002</v>
      </c>
      <c r="I4653" t="s">
        <v>24</v>
      </c>
      <c r="J4653">
        <v>1</v>
      </c>
      <c r="K4653">
        <v>8</v>
      </c>
    </row>
    <row r="4654" spans="1:11" x14ac:dyDescent="0.35">
      <c r="A4654" t="s">
        <v>4691</v>
      </c>
      <c r="B4654">
        <v>23</v>
      </c>
      <c r="C4654" t="s">
        <v>18</v>
      </c>
      <c r="D4654" t="s">
        <v>19</v>
      </c>
      <c r="E4654">
        <v>16</v>
      </c>
      <c r="F4654" t="s">
        <v>14</v>
      </c>
      <c r="G4654" t="s">
        <v>15</v>
      </c>
      <c r="H4654" s="1">
        <v>0</v>
      </c>
      <c r="I4654" t="s">
        <v>16</v>
      </c>
      <c r="J4654">
        <v>1</v>
      </c>
      <c r="K4654">
        <v>8</v>
      </c>
    </row>
    <row r="4655" spans="1:11" x14ac:dyDescent="0.35">
      <c r="A4655" t="s">
        <v>4692</v>
      </c>
      <c r="B4655">
        <v>41</v>
      </c>
      <c r="C4655" t="s">
        <v>18</v>
      </c>
      <c r="D4655" t="s">
        <v>19</v>
      </c>
      <c r="E4655">
        <v>23</v>
      </c>
      <c r="F4655" t="s">
        <v>26</v>
      </c>
      <c r="G4655" t="s">
        <v>15</v>
      </c>
      <c r="H4655" s="1">
        <v>232.29</v>
      </c>
      <c r="I4655" t="s">
        <v>24</v>
      </c>
      <c r="J4655">
        <v>0</v>
      </c>
      <c r="K4655">
        <v>2</v>
      </c>
    </row>
    <row r="4656" spans="1:11" x14ac:dyDescent="0.35">
      <c r="A4656" t="s">
        <v>4693</v>
      </c>
      <c r="B4656">
        <v>60</v>
      </c>
      <c r="C4656" t="s">
        <v>12</v>
      </c>
      <c r="D4656" t="s">
        <v>30</v>
      </c>
      <c r="E4656">
        <v>5</v>
      </c>
      <c r="F4656" t="s">
        <v>22</v>
      </c>
      <c r="G4656" t="s">
        <v>15</v>
      </c>
      <c r="H4656" s="1">
        <v>411.36</v>
      </c>
      <c r="I4656" t="s">
        <v>28</v>
      </c>
      <c r="J4656">
        <v>0</v>
      </c>
      <c r="K4656">
        <v>8</v>
      </c>
    </row>
    <row r="4657" spans="1:11" x14ac:dyDescent="0.35">
      <c r="A4657" t="s">
        <v>4694</v>
      </c>
      <c r="B4657">
        <v>74</v>
      </c>
      <c r="C4657" t="s">
        <v>18</v>
      </c>
      <c r="D4657" t="s">
        <v>21</v>
      </c>
      <c r="E4657">
        <v>26</v>
      </c>
      <c r="F4657" t="s">
        <v>14</v>
      </c>
      <c r="G4657" t="s">
        <v>15</v>
      </c>
      <c r="H4657" s="1">
        <v>0</v>
      </c>
      <c r="I4657" t="s">
        <v>16</v>
      </c>
      <c r="J4657">
        <v>0</v>
      </c>
      <c r="K4657">
        <v>5</v>
      </c>
    </row>
    <row r="4658" spans="1:11" x14ac:dyDescent="0.35">
      <c r="A4658" t="s">
        <v>4695</v>
      </c>
      <c r="B4658">
        <v>45</v>
      </c>
      <c r="C4658" t="s">
        <v>18</v>
      </c>
      <c r="D4658" t="s">
        <v>13</v>
      </c>
      <c r="E4658">
        <v>19</v>
      </c>
      <c r="F4658" t="s">
        <v>31</v>
      </c>
      <c r="G4658" t="s">
        <v>23</v>
      </c>
      <c r="H4658" s="1">
        <v>549.99</v>
      </c>
      <c r="I4658" t="s">
        <v>24</v>
      </c>
      <c r="J4658">
        <v>4</v>
      </c>
      <c r="K4658">
        <v>1</v>
      </c>
    </row>
    <row r="4659" spans="1:11" x14ac:dyDescent="0.35">
      <c r="A4659" t="s">
        <v>4696</v>
      </c>
      <c r="B4659">
        <v>41</v>
      </c>
      <c r="C4659" t="s">
        <v>18</v>
      </c>
      <c r="D4659" t="s">
        <v>19</v>
      </c>
      <c r="E4659">
        <v>14</v>
      </c>
      <c r="F4659" t="s">
        <v>33</v>
      </c>
      <c r="G4659" t="s">
        <v>27</v>
      </c>
      <c r="H4659" s="1">
        <v>130.69</v>
      </c>
      <c r="I4659" t="s">
        <v>24</v>
      </c>
      <c r="J4659">
        <v>3</v>
      </c>
      <c r="K4659">
        <v>7</v>
      </c>
    </row>
    <row r="4660" spans="1:11" x14ac:dyDescent="0.35">
      <c r="A4660" t="s">
        <v>4697</v>
      </c>
      <c r="B4660">
        <v>34</v>
      </c>
      <c r="C4660" t="s">
        <v>18</v>
      </c>
      <c r="D4660" t="s">
        <v>41</v>
      </c>
      <c r="E4660">
        <v>7</v>
      </c>
      <c r="F4660" t="s">
        <v>22</v>
      </c>
      <c r="G4660" t="s">
        <v>34</v>
      </c>
      <c r="H4660" s="1">
        <v>201.55</v>
      </c>
      <c r="I4660" t="s">
        <v>24</v>
      </c>
      <c r="J4660">
        <v>0</v>
      </c>
      <c r="K4660">
        <v>9</v>
      </c>
    </row>
    <row r="4661" spans="1:11" x14ac:dyDescent="0.35">
      <c r="A4661" t="s">
        <v>4698</v>
      </c>
      <c r="B4661">
        <v>68</v>
      </c>
      <c r="C4661" t="s">
        <v>12</v>
      </c>
      <c r="D4661" t="s">
        <v>19</v>
      </c>
      <c r="E4661">
        <v>17</v>
      </c>
      <c r="F4661" t="s">
        <v>22</v>
      </c>
      <c r="G4661" t="s">
        <v>15</v>
      </c>
      <c r="H4661" s="1">
        <v>336.49</v>
      </c>
      <c r="I4661" t="s">
        <v>24</v>
      </c>
      <c r="J4661">
        <v>2</v>
      </c>
      <c r="K4661">
        <v>6</v>
      </c>
    </row>
    <row r="4662" spans="1:11" x14ac:dyDescent="0.35">
      <c r="A4662" t="s">
        <v>4699</v>
      </c>
      <c r="B4662">
        <v>59</v>
      </c>
      <c r="C4662" t="s">
        <v>18</v>
      </c>
      <c r="D4662" t="s">
        <v>41</v>
      </c>
      <c r="E4662">
        <v>10</v>
      </c>
      <c r="F4662" t="s">
        <v>14</v>
      </c>
      <c r="G4662" t="s">
        <v>27</v>
      </c>
      <c r="H4662" s="1">
        <v>0</v>
      </c>
      <c r="I4662" t="s">
        <v>16</v>
      </c>
      <c r="J4662">
        <v>1</v>
      </c>
      <c r="K4662">
        <v>6</v>
      </c>
    </row>
    <row r="4663" spans="1:11" x14ac:dyDescent="0.35">
      <c r="A4663" t="s">
        <v>4700</v>
      </c>
      <c r="B4663">
        <v>45</v>
      </c>
      <c r="C4663" t="s">
        <v>12</v>
      </c>
      <c r="D4663" t="s">
        <v>30</v>
      </c>
      <c r="E4663">
        <v>4</v>
      </c>
      <c r="F4663" t="s">
        <v>26</v>
      </c>
      <c r="G4663" t="s">
        <v>37</v>
      </c>
      <c r="H4663" s="1">
        <v>184.39</v>
      </c>
      <c r="I4663" t="s">
        <v>24</v>
      </c>
      <c r="J4663">
        <v>0</v>
      </c>
      <c r="K4663">
        <v>8</v>
      </c>
    </row>
    <row r="4664" spans="1:11" x14ac:dyDescent="0.35">
      <c r="A4664" t="s">
        <v>4701</v>
      </c>
      <c r="B4664">
        <v>66</v>
      </c>
      <c r="C4664" t="s">
        <v>18</v>
      </c>
      <c r="D4664" t="s">
        <v>21</v>
      </c>
      <c r="E4664">
        <v>30</v>
      </c>
      <c r="F4664" t="s">
        <v>22</v>
      </c>
      <c r="G4664" t="s">
        <v>27</v>
      </c>
      <c r="H4664" s="1">
        <v>136.12</v>
      </c>
      <c r="I4664" t="s">
        <v>24</v>
      </c>
      <c r="J4664">
        <v>2</v>
      </c>
      <c r="K4664">
        <v>5</v>
      </c>
    </row>
    <row r="4665" spans="1:11" x14ac:dyDescent="0.35">
      <c r="A4665" t="s">
        <v>4702</v>
      </c>
      <c r="B4665">
        <v>50</v>
      </c>
      <c r="C4665" t="s">
        <v>12</v>
      </c>
      <c r="D4665" t="s">
        <v>30</v>
      </c>
      <c r="E4665">
        <v>10</v>
      </c>
      <c r="F4665" t="s">
        <v>26</v>
      </c>
      <c r="G4665" t="s">
        <v>34</v>
      </c>
      <c r="H4665" s="1">
        <v>118.63</v>
      </c>
      <c r="I4665" t="s">
        <v>24</v>
      </c>
      <c r="J4665">
        <v>2</v>
      </c>
      <c r="K4665">
        <v>6</v>
      </c>
    </row>
    <row r="4666" spans="1:11" x14ac:dyDescent="0.35">
      <c r="A4666" t="s">
        <v>4703</v>
      </c>
      <c r="B4666">
        <v>48</v>
      </c>
      <c r="C4666" t="s">
        <v>12</v>
      </c>
      <c r="D4666" t="s">
        <v>21</v>
      </c>
      <c r="E4666">
        <v>40</v>
      </c>
      <c r="F4666" t="s">
        <v>26</v>
      </c>
      <c r="G4666" t="s">
        <v>15</v>
      </c>
      <c r="H4666" s="1">
        <v>139.88999999999999</v>
      </c>
      <c r="I4666" t="s">
        <v>24</v>
      </c>
      <c r="J4666">
        <v>2</v>
      </c>
      <c r="K4666">
        <v>4</v>
      </c>
    </row>
    <row r="4667" spans="1:11" x14ac:dyDescent="0.35">
      <c r="A4667" t="s">
        <v>4704</v>
      </c>
      <c r="B4667">
        <v>60</v>
      </c>
      <c r="C4667" t="s">
        <v>18</v>
      </c>
      <c r="D4667" t="s">
        <v>21</v>
      </c>
      <c r="E4667">
        <v>20</v>
      </c>
      <c r="F4667" t="s">
        <v>22</v>
      </c>
      <c r="G4667" t="s">
        <v>27</v>
      </c>
      <c r="H4667" s="1">
        <v>47.18</v>
      </c>
      <c r="I4667" t="s">
        <v>24</v>
      </c>
      <c r="J4667">
        <v>1</v>
      </c>
      <c r="K4667">
        <v>5</v>
      </c>
    </row>
    <row r="4668" spans="1:11" x14ac:dyDescent="0.35">
      <c r="A4668" t="s">
        <v>4705</v>
      </c>
      <c r="B4668">
        <v>52</v>
      </c>
      <c r="C4668" t="s">
        <v>18</v>
      </c>
      <c r="D4668" t="s">
        <v>13</v>
      </c>
      <c r="E4668">
        <v>12</v>
      </c>
      <c r="F4668" t="s">
        <v>31</v>
      </c>
      <c r="G4668" t="s">
        <v>37</v>
      </c>
      <c r="H4668" s="1">
        <v>177.61</v>
      </c>
      <c r="I4668" t="s">
        <v>24</v>
      </c>
      <c r="J4668">
        <v>1</v>
      </c>
      <c r="K4668">
        <v>5</v>
      </c>
    </row>
    <row r="4669" spans="1:11" x14ac:dyDescent="0.35">
      <c r="A4669" t="s">
        <v>4706</v>
      </c>
      <c r="B4669">
        <v>64</v>
      </c>
      <c r="C4669" t="s">
        <v>12</v>
      </c>
      <c r="D4669" t="s">
        <v>13</v>
      </c>
      <c r="E4669">
        <v>24</v>
      </c>
      <c r="F4669" t="s">
        <v>22</v>
      </c>
      <c r="G4669" t="s">
        <v>15</v>
      </c>
      <c r="H4669" s="1">
        <v>330.21</v>
      </c>
      <c r="I4669" t="s">
        <v>24</v>
      </c>
      <c r="J4669">
        <v>1</v>
      </c>
      <c r="K4669">
        <v>5</v>
      </c>
    </row>
    <row r="4670" spans="1:11" x14ac:dyDescent="0.35">
      <c r="A4670" t="s">
        <v>4707</v>
      </c>
      <c r="B4670">
        <v>28</v>
      </c>
      <c r="C4670" t="s">
        <v>12</v>
      </c>
      <c r="D4670" t="s">
        <v>13</v>
      </c>
      <c r="E4670">
        <v>10</v>
      </c>
      <c r="F4670" t="s">
        <v>22</v>
      </c>
      <c r="G4670" t="s">
        <v>34</v>
      </c>
      <c r="H4670" s="1">
        <v>171.1</v>
      </c>
      <c r="I4670" t="s">
        <v>24</v>
      </c>
      <c r="J4670">
        <v>1</v>
      </c>
      <c r="K4670">
        <v>4</v>
      </c>
    </row>
    <row r="4671" spans="1:11" x14ac:dyDescent="0.35">
      <c r="A4671" t="s">
        <v>4708</v>
      </c>
      <c r="B4671">
        <v>73</v>
      </c>
      <c r="C4671" t="s">
        <v>12</v>
      </c>
      <c r="D4671" t="s">
        <v>200</v>
      </c>
      <c r="E4671">
        <v>9</v>
      </c>
      <c r="F4671" t="s">
        <v>31</v>
      </c>
      <c r="G4671" t="s">
        <v>37</v>
      </c>
      <c r="H4671" s="1">
        <v>188.56</v>
      </c>
      <c r="I4671" t="s">
        <v>24</v>
      </c>
      <c r="J4671">
        <v>0</v>
      </c>
      <c r="K4671">
        <v>5</v>
      </c>
    </row>
    <row r="4672" spans="1:11" x14ac:dyDescent="0.35">
      <c r="A4672" t="s">
        <v>4709</v>
      </c>
      <c r="B4672">
        <v>18</v>
      </c>
      <c r="C4672" t="s">
        <v>18</v>
      </c>
      <c r="D4672" t="s">
        <v>19</v>
      </c>
      <c r="E4672">
        <v>9</v>
      </c>
      <c r="F4672" t="s">
        <v>22</v>
      </c>
      <c r="G4672" t="s">
        <v>34</v>
      </c>
      <c r="H4672" s="1">
        <v>163.18</v>
      </c>
      <c r="I4672" t="s">
        <v>24</v>
      </c>
      <c r="J4672">
        <v>1</v>
      </c>
      <c r="K4672">
        <v>4</v>
      </c>
    </row>
    <row r="4673" spans="1:11" x14ac:dyDescent="0.35">
      <c r="A4673" t="s">
        <v>4710</v>
      </c>
      <c r="B4673">
        <v>43</v>
      </c>
      <c r="C4673" t="s">
        <v>12</v>
      </c>
      <c r="D4673" t="s">
        <v>19</v>
      </c>
      <c r="E4673">
        <v>14</v>
      </c>
      <c r="F4673" t="s">
        <v>31</v>
      </c>
      <c r="G4673" t="s">
        <v>37</v>
      </c>
      <c r="H4673" s="1">
        <v>170.39</v>
      </c>
      <c r="I4673" t="s">
        <v>24</v>
      </c>
      <c r="J4673">
        <v>0</v>
      </c>
      <c r="K4673">
        <v>4</v>
      </c>
    </row>
    <row r="4674" spans="1:11" x14ac:dyDescent="0.35">
      <c r="A4674" t="s">
        <v>4711</v>
      </c>
      <c r="B4674">
        <v>48</v>
      </c>
      <c r="C4674" t="s">
        <v>18</v>
      </c>
      <c r="D4674" t="s">
        <v>120</v>
      </c>
      <c r="E4674">
        <v>32</v>
      </c>
      <c r="F4674" t="s">
        <v>22</v>
      </c>
      <c r="G4674" t="s">
        <v>23</v>
      </c>
      <c r="H4674" s="1">
        <v>89.75</v>
      </c>
      <c r="I4674" t="s">
        <v>24</v>
      </c>
      <c r="J4674">
        <v>0</v>
      </c>
      <c r="K4674">
        <v>3</v>
      </c>
    </row>
    <row r="4675" spans="1:11" x14ac:dyDescent="0.35">
      <c r="A4675" t="s">
        <v>4712</v>
      </c>
      <c r="B4675">
        <v>56</v>
      </c>
      <c r="C4675" t="s">
        <v>12</v>
      </c>
      <c r="D4675" t="s">
        <v>19</v>
      </c>
      <c r="E4675">
        <v>9</v>
      </c>
      <c r="F4675" t="s">
        <v>33</v>
      </c>
      <c r="G4675" t="s">
        <v>23</v>
      </c>
      <c r="H4675" s="1">
        <v>541.94000000000005</v>
      </c>
      <c r="I4675" t="s">
        <v>24</v>
      </c>
      <c r="J4675">
        <v>3</v>
      </c>
      <c r="K4675">
        <v>5</v>
      </c>
    </row>
    <row r="4676" spans="1:11" x14ac:dyDescent="0.35">
      <c r="A4676" t="s">
        <v>4713</v>
      </c>
      <c r="B4676">
        <v>85</v>
      </c>
      <c r="C4676" t="s">
        <v>18</v>
      </c>
      <c r="D4676" t="s">
        <v>21</v>
      </c>
      <c r="E4676">
        <v>22</v>
      </c>
      <c r="F4676" t="s">
        <v>22</v>
      </c>
      <c r="G4676" t="s">
        <v>27</v>
      </c>
      <c r="H4676" s="1">
        <v>74.09</v>
      </c>
      <c r="I4676" t="s">
        <v>24</v>
      </c>
      <c r="J4676">
        <v>2</v>
      </c>
      <c r="K4676">
        <v>3</v>
      </c>
    </row>
    <row r="4677" spans="1:11" x14ac:dyDescent="0.35">
      <c r="A4677" t="s">
        <v>4714</v>
      </c>
      <c r="B4677">
        <v>68</v>
      </c>
      <c r="C4677" t="s">
        <v>12</v>
      </c>
      <c r="D4677" t="s">
        <v>21</v>
      </c>
      <c r="E4677">
        <v>17</v>
      </c>
      <c r="F4677" t="s">
        <v>33</v>
      </c>
      <c r="G4677" t="s">
        <v>15</v>
      </c>
      <c r="H4677" s="1">
        <v>428.82</v>
      </c>
      <c r="I4677" t="s">
        <v>24</v>
      </c>
      <c r="J4677">
        <v>1</v>
      </c>
      <c r="K4677">
        <v>6</v>
      </c>
    </row>
    <row r="4678" spans="1:11" x14ac:dyDescent="0.35">
      <c r="A4678" t="s">
        <v>4715</v>
      </c>
      <c r="B4678">
        <v>26</v>
      </c>
      <c r="C4678" t="s">
        <v>12</v>
      </c>
      <c r="D4678" t="s">
        <v>120</v>
      </c>
      <c r="E4678">
        <v>29</v>
      </c>
      <c r="F4678" t="s">
        <v>33</v>
      </c>
      <c r="G4678" t="s">
        <v>37</v>
      </c>
      <c r="H4678" s="1">
        <v>147.65</v>
      </c>
      <c r="I4678" t="s">
        <v>24</v>
      </c>
      <c r="J4678">
        <v>1</v>
      </c>
      <c r="K4678">
        <v>5</v>
      </c>
    </row>
    <row r="4679" spans="1:11" x14ac:dyDescent="0.35">
      <c r="A4679" t="s">
        <v>4716</v>
      </c>
      <c r="B4679">
        <v>56</v>
      </c>
      <c r="C4679" t="s">
        <v>18</v>
      </c>
      <c r="D4679" t="s">
        <v>19</v>
      </c>
      <c r="E4679">
        <v>8</v>
      </c>
      <c r="F4679" t="s">
        <v>14</v>
      </c>
      <c r="G4679" t="s">
        <v>34</v>
      </c>
      <c r="H4679" s="1">
        <v>0</v>
      </c>
      <c r="I4679" t="s">
        <v>16</v>
      </c>
      <c r="J4679">
        <v>1</v>
      </c>
      <c r="K4679">
        <v>10</v>
      </c>
    </row>
    <row r="4680" spans="1:11" x14ac:dyDescent="0.35">
      <c r="A4680" t="s">
        <v>4717</v>
      </c>
      <c r="B4680">
        <v>55</v>
      </c>
      <c r="C4680" t="s">
        <v>18</v>
      </c>
      <c r="D4680" t="s">
        <v>13</v>
      </c>
      <c r="E4680">
        <v>19</v>
      </c>
      <c r="F4680" t="s">
        <v>26</v>
      </c>
      <c r="G4680" t="s">
        <v>37</v>
      </c>
      <c r="H4680" s="1">
        <v>94.81</v>
      </c>
      <c r="I4680" t="s">
        <v>24</v>
      </c>
      <c r="J4680">
        <v>1</v>
      </c>
      <c r="K4680">
        <v>1</v>
      </c>
    </row>
    <row r="4681" spans="1:11" x14ac:dyDescent="0.35">
      <c r="A4681" t="s">
        <v>4718</v>
      </c>
      <c r="B4681">
        <v>65</v>
      </c>
      <c r="C4681" t="s">
        <v>12</v>
      </c>
      <c r="D4681" t="s">
        <v>19</v>
      </c>
      <c r="E4681">
        <v>20</v>
      </c>
      <c r="F4681" t="s">
        <v>33</v>
      </c>
      <c r="G4681" t="s">
        <v>15</v>
      </c>
      <c r="H4681" s="1">
        <v>416.67</v>
      </c>
      <c r="I4681" t="s">
        <v>24</v>
      </c>
      <c r="J4681">
        <v>2</v>
      </c>
      <c r="K4681">
        <v>5</v>
      </c>
    </row>
    <row r="4682" spans="1:11" x14ac:dyDescent="0.35">
      <c r="A4682" t="s">
        <v>4719</v>
      </c>
      <c r="B4682">
        <v>28</v>
      </c>
      <c r="C4682" t="s">
        <v>528</v>
      </c>
      <c r="D4682" t="s">
        <v>19</v>
      </c>
      <c r="E4682">
        <v>7</v>
      </c>
      <c r="F4682" t="s">
        <v>33</v>
      </c>
      <c r="G4682" t="s">
        <v>15</v>
      </c>
      <c r="H4682" s="1">
        <v>193.05</v>
      </c>
      <c r="I4682" t="s">
        <v>28</v>
      </c>
      <c r="J4682">
        <v>0</v>
      </c>
      <c r="K4682">
        <v>8</v>
      </c>
    </row>
    <row r="4683" spans="1:11" x14ac:dyDescent="0.35">
      <c r="A4683" t="s">
        <v>4720</v>
      </c>
      <c r="B4683">
        <v>82</v>
      </c>
      <c r="C4683" t="s">
        <v>18</v>
      </c>
      <c r="D4683" t="s">
        <v>57</v>
      </c>
      <c r="E4683">
        <v>24</v>
      </c>
      <c r="F4683" t="s">
        <v>33</v>
      </c>
      <c r="G4683" t="s">
        <v>34</v>
      </c>
      <c r="H4683" s="1">
        <v>186.64</v>
      </c>
      <c r="I4683" t="s">
        <v>24</v>
      </c>
      <c r="J4683">
        <v>2</v>
      </c>
      <c r="K4683">
        <v>4</v>
      </c>
    </row>
    <row r="4684" spans="1:11" x14ac:dyDescent="0.35">
      <c r="A4684" t="s">
        <v>4721</v>
      </c>
      <c r="B4684">
        <v>23</v>
      </c>
      <c r="C4684" t="s">
        <v>12</v>
      </c>
      <c r="D4684" t="s">
        <v>30</v>
      </c>
      <c r="E4684">
        <v>8</v>
      </c>
      <c r="F4684" t="s">
        <v>26</v>
      </c>
      <c r="G4684" t="s">
        <v>37</v>
      </c>
      <c r="H4684" s="1">
        <v>182</v>
      </c>
      <c r="I4684" t="s">
        <v>24</v>
      </c>
      <c r="J4684">
        <v>0</v>
      </c>
      <c r="K4684">
        <v>10</v>
      </c>
    </row>
    <row r="4685" spans="1:11" x14ac:dyDescent="0.35">
      <c r="A4685" t="s">
        <v>4722</v>
      </c>
      <c r="B4685">
        <v>71</v>
      </c>
      <c r="C4685" t="s">
        <v>12</v>
      </c>
      <c r="D4685" t="s">
        <v>19</v>
      </c>
      <c r="E4685">
        <v>8</v>
      </c>
      <c r="F4685" t="s">
        <v>31</v>
      </c>
      <c r="G4685" t="s">
        <v>34</v>
      </c>
      <c r="H4685" s="1">
        <v>211</v>
      </c>
      <c r="I4685" t="s">
        <v>24</v>
      </c>
      <c r="J4685">
        <v>0</v>
      </c>
      <c r="K4685">
        <v>7</v>
      </c>
    </row>
    <row r="4686" spans="1:11" x14ac:dyDescent="0.35">
      <c r="A4686" t="s">
        <v>4723</v>
      </c>
      <c r="B4686">
        <v>82</v>
      </c>
      <c r="C4686" t="s">
        <v>18</v>
      </c>
      <c r="D4686" t="s">
        <v>13</v>
      </c>
      <c r="E4686">
        <v>13</v>
      </c>
      <c r="F4686" t="s">
        <v>22</v>
      </c>
      <c r="G4686" t="s">
        <v>34</v>
      </c>
      <c r="H4686" s="1">
        <v>100.86</v>
      </c>
      <c r="I4686" t="s">
        <v>24</v>
      </c>
      <c r="J4686">
        <v>1</v>
      </c>
      <c r="K4686">
        <v>8</v>
      </c>
    </row>
    <row r="4687" spans="1:11" x14ac:dyDescent="0.35">
      <c r="A4687" t="s">
        <v>4724</v>
      </c>
      <c r="B4687">
        <v>37</v>
      </c>
      <c r="C4687" t="s">
        <v>12</v>
      </c>
      <c r="D4687" t="s">
        <v>13</v>
      </c>
      <c r="E4687">
        <v>16</v>
      </c>
      <c r="F4687" t="s">
        <v>22</v>
      </c>
      <c r="G4687" t="s">
        <v>27</v>
      </c>
      <c r="H4687" s="1">
        <v>72.739999999999995</v>
      </c>
      <c r="I4687" t="s">
        <v>24</v>
      </c>
      <c r="J4687">
        <v>3</v>
      </c>
      <c r="K4687">
        <v>8</v>
      </c>
    </row>
    <row r="4688" spans="1:11" x14ac:dyDescent="0.35">
      <c r="A4688" t="s">
        <v>4725</v>
      </c>
      <c r="B4688">
        <v>23</v>
      </c>
      <c r="C4688" t="s">
        <v>18</v>
      </c>
      <c r="D4688" t="s">
        <v>19</v>
      </c>
      <c r="E4688">
        <v>19</v>
      </c>
      <c r="F4688" t="s">
        <v>14</v>
      </c>
      <c r="G4688" t="s">
        <v>37</v>
      </c>
      <c r="H4688" s="1">
        <v>0</v>
      </c>
      <c r="I4688" t="s">
        <v>16</v>
      </c>
      <c r="J4688">
        <v>2</v>
      </c>
      <c r="K4688">
        <v>1</v>
      </c>
    </row>
    <row r="4689" spans="1:11" x14ac:dyDescent="0.35">
      <c r="A4689" t="s">
        <v>4726</v>
      </c>
      <c r="B4689">
        <v>26</v>
      </c>
      <c r="C4689" t="s">
        <v>18</v>
      </c>
      <c r="D4689" t="s">
        <v>21</v>
      </c>
      <c r="E4689">
        <v>15</v>
      </c>
      <c r="F4689" t="s">
        <v>33</v>
      </c>
      <c r="G4689" t="s">
        <v>15</v>
      </c>
      <c r="H4689" s="1">
        <v>250.48</v>
      </c>
      <c r="I4689" t="s">
        <v>24</v>
      </c>
      <c r="J4689">
        <v>1</v>
      </c>
      <c r="K4689">
        <v>7</v>
      </c>
    </row>
    <row r="4690" spans="1:11" x14ac:dyDescent="0.35">
      <c r="A4690" t="s">
        <v>4727</v>
      </c>
      <c r="B4690">
        <v>67</v>
      </c>
      <c r="C4690" t="s">
        <v>18</v>
      </c>
      <c r="D4690" t="s">
        <v>47</v>
      </c>
      <c r="E4690">
        <v>2</v>
      </c>
      <c r="F4690" t="s">
        <v>22</v>
      </c>
      <c r="G4690" t="s">
        <v>27</v>
      </c>
      <c r="H4690" s="1">
        <v>34.65</v>
      </c>
      <c r="I4690" t="s">
        <v>24</v>
      </c>
      <c r="J4690">
        <v>0</v>
      </c>
      <c r="K4690">
        <v>10</v>
      </c>
    </row>
    <row r="4691" spans="1:11" x14ac:dyDescent="0.35">
      <c r="A4691" t="s">
        <v>4728</v>
      </c>
      <c r="B4691">
        <v>38</v>
      </c>
      <c r="C4691" t="s">
        <v>12</v>
      </c>
      <c r="D4691" t="s">
        <v>21</v>
      </c>
      <c r="E4691">
        <v>25</v>
      </c>
      <c r="F4691" t="s">
        <v>26</v>
      </c>
      <c r="G4691" t="s">
        <v>15</v>
      </c>
      <c r="H4691" s="1">
        <v>307.17</v>
      </c>
      <c r="I4691" t="s">
        <v>24</v>
      </c>
      <c r="J4691">
        <v>1</v>
      </c>
      <c r="K4691">
        <v>5</v>
      </c>
    </row>
    <row r="4692" spans="1:11" x14ac:dyDescent="0.35">
      <c r="A4692" t="s">
        <v>4729</v>
      </c>
      <c r="B4692">
        <v>44</v>
      </c>
      <c r="C4692" t="s">
        <v>12</v>
      </c>
      <c r="D4692" t="s">
        <v>19</v>
      </c>
      <c r="E4692">
        <v>12</v>
      </c>
      <c r="F4692" t="s">
        <v>22</v>
      </c>
      <c r="G4692" t="s">
        <v>15</v>
      </c>
      <c r="H4692" s="1">
        <v>114.25</v>
      </c>
      <c r="I4692" t="s">
        <v>24</v>
      </c>
      <c r="J4692">
        <v>1</v>
      </c>
      <c r="K4692">
        <v>7</v>
      </c>
    </row>
    <row r="4693" spans="1:11" x14ac:dyDescent="0.35">
      <c r="A4693" t="s">
        <v>4730</v>
      </c>
      <c r="B4693">
        <v>76</v>
      </c>
      <c r="C4693" t="s">
        <v>12</v>
      </c>
      <c r="D4693" t="s">
        <v>21</v>
      </c>
      <c r="E4693">
        <v>31</v>
      </c>
      <c r="F4693" t="s">
        <v>33</v>
      </c>
      <c r="G4693" t="s">
        <v>23</v>
      </c>
      <c r="H4693" s="1">
        <v>289.02999999999997</v>
      </c>
      <c r="I4693" t="s">
        <v>24</v>
      </c>
      <c r="J4693">
        <v>2</v>
      </c>
      <c r="K4693">
        <v>4</v>
      </c>
    </row>
    <row r="4694" spans="1:11" x14ac:dyDescent="0.35">
      <c r="A4694" t="s">
        <v>4731</v>
      </c>
      <c r="B4694">
        <v>56</v>
      </c>
      <c r="C4694" t="s">
        <v>12</v>
      </c>
      <c r="D4694" t="s">
        <v>19</v>
      </c>
      <c r="E4694">
        <v>19</v>
      </c>
      <c r="F4694" t="s">
        <v>22</v>
      </c>
      <c r="G4694" t="s">
        <v>37</v>
      </c>
      <c r="H4694" s="1">
        <v>115.61</v>
      </c>
      <c r="I4694" t="s">
        <v>24</v>
      </c>
      <c r="J4694">
        <v>3</v>
      </c>
      <c r="K4694">
        <v>5</v>
      </c>
    </row>
    <row r="4695" spans="1:11" x14ac:dyDescent="0.35">
      <c r="A4695" t="s">
        <v>4732</v>
      </c>
      <c r="B4695">
        <v>26</v>
      </c>
      <c r="C4695" t="s">
        <v>12</v>
      </c>
      <c r="D4695" t="s">
        <v>13</v>
      </c>
      <c r="E4695">
        <v>13</v>
      </c>
      <c r="F4695" t="s">
        <v>26</v>
      </c>
      <c r="G4695" t="s">
        <v>23</v>
      </c>
      <c r="H4695" s="1">
        <v>264.56</v>
      </c>
      <c r="I4695" t="s">
        <v>24</v>
      </c>
      <c r="J4695">
        <v>0</v>
      </c>
      <c r="K4695">
        <v>4</v>
      </c>
    </row>
    <row r="4696" spans="1:11" x14ac:dyDescent="0.35">
      <c r="A4696" t="s">
        <v>4733</v>
      </c>
      <c r="B4696">
        <v>69</v>
      </c>
      <c r="C4696" t="s">
        <v>18</v>
      </c>
      <c r="D4696" t="s">
        <v>19</v>
      </c>
      <c r="E4696">
        <v>19</v>
      </c>
      <c r="F4696" t="s">
        <v>14</v>
      </c>
      <c r="G4696" t="s">
        <v>34</v>
      </c>
      <c r="H4696" s="1">
        <v>0</v>
      </c>
      <c r="I4696" t="s">
        <v>16</v>
      </c>
      <c r="J4696">
        <v>1</v>
      </c>
      <c r="K4696">
        <v>3</v>
      </c>
    </row>
    <row r="4697" spans="1:11" x14ac:dyDescent="0.35">
      <c r="A4697" t="s">
        <v>4734</v>
      </c>
      <c r="B4697">
        <v>47</v>
      </c>
      <c r="C4697" t="s">
        <v>12</v>
      </c>
      <c r="D4697" t="s">
        <v>30</v>
      </c>
      <c r="E4697">
        <v>6</v>
      </c>
      <c r="F4697" t="s">
        <v>22</v>
      </c>
      <c r="G4697" t="s">
        <v>37</v>
      </c>
      <c r="H4697" s="1">
        <v>138.62</v>
      </c>
      <c r="I4697" t="s">
        <v>24</v>
      </c>
      <c r="J4697">
        <v>0</v>
      </c>
      <c r="K4697">
        <v>7</v>
      </c>
    </row>
    <row r="4698" spans="1:11" x14ac:dyDescent="0.35">
      <c r="A4698" t="s">
        <v>4735</v>
      </c>
      <c r="B4698">
        <v>34</v>
      </c>
      <c r="C4698" t="s">
        <v>12</v>
      </c>
      <c r="D4698" t="s">
        <v>19</v>
      </c>
      <c r="E4698">
        <v>16</v>
      </c>
      <c r="F4698" t="s">
        <v>22</v>
      </c>
      <c r="G4698" t="s">
        <v>27</v>
      </c>
      <c r="H4698" s="1">
        <v>156.46</v>
      </c>
      <c r="I4698" t="s">
        <v>24</v>
      </c>
      <c r="J4698">
        <v>0</v>
      </c>
      <c r="K4698">
        <v>7</v>
      </c>
    </row>
    <row r="4699" spans="1:11" x14ac:dyDescent="0.35">
      <c r="A4699" t="s">
        <v>4736</v>
      </c>
      <c r="B4699">
        <v>35</v>
      </c>
      <c r="C4699" t="s">
        <v>18</v>
      </c>
      <c r="D4699" t="s">
        <v>13</v>
      </c>
      <c r="E4699">
        <v>19</v>
      </c>
      <c r="F4699" t="s">
        <v>22</v>
      </c>
      <c r="G4699" t="s">
        <v>27</v>
      </c>
      <c r="H4699" s="1">
        <v>145.41</v>
      </c>
      <c r="I4699" t="s">
        <v>24</v>
      </c>
      <c r="J4699">
        <v>2</v>
      </c>
      <c r="K4699">
        <v>1</v>
      </c>
    </row>
    <row r="4700" spans="1:11" x14ac:dyDescent="0.35">
      <c r="A4700" t="s">
        <v>4737</v>
      </c>
      <c r="B4700">
        <v>41</v>
      </c>
      <c r="C4700" t="s">
        <v>18</v>
      </c>
      <c r="D4700" t="s">
        <v>120</v>
      </c>
      <c r="E4700">
        <v>17</v>
      </c>
      <c r="F4700" t="s">
        <v>22</v>
      </c>
      <c r="G4700" t="s">
        <v>15</v>
      </c>
      <c r="H4700" s="1">
        <v>274.05</v>
      </c>
      <c r="I4700" t="s">
        <v>28</v>
      </c>
      <c r="J4700">
        <v>3</v>
      </c>
      <c r="K4700">
        <v>8</v>
      </c>
    </row>
    <row r="4701" spans="1:11" x14ac:dyDescent="0.35">
      <c r="A4701" t="s">
        <v>4738</v>
      </c>
      <c r="B4701">
        <v>57</v>
      </c>
      <c r="C4701" t="s">
        <v>12</v>
      </c>
      <c r="D4701" t="s">
        <v>13</v>
      </c>
      <c r="E4701">
        <v>22</v>
      </c>
      <c r="F4701" t="s">
        <v>26</v>
      </c>
      <c r="G4701" t="s">
        <v>15</v>
      </c>
      <c r="H4701" s="1">
        <v>257.70999999999998</v>
      </c>
      <c r="I4701" t="s">
        <v>24</v>
      </c>
      <c r="J4701">
        <v>2</v>
      </c>
      <c r="K4701">
        <v>3</v>
      </c>
    </row>
    <row r="4702" spans="1:11" x14ac:dyDescent="0.35">
      <c r="A4702" t="s">
        <v>4739</v>
      </c>
      <c r="B4702">
        <v>70</v>
      </c>
      <c r="C4702" t="s">
        <v>18</v>
      </c>
      <c r="D4702" t="s">
        <v>13</v>
      </c>
      <c r="E4702">
        <v>23</v>
      </c>
      <c r="F4702" t="s">
        <v>33</v>
      </c>
      <c r="G4702" t="s">
        <v>27</v>
      </c>
      <c r="H4702" s="1">
        <v>46.74</v>
      </c>
      <c r="I4702" t="s">
        <v>24</v>
      </c>
      <c r="J4702">
        <v>0</v>
      </c>
      <c r="K4702">
        <v>5</v>
      </c>
    </row>
    <row r="4703" spans="1:11" x14ac:dyDescent="0.35">
      <c r="A4703" t="s">
        <v>4740</v>
      </c>
      <c r="B4703">
        <v>27</v>
      </c>
      <c r="C4703" t="s">
        <v>12</v>
      </c>
      <c r="D4703" t="s">
        <v>30</v>
      </c>
      <c r="E4703">
        <v>10</v>
      </c>
      <c r="F4703" t="s">
        <v>14</v>
      </c>
      <c r="G4703" t="s">
        <v>34</v>
      </c>
      <c r="H4703" s="1">
        <v>0</v>
      </c>
      <c r="I4703" t="s">
        <v>16</v>
      </c>
      <c r="J4703">
        <v>0</v>
      </c>
      <c r="K4703">
        <v>5</v>
      </c>
    </row>
    <row r="4704" spans="1:11" x14ac:dyDescent="0.35">
      <c r="A4704" t="s">
        <v>4741</v>
      </c>
      <c r="B4704">
        <v>24</v>
      </c>
      <c r="C4704" t="s">
        <v>18</v>
      </c>
      <c r="D4704" t="s">
        <v>21</v>
      </c>
      <c r="E4704">
        <v>46</v>
      </c>
      <c r="F4704" t="s">
        <v>22</v>
      </c>
      <c r="G4704" t="s">
        <v>27</v>
      </c>
      <c r="H4704" s="1">
        <v>161.06</v>
      </c>
      <c r="I4704" t="s">
        <v>24</v>
      </c>
      <c r="J4704">
        <v>1</v>
      </c>
      <c r="K4704">
        <v>5</v>
      </c>
    </row>
    <row r="4705" spans="1:11" x14ac:dyDescent="0.35">
      <c r="A4705" t="s">
        <v>4742</v>
      </c>
      <c r="B4705">
        <v>44</v>
      </c>
      <c r="C4705" t="s">
        <v>18</v>
      </c>
      <c r="D4705" t="s">
        <v>13</v>
      </c>
      <c r="E4705">
        <v>11</v>
      </c>
      <c r="F4705" t="s">
        <v>33</v>
      </c>
      <c r="G4705" t="s">
        <v>27</v>
      </c>
      <c r="H4705" s="1">
        <v>52.92</v>
      </c>
      <c r="I4705" t="s">
        <v>24</v>
      </c>
      <c r="J4705">
        <v>1</v>
      </c>
      <c r="K4705">
        <v>7</v>
      </c>
    </row>
    <row r="4706" spans="1:11" x14ac:dyDescent="0.35">
      <c r="A4706" t="s">
        <v>4743</v>
      </c>
      <c r="B4706">
        <v>58</v>
      </c>
      <c r="C4706" t="s">
        <v>18</v>
      </c>
      <c r="D4706" t="s">
        <v>19</v>
      </c>
      <c r="E4706">
        <v>21</v>
      </c>
      <c r="F4706" t="s">
        <v>14</v>
      </c>
      <c r="G4706" t="s">
        <v>15</v>
      </c>
      <c r="H4706" s="1">
        <v>0</v>
      </c>
      <c r="I4706" t="s">
        <v>16</v>
      </c>
      <c r="J4706">
        <v>0</v>
      </c>
      <c r="K4706">
        <v>3</v>
      </c>
    </row>
    <row r="4707" spans="1:11" x14ac:dyDescent="0.35">
      <c r="A4707" t="s">
        <v>4744</v>
      </c>
      <c r="B4707">
        <v>69</v>
      </c>
      <c r="C4707" t="s">
        <v>18</v>
      </c>
      <c r="D4707" t="s">
        <v>19</v>
      </c>
      <c r="E4707">
        <v>14</v>
      </c>
      <c r="F4707" t="s">
        <v>31</v>
      </c>
      <c r="G4707" t="s">
        <v>23</v>
      </c>
      <c r="H4707" s="1">
        <v>95.92</v>
      </c>
      <c r="I4707" t="s">
        <v>24</v>
      </c>
      <c r="J4707">
        <v>2</v>
      </c>
      <c r="K4707">
        <v>7</v>
      </c>
    </row>
    <row r="4708" spans="1:11" x14ac:dyDescent="0.35">
      <c r="A4708" t="s">
        <v>4745</v>
      </c>
      <c r="B4708">
        <v>65</v>
      </c>
      <c r="C4708" t="s">
        <v>12</v>
      </c>
      <c r="D4708" t="s">
        <v>21</v>
      </c>
      <c r="E4708">
        <v>47</v>
      </c>
      <c r="F4708" t="s">
        <v>22</v>
      </c>
      <c r="G4708" t="s">
        <v>34</v>
      </c>
      <c r="H4708" s="1">
        <v>114.12</v>
      </c>
      <c r="I4708" t="s">
        <v>24</v>
      </c>
      <c r="J4708">
        <v>1</v>
      </c>
      <c r="K4708">
        <v>1</v>
      </c>
    </row>
    <row r="4709" spans="1:11" x14ac:dyDescent="0.35">
      <c r="A4709" t="s">
        <v>4746</v>
      </c>
      <c r="B4709">
        <v>26</v>
      </c>
      <c r="C4709" t="s">
        <v>18</v>
      </c>
      <c r="D4709" t="s">
        <v>21</v>
      </c>
      <c r="E4709">
        <v>22</v>
      </c>
      <c r="F4709" t="s">
        <v>14</v>
      </c>
      <c r="G4709" t="s">
        <v>27</v>
      </c>
      <c r="H4709" s="1">
        <v>0</v>
      </c>
      <c r="I4709" t="s">
        <v>16</v>
      </c>
      <c r="J4709">
        <v>2</v>
      </c>
      <c r="K4709">
        <v>3</v>
      </c>
    </row>
    <row r="4710" spans="1:11" x14ac:dyDescent="0.35">
      <c r="A4710" t="s">
        <v>4747</v>
      </c>
      <c r="B4710">
        <v>46</v>
      </c>
      <c r="C4710" t="s">
        <v>18</v>
      </c>
      <c r="D4710" t="s">
        <v>19</v>
      </c>
      <c r="E4710">
        <v>10</v>
      </c>
      <c r="F4710" t="s">
        <v>33</v>
      </c>
      <c r="G4710" t="s">
        <v>23</v>
      </c>
      <c r="H4710" s="1">
        <v>369.8</v>
      </c>
      <c r="I4710" t="s">
        <v>28</v>
      </c>
      <c r="J4710">
        <v>1</v>
      </c>
      <c r="K4710">
        <v>8</v>
      </c>
    </row>
    <row r="4711" spans="1:11" x14ac:dyDescent="0.35">
      <c r="A4711" t="s">
        <v>4748</v>
      </c>
      <c r="B4711">
        <v>35</v>
      </c>
      <c r="C4711" t="s">
        <v>12</v>
      </c>
      <c r="D4711" t="s">
        <v>21</v>
      </c>
      <c r="E4711">
        <v>37</v>
      </c>
      <c r="F4711" t="s">
        <v>26</v>
      </c>
      <c r="G4711" t="s">
        <v>23</v>
      </c>
      <c r="H4711" s="1">
        <v>169.99</v>
      </c>
      <c r="I4711" t="s">
        <v>24</v>
      </c>
      <c r="J4711">
        <v>4</v>
      </c>
      <c r="K4711">
        <v>1</v>
      </c>
    </row>
    <row r="4712" spans="1:11" x14ac:dyDescent="0.35">
      <c r="A4712" t="s">
        <v>4749</v>
      </c>
      <c r="B4712">
        <v>21</v>
      </c>
      <c r="C4712" t="s">
        <v>18</v>
      </c>
      <c r="D4712" t="s">
        <v>19</v>
      </c>
      <c r="E4712">
        <v>9</v>
      </c>
      <c r="F4712" t="s">
        <v>31</v>
      </c>
      <c r="G4712" t="s">
        <v>23</v>
      </c>
      <c r="H4712" s="1">
        <v>333.34</v>
      </c>
      <c r="I4712" t="s">
        <v>43</v>
      </c>
      <c r="J4712">
        <v>2</v>
      </c>
      <c r="K4712">
        <v>5</v>
      </c>
    </row>
    <row r="4713" spans="1:11" x14ac:dyDescent="0.35">
      <c r="A4713" t="s">
        <v>4750</v>
      </c>
      <c r="B4713">
        <v>79</v>
      </c>
      <c r="C4713" t="s">
        <v>12</v>
      </c>
      <c r="D4713" t="s">
        <v>47</v>
      </c>
      <c r="E4713">
        <v>2</v>
      </c>
      <c r="F4713" t="s">
        <v>33</v>
      </c>
      <c r="G4713" t="s">
        <v>15</v>
      </c>
      <c r="H4713" s="1">
        <v>121.71</v>
      </c>
      <c r="I4713" t="s">
        <v>24</v>
      </c>
      <c r="J4713">
        <v>0</v>
      </c>
      <c r="K4713">
        <v>8</v>
      </c>
    </row>
    <row r="4714" spans="1:11" x14ac:dyDescent="0.35">
      <c r="A4714" t="s">
        <v>4751</v>
      </c>
      <c r="B4714">
        <v>61</v>
      </c>
      <c r="C4714" t="s">
        <v>18</v>
      </c>
      <c r="D4714" t="s">
        <v>21</v>
      </c>
      <c r="E4714">
        <v>35</v>
      </c>
      <c r="F4714" t="s">
        <v>22</v>
      </c>
      <c r="G4714" t="s">
        <v>34</v>
      </c>
      <c r="H4714" s="1">
        <v>120.87</v>
      </c>
      <c r="I4714" t="s">
        <v>24</v>
      </c>
      <c r="J4714">
        <v>2</v>
      </c>
      <c r="K4714">
        <v>1</v>
      </c>
    </row>
    <row r="4715" spans="1:11" x14ac:dyDescent="0.35">
      <c r="A4715" t="s">
        <v>4752</v>
      </c>
      <c r="B4715">
        <v>71</v>
      </c>
      <c r="C4715" t="s">
        <v>12</v>
      </c>
      <c r="D4715" t="s">
        <v>19</v>
      </c>
      <c r="E4715">
        <v>14</v>
      </c>
      <c r="F4715" t="s">
        <v>26</v>
      </c>
      <c r="G4715" t="s">
        <v>27</v>
      </c>
      <c r="H4715" s="1">
        <v>90.42</v>
      </c>
      <c r="I4715" t="s">
        <v>24</v>
      </c>
      <c r="J4715">
        <v>1</v>
      </c>
      <c r="K4715">
        <v>7</v>
      </c>
    </row>
    <row r="4716" spans="1:11" x14ac:dyDescent="0.35">
      <c r="A4716" t="s">
        <v>4753</v>
      </c>
      <c r="B4716">
        <v>83</v>
      </c>
      <c r="C4716" t="s">
        <v>12</v>
      </c>
      <c r="D4716" t="s">
        <v>19</v>
      </c>
      <c r="E4716">
        <v>24</v>
      </c>
      <c r="F4716" t="s">
        <v>26</v>
      </c>
      <c r="G4716" t="s">
        <v>15</v>
      </c>
      <c r="H4716" s="1">
        <v>170.49</v>
      </c>
      <c r="I4716" t="s">
        <v>24</v>
      </c>
      <c r="J4716">
        <v>4</v>
      </c>
      <c r="K4716">
        <v>5</v>
      </c>
    </row>
    <row r="4717" spans="1:11" x14ac:dyDescent="0.35">
      <c r="A4717" t="s">
        <v>4754</v>
      </c>
      <c r="B4717">
        <v>29</v>
      </c>
      <c r="C4717" t="s">
        <v>12</v>
      </c>
      <c r="D4717" t="s">
        <v>19</v>
      </c>
      <c r="E4717">
        <v>8</v>
      </c>
      <c r="F4717" t="s">
        <v>31</v>
      </c>
      <c r="G4717" t="s">
        <v>34</v>
      </c>
      <c r="H4717" s="1">
        <v>192.02</v>
      </c>
      <c r="I4717" t="s">
        <v>28</v>
      </c>
      <c r="J4717">
        <v>0</v>
      </c>
      <c r="K4717">
        <v>8</v>
      </c>
    </row>
    <row r="4718" spans="1:11" x14ac:dyDescent="0.35">
      <c r="A4718" t="s">
        <v>4755</v>
      </c>
      <c r="B4718">
        <v>26</v>
      </c>
      <c r="C4718" t="s">
        <v>18</v>
      </c>
      <c r="D4718" t="s">
        <v>21</v>
      </c>
      <c r="E4718">
        <v>30</v>
      </c>
      <c r="F4718" t="s">
        <v>26</v>
      </c>
      <c r="G4718" t="s">
        <v>23</v>
      </c>
      <c r="H4718" s="1">
        <v>138.65</v>
      </c>
      <c r="I4718" t="s">
        <v>24</v>
      </c>
      <c r="J4718">
        <v>1</v>
      </c>
      <c r="K4718">
        <v>1</v>
      </c>
    </row>
    <row r="4719" spans="1:11" x14ac:dyDescent="0.35">
      <c r="A4719" t="s">
        <v>4756</v>
      </c>
      <c r="B4719">
        <v>84</v>
      </c>
      <c r="C4719" t="s">
        <v>12</v>
      </c>
      <c r="D4719" t="s">
        <v>19</v>
      </c>
      <c r="E4719">
        <v>15</v>
      </c>
      <c r="F4719" t="s">
        <v>33</v>
      </c>
      <c r="G4719" t="s">
        <v>15</v>
      </c>
      <c r="H4719" s="1">
        <v>285.42</v>
      </c>
      <c r="I4719" t="s">
        <v>24</v>
      </c>
      <c r="J4719">
        <v>0</v>
      </c>
      <c r="K4719">
        <v>7</v>
      </c>
    </row>
    <row r="4720" spans="1:11" x14ac:dyDescent="0.35">
      <c r="A4720" t="s">
        <v>4757</v>
      </c>
      <c r="B4720">
        <v>67</v>
      </c>
      <c r="C4720" t="s">
        <v>18</v>
      </c>
      <c r="D4720" t="s">
        <v>19</v>
      </c>
      <c r="E4720">
        <v>8</v>
      </c>
      <c r="F4720" t="s">
        <v>22</v>
      </c>
      <c r="G4720" t="s">
        <v>27</v>
      </c>
      <c r="H4720" s="1">
        <v>133.31</v>
      </c>
      <c r="I4720" t="s">
        <v>28</v>
      </c>
      <c r="J4720">
        <v>1</v>
      </c>
      <c r="K4720">
        <v>10</v>
      </c>
    </row>
    <row r="4721" spans="1:11" x14ac:dyDescent="0.35">
      <c r="A4721" t="s">
        <v>4758</v>
      </c>
      <c r="B4721">
        <v>19</v>
      </c>
      <c r="C4721" t="s">
        <v>12</v>
      </c>
      <c r="D4721" t="s">
        <v>21</v>
      </c>
      <c r="E4721">
        <v>23</v>
      </c>
      <c r="F4721" t="s">
        <v>33</v>
      </c>
      <c r="G4721" t="s">
        <v>37</v>
      </c>
      <c r="H4721" s="1">
        <v>208.36</v>
      </c>
      <c r="I4721" t="s">
        <v>24</v>
      </c>
      <c r="J4721">
        <v>3</v>
      </c>
      <c r="K4721">
        <v>2</v>
      </c>
    </row>
    <row r="4722" spans="1:11" x14ac:dyDescent="0.35">
      <c r="A4722" t="s">
        <v>4759</v>
      </c>
      <c r="B4722">
        <v>44</v>
      </c>
      <c r="C4722" t="s">
        <v>12</v>
      </c>
      <c r="D4722" t="s">
        <v>19</v>
      </c>
      <c r="E4722">
        <v>24</v>
      </c>
      <c r="F4722" t="s">
        <v>22</v>
      </c>
      <c r="G4722" t="s">
        <v>27</v>
      </c>
      <c r="H4722" s="1">
        <v>153.91</v>
      </c>
      <c r="I4722" t="s">
        <v>24</v>
      </c>
      <c r="J4722">
        <v>4</v>
      </c>
      <c r="K4722">
        <v>5</v>
      </c>
    </row>
    <row r="4723" spans="1:11" x14ac:dyDescent="0.35">
      <c r="A4723" t="s">
        <v>4760</v>
      </c>
      <c r="B4723">
        <v>46</v>
      </c>
      <c r="C4723" t="s">
        <v>12</v>
      </c>
      <c r="D4723" t="s">
        <v>19</v>
      </c>
      <c r="E4723">
        <v>14</v>
      </c>
      <c r="F4723" t="s">
        <v>33</v>
      </c>
      <c r="G4723" t="s">
        <v>37</v>
      </c>
      <c r="H4723" s="1">
        <v>152.66</v>
      </c>
      <c r="I4723" t="s">
        <v>24</v>
      </c>
      <c r="J4723">
        <v>2</v>
      </c>
      <c r="K4723">
        <v>8</v>
      </c>
    </row>
    <row r="4724" spans="1:11" x14ac:dyDescent="0.35">
      <c r="A4724" t="s">
        <v>4761</v>
      </c>
      <c r="B4724">
        <v>28</v>
      </c>
      <c r="C4724" t="s">
        <v>18</v>
      </c>
      <c r="D4724" t="s">
        <v>41</v>
      </c>
      <c r="E4724">
        <v>11</v>
      </c>
      <c r="F4724" t="s">
        <v>33</v>
      </c>
      <c r="G4724" t="s">
        <v>27</v>
      </c>
      <c r="H4724" s="1">
        <v>151.59</v>
      </c>
      <c r="I4724" t="s">
        <v>24</v>
      </c>
      <c r="J4724">
        <v>0</v>
      </c>
      <c r="K4724">
        <v>5</v>
      </c>
    </row>
    <row r="4725" spans="1:11" x14ac:dyDescent="0.35">
      <c r="A4725" t="s">
        <v>4762</v>
      </c>
      <c r="B4725">
        <v>24</v>
      </c>
      <c r="C4725" t="s">
        <v>12</v>
      </c>
      <c r="D4725" t="s">
        <v>21</v>
      </c>
      <c r="E4725">
        <v>40</v>
      </c>
      <c r="F4725" t="s">
        <v>22</v>
      </c>
      <c r="G4725" t="s">
        <v>37</v>
      </c>
      <c r="H4725" s="1">
        <v>142.18</v>
      </c>
      <c r="I4725" t="s">
        <v>24</v>
      </c>
      <c r="J4725">
        <v>3</v>
      </c>
      <c r="K4725">
        <v>4</v>
      </c>
    </row>
    <row r="4726" spans="1:11" x14ac:dyDescent="0.35">
      <c r="A4726" t="s">
        <v>4763</v>
      </c>
      <c r="B4726">
        <v>63</v>
      </c>
      <c r="C4726" t="s">
        <v>18</v>
      </c>
      <c r="D4726" t="s">
        <v>13</v>
      </c>
      <c r="E4726">
        <v>19</v>
      </c>
      <c r="F4726" t="s">
        <v>31</v>
      </c>
      <c r="G4726" t="s">
        <v>23</v>
      </c>
      <c r="H4726" s="1">
        <v>301.67</v>
      </c>
      <c r="I4726" t="s">
        <v>24</v>
      </c>
      <c r="J4726">
        <v>2</v>
      </c>
      <c r="K4726">
        <v>3</v>
      </c>
    </row>
    <row r="4727" spans="1:11" x14ac:dyDescent="0.35">
      <c r="A4727" t="s">
        <v>4764</v>
      </c>
      <c r="B4727">
        <v>25</v>
      </c>
      <c r="C4727" t="s">
        <v>12</v>
      </c>
      <c r="D4727" t="s">
        <v>13</v>
      </c>
      <c r="E4727">
        <v>23</v>
      </c>
      <c r="F4727" t="s">
        <v>22</v>
      </c>
      <c r="G4727" t="s">
        <v>27</v>
      </c>
      <c r="H4727" s="1">
        <v>104.3</v>
      </c>
      <c r="I4727" t="s">
        <v>24</v>
      </c>
      <c r="J4727">
        <v>0</v>
      </c>
      <c r="K4727">
        <v>5</v>
      </c>
    </row>
    <row r="4728" spans="1:11" x14ac:dyDescent="0.35">
      <c r="A4728" t="s">
        <v>4765</v>
      </c>
      <c r="B4728">
        <v>38</v>
      </c>
      <c r="C4728" t="s">
        <v>12</v>
      </c>
      <c r="D4728" t="s">
        <v>21</v>
      </c>
      <c r="E4728">
        <v>41</v>
      </c>
      <c r="F4728" t="s">
        <v>22</v>
      </c>
      <c r="G4728" t="s">
        <v>15</v>
      </c>
      <c r="H4728" s="1">
        <v>107.31</v>
      </c>
      <c r="I4728" t="s">
        <v>24</v>
      </c>
      <c r="J4728">
        <v>2</v>
      </c>
      <c r="K4728">
        <v>1</v>
      </c>
    </row>
    <row r="4729" spans="1:11" x14ac:dyDescent="0.35">
      <c r="A4729" t="s">
        <v>4766</v>
      </c>
      <c r="B4729">
        <v>23</v>
      </c>
      <c r="C4729" t="s">
        <v>12</v>
      </c>
      <c r="D4729" t="s">
        <v>19</v>
      </c>
      <c r="E4729">
        <v>11</v>
      </c>
      <c r="F4729" t="s">
        <v>33</v>
      </c>
      <c r="G4729" t="s">
        <v>37</v>
      </c>
      <c r="H4729" s="1">
        <v>92.51</v>
      </c>
      <c r="I4729" t="s">
        <v>24</v>
      </c>
      <c r="J4729">
        <v>0</v>
      </c>
      <c r="K4729">
        <v>4</v>
      </c>
    </row>
    <row r="4730" spans="1:11" x14ac:dyDescent="0.35">
      <c r="A4730" t="s">
        <v>4767</v>
      </c>
      <c r="B4730">
        <v>50</v>
      </c>
      <c r="C4730" t="s">
        <v>18</v>
      </c>
      <c r="D4730" t="s">
        <v>47</v>
      </c>
      <c r="E4730">
        <v>11</v>
      </c>
      <c r="F4730" t="s">
        <v>33</v>
      </c>
      <c r="G4730" t="s">
        <v>27</v>
      </c>
      <c r="H4730" s="1">
        <v>174.17</v>
      </c>
      <c r="I4730" t="s">
        <v>24</v>
      </c>
      <c r="J4730">
        <v>2</v>
      </c>
      <c r="K4730">
        <v>4</v>
      </c>
    </row>
    <row r="4731" spans="1:11" x14ac:dyDescent="0.35">
      <c r="A4731" t="s">
        <v>4768</v>
      </c>
      <c r="B4731">
        <v>52</v>
      </c>
      <c r="C4731" t="s">
        <v>18</v>
      </c>
      <c r="D4731" t="s">
        <v>21</v>
      </c>
      <c r="E4731">
        <v>44</v>
      </c>
      <c r="F4731" t="s">
        <v>31</v>
      </c>
      <c r="G4731" t="s">
        <v>23</v>
      </c>
      <c r="H4731" s="1">
        <v>484.26</v>
      </c>
      <c r="I4731" t="s">
        <v>24</v>
      </c>
      <c r="J4731">
        <v>3</v>
      </c>
      <c r="K4731">
        <v>2</v>
      </c>
    </row>
    <row r="4732" spans="1:11" x14ac:dyDescent="0.35">
      <c r="A4732" t="s">
        <v>4769</v>
      </c>
      <c r="B4732">
        <v>43</v>
      </c>
      <c r="C4732" t="s">
        <v>12</v>
      </c>
      <c r="D4732" t="s">
        <v>19</v>
      </c>
      <c r="E4732">
        <v>19</v>
      </c>
      <c r="F4732" t="s">
        <v>22</v>
      </c>
      <c r="G4732" t="s">
        <v>27</v>
      </c>
      <c r="H4732" s="1">
        <v>22.62</v>
      </c>
      <c r="I4732" t="s">
        <v>24</v>
      </c>
      <c r="J4732">
        <v>2</v>
      </c>
      <c r="K4732">
        <v>1</v>
      </c>
    </row>
    <row r="4733" spans="1:11" x14ac:dyDescent="0.35">
      <c r="A4733" t="s">
        <v>4770</v>
      </c>
      <c r="B4733">
        <v>37</v>
      </c>
      <c r="C4733" t="s">
        <v>12</v>
      </c>
      <c r="D4733" t="s">
        <v>19</v>
      </c>
      <c r="E4733">
        <v>18</v>
      </c>
      <c r="F4733" t="s">
        <v>31</v>
      </c>
      <c r="G4733" t="s">
        <v>15</v>
      </c>
      <c r="H4733" s="1">
        <v>401.18</v>
      </c>
      <c r="I4733" t="s">
        <v>28</v>
      </c>
      <c r="J4733">
        <v>0</v>
      </c>
      <c r="K4733">
        <v>4</v>
      </c>
    </row>
    <row r="4734" spans="1:11" x14ac:dyDescent="0.35">
      <c r="A4734" t="s">
        <v>4771</v>
      </c>
      <c r="B4734">
        <v>47</v>
      </c>
      <c r="C4734" t="s">
        <v>18</v>
      </c>
      <c r="D4734" t="s">
        <v>19</v>
      </c>
      <c r="E4734">
        <v>21</v>
      </c>
      <c r="F4734" t="s">
        <v>31</v>
      </c>
      <c r="G4734" t="s">
        <v>37</v>
      </c>
      <c r="H4734" s="1">
        <v>180.95</v>
      </c>
      <c r="I4734" t="s">
        <v>24</v>
      </c>
      <c r="J4734">
        <v>0</v>
      </c>
      <c r="K4734">
        <v>4</v>
      </c>
    </row>
    <row r="4735" spans="1:11" x14ac:dyDescent="0.35">
      <c r="A4735" t="s">
        <v>4772</v>
      </c>
      <c r="B4735">
        <v>81</v>
      </c>
      <c r="C4735" t="s">
        <v>18</v>
      </c>
      <c r="D4735" t="s">
        <v>30</v>
      </c>
      <c r="E4735">
        <v>13</v>
      </c>
      <c r="F4735" t="s">
        <v>31</v>
      </c>
      <c r="G4735" t="s">
        <v>27</v>
      </c>
      <c r="H4735" s="1">
        <v>167.2</v>
      </c>
      <c r="I4735" t="s">
        <v>24</v>
      </c>
      <c r="J4735">
        <v>1</v>
      </c>
      <c r="K4735">
        <v>4</v>
      </c>
    </row>
    <row r="4736" spans="1:11" x14ac:dyDescent="0.35">
      <c r="A4736" t="s">
        <v>4773</v>
      </c>
      <c r="B4736">
        <v>54</v>
      </c>
      <c r="C4736" t="s">
        <v>12</v>
      </c>
      <c r="D4736" t="s">
        <v>19</v>
      </c>
      <c r="E4736">
        <v>6</v>
      </c>
      <c r="F4736" t="s">
        <v>22</v>
      </c>
      <c r="G4736" t="s">
        <v>37</v>
      </c>
      <c r="H4736" s="1">
        <v>138.04</v>
      </c>
      <c r="I4736" t="s">
        <v>24</v>
      </c>
      <c r="J4736">
        <v>2</v>
      </c>
      <c r="K4736">
        <v>8</v>
      </c>
    </row>
    <row r="4737" spans="1:11" x14ac:dyDescent="0.35">
      <c r="A4737" t="s">
        <v>4774</v>
      </c>
      <c r="B4737">
        <v>28</v>
      </c>
      <c r="C4737" t="s">
        <v>12</v>
      </c>
      <c r="D4737" t="s">
        <v>19</v>
      </c>
      <c r="E4737">
        <v>8</v>
      </c>
      <c r="F4737" t="s">
        <v>33</v>
      </c>
      <c r="G4737" t="s">
        <v>34</v>
      </c>
      <c r="H4737" s="1">
        <v>175.82</v>
      </c>
      <c r="I4737" t="s">
        <v>24</v>
      </c>
      <c r="J4737">
        <v>0</v>
      </c>
      <c r="K4737">
        <v>7</v>
      </c>
    </row>
    <row r="4738" spans="1:11" x14ac:dyDescent="0.35">
      <c r="A4738" t="s">
        <v>4775</v>
      </c>
      <c r="B4738">
        <v>85</v>
      </c>
      <c r="C4738" t="s">
        <v>12</v>
      </c>
      <c r="D4738" t="s">
        <v>244</v>
      </c>
      <c r="E4738">
        <v>18</v>
      </c>
      <c r="F4738" t="s">
        <v>33</v>
      </c>
      <c r="G4738" t="s">
        <v>34</v>
      </c>
      <c r="H4738" s="1">
        <v>120.67</v>
      </c>
      <c r="I4738" t="s">
        <v>43</v>
      </c>
      <c r="J4738">
        <v>2</v>
      </c>
      <c r="K4738">
        <v>7</v>
      </c>
    </row>
    <row r="4739" spans="1:11" x14ac:dyDescent="0.35">
      <c r="A4739" t="s">
        <v>4776</v>
      </c>
      <c r="B4739">
        <v>39</v>
      </c>
      <c r="C4739" t="s">
        <v>12</v>
      </c>
      <c r="D4739" t="s">
        <v>30</v>
      </c>
      <c r="E4739">
        <v>8</v>
      </c>
      <c r="F4739" t="s">
        <v>26</v>
      </c>
      <c r="G4739" t="s">
        <v>15</v>
      </c>
      <c r="H4739" s="1">
        <v>315.72000000000003</v>
      </c>
      <c r="I4739" t="s">
        <v>24</v>
      </c>
      <c r="J4739">
        <v>0</v>
      </c>
      <c r="K4739">
        <v>10</v>
      </c>
    </row>
    <row r="4740" spans="1:11" x14ac:dyDescent="0.35">
      <c r="A4740" t="s">
        <v>4777</v>
      </c>
      <c r="B4740">
        <v>27</v>
      </c>
      <c r="C4740" t="s">
        <v>12</v>
      </c>
      <c r="D4740" t="s">
        <v>21</v>
      </c>
      <c r="E4740">
        <v>41</v>
      </c>
      <c r="F4740" t="s">
        <v>22</v>
      </c>
      <c r="G4740" t="s">
        <v>15</v>
      </c>
      <c r="H4740" s="1">
        <v>207.26</v>
      </c>
      <c r="I4740" t="s">
        <v>24</v>
      </c>
      <c r="J4740">
        <v>0</v>
      </c>
      <c r="K4740">
        <v>5</v>
      </c>
    </row>
    <row r="4741" spans="1:11" x14ac:dyDescent="0.35">
      <c r="A4741" t="s">
        <v>4778</v>
      </c>
      <c r="B4741">
        <v>60</v>
      </c>
      <c r="C4741" t="s">
        <v>12</v>
      </c>
      <c r="D4741" t="s">
        <v>13</v>
      </c>
      <c r="E4741">
        <v>19</v>
      </c>
      <c r="F4741" t="s">
        <v>22</v>
      </c>
      <c r="G4741" t="s">
        <v>23</v>
      </c>
      <c r="H4741" s="1">
        <v>421.6</v>
      </c>
      <c r="I4741" t="s">
        <v>24</v>
      </c>
      <c r="J4741">
        <v>1</v>
      </c>
      <c r="K4741">
        <v>3</v>
      </c>
    </row>
    <row r="4742" spans="1:11" x14ac:dyDescent="0.35">
      <c r="A4742" t="s">
        <v>4779</v>
      </c>
      <c r="B4742">
        <v>26</v>
      </c>
      <c r="C4742" t="s">
        <v>18</v>
      </c>
      <c r="D4742" t="s">
        <v>19</v>
      </c>
      <c r="E4742">
        <v>9</v>
      </c>
      <c r="F4742" t="s">
        <v>31</v>
      </c>
      <c r="G4742" t="s">
        <v>37</v>
      </c>
      <c r="H4742" s="1">
        <v>95.71</v>
      </c>
      <c r="I4742" t="s">
        <v>24</v>
      </c>
      <c r="J4742">
        <v>1</v>
      </c>
      <c r="K4742">
        <v>6</v>
      </c>
    </row>
    <row r="4743" spans="1:11" x14ac:dyDescent="0.35">
      <c r="A4743" t="s">
        <v>4780</v>
      </c>
      <c r="B4743">
        <v>63</v>
      </c>
      <c r="C4743" t="s">
        <v>18</v>
      </c>
      <c r="D4743" t="s">
        <v>21</v>
      </c>
      <c r="E4743">
        <v>43</v>
      </c>
      <c r="F4743" t="s">
        <v>31</v>
      </c>
      <c r="G4743" t="s">
        <v>15</v>
      </c>
      <c r="H4743" s="1">
        <v>278.3</v>
      </c>
      <c r="I4743" t="s">
        <v>24</v>
      </c>
      <c r="J4743">
        <v>1</v>
      </c>
      <c r="K4743">
        <v>4</v>
      </c>
    </row>
    <row r="4744" spans="1:11" x14ac:dyDescent="0.35">
      <c r="A4744" t="s">
        <v>4781</v>
      </c>
      <c r="B4744">
        <v>56</v>
      </c>
      <c r="C4744" t="s">
        <v>12</v>
      </c>
      <c r="D4744" t="s">
        <v>30</v>
      </c>
      <c r="E4744">
        <v>9</v>
      </c>
      <c r="F4744" t="s">
        <v>31</v>
      </c>
      <c r="G4744" t="s">
        <v>15</v>
      </c>
      <c r="H4744" s="1">
        <v>234.53</v>
      </c>
      <c r="I4744" t="s">
        <v>24</v>
      </c>
      <c r="J4744">
        <v>3</v>
      </c>
      <c r="K4744">
        <v>4</v>
      </c>
    </row>
    <row r="4745" spans="1:11" x14ac:dyDescent="0.35">
      <c r="A4745" t="s">
        <v>4782</v>
      </c>
      <c r="B4745">
        <v>56</v>
      </c>
      <c r="C4745" t="s">
        <v>18</v>
      </c>
      <c r="D4745" t="s">
        <v>13</v>
      </c>
      <c r="E4745">
        <v>10</v>
      </c>
      <c r="F4745" t="s">
        <v>14</v>
      </c>
      <c r="G4745" t="s">
        <v>37</v>
      </c>
      <c r="H4745" s="1">
        <v>0</v>
      </c>
      <c r="I4745" t="s">
        <v>16</v>
      </c>
      <c r="J4745">
        <v>2</v>
      </c>
      <c r="K4745">
        <v>4</v>
      </c>
    </row>
    <row r="4746" spans="1:11" x14ac:dyDescent="0.35">
      <c r="A4746" t="s">
        <v>4783</v>
      </c>
      <c r="B4746">
        <v>21</v>
      </c>
      <c r="C4746" t="s">
        <v>18</v>
      </c>
      <c r="D4746" t="s">
        <v>21</v>
      </c>
      <c r="E4746">
        <v>39</v>
      </c>
      <c r="F4746" t="s">
        <v>31</v>
      </c>
      <c r="G4746" t="s">
        <v>37</v>
      </c>
      <c r="H4746" s="1">
        <v>122.55</v>
      </c>
      <c r="I4746" t="s">
        <v>24</v>
      </c>
      <c r="J4746">
        <v>1</v>
      </c>
      <c r="K4746">
        <v>3</v>
      </c>
    </row>
    <row r="4747" spans="1:11" x14ac:dyDescent="0.35">
      <c r="A4747" t="s">
        <v>4784</v>
      </c>
      <c r="B4747">
        <v>29</v>
      </c>
      <c r="C4747" t="s">
        <v>18</v>
      </c>
      <c r="D4747" t="s">
        <v>21</v>
      </c>
      <c r="E4747">
        <v>36</v>
      </c>
      <c r="F4747" t="s">
        <v>33</v>
      </c>
      <c r="G4747" t="s">
        <v>15</v>
      </c>
      <c r="H4747" s="1">
        <v>238.5</v>
      </c>
      <c r="I4747" t="s">
        <v>24</v>
      </c>
      <c r="J4747">
        <v>3</v>
      </c>
      <c r="K4747">
        <v>3</v>
      </c>
    </row>
    <row r="4748" spans="1:11" x14ac:dyDescent="0.35">
      <c r="A4748" t="s">
        <v>4785</v>
      </c>
      <c r="B4748">
        <v>32</v>
      </c>
      <c r="C4748" t="s">
        <v>18</v>
      </c>
      <c r="D4748" t="s">
        <v>30</v>
      </c>
      <c r="E4748">
        <v>12</v>
      </c>
      <c r="F4748" t="s">
        <v>14</v>
      </c>
      <c r="G4748" t="s">
        <v>15</v>
      </c>
      <c r="H4748" s="1">
        <v>0</v>
      </c>
      <c r="I4748" t="s">
        <v>16</v>
      </c>
      <c r="J4748">
        <v>0</v>
      </c>
      <c r="K4748">
        <v>7</v>
      </c>
    </row>
    <row r="4749" spans="1:11" x14ac:dyDescent="0.35">
      <c r="A4749" t="s">
        <v>4786</v>
      </c>
      <c r="B4749">
        <v>60</v>
      </c>
      <c r="C4749" t="s">
        <v>18</v>
      </c>
      <c r="D4749" t="s">
        <v>19</v>
      </c>
      <c r="E4749">
        <v>23</v>
      </c>
      <c r="F4749" t="s">
        <v>31</v>
      </c>
      <c r="G4749" t="s">
        <v>15</v>
      </c>
      <c r="H4749" s="1">
        <v>343.61</v>
      </c>
      <c r="I4749" t="s">
        <v>24</v>
      </c>
      <c r="J4749">
        <v>3</v>
      </c>
      <c r="K4749">
        <v>4</v>
      </c>
    </row>
    <row r="4750" spans="1:11" x14ac:dyDescent="0.35">
      <c r="A4750" t="s">
        <v>4787</v>
      </c>
      <c r="B4750">
        <v>84</v>
      </c>
      <c r="C4750" t="s">
        <v>12</v>
      </c>
      <c r="D4750" t="s">
        <v>30</v>
      </c>
      <c r="E4750">
        <v>13</v>
      </c>
      <c r="F4750" t="s">
        <v>31</v>
      </c>
      <c r="G4750" t="s">
        <v>27</v>
      </c>
      <c r="H4750" s="1">
        <v>101.05</v>
      </c>
      <c r="I4750" t="s">
        <v>24</v>
      </c>
      <c r="J4750">
        <v>1</v>
      </c>
      <c r="K4750">
        <v>7</v>
      </c>
    </row>
    <row r="4751" spans="1:11" x14ac:dyDescent="0.35">
      <c r="A4751" t="s">
        <v>4788</v>
      </c>
      <c r="B4751">
        <v>55</v>
      </c>
      <c r="C4751" t="s">
        <v>18</v>
      </c>
      <c r="D4751" t="s">
        <v>30</v>
      </c>
      <c r="E4751">
        <v>2</v>
      </c>
      <c r="F4751" t="s">
        <v>22</v>
      </c>
      <c r="G4751" t="s">
        <v>23</v>
      </c>
      <c r="H4751" s="1">
        <v>240.1</v>
      </c>
      <c r="I4751" t="s">
        <v>43</v>
      </c>
      <c r="J4751">
        <v>0</v>
      </c>
      <c r="K4751">
        <v>9</v>
      </c>
    </row>
    <row r="4752" spans="1:11" x14ac:dyDescent="0.35">
      <c r="A4752" t="s">
        <v>4789</v>
      </c>
      <c r="B4752">
        <v>46</v>
      </c>
      <c r="C4752" t="s">
        <v>18</v>
      </c>
      <c r="D4752" t="s">
        <v>19</v>
      </c>
      <c r="E4752">
        <v>12</v>
      </c>
      <c r="F4752" t="s">
        <v>31</v>
      </c>
      <c r="G4752" t="s">
        <v>27</v>
      </c>
      <c r="H4752" s="1">
        <v>145.86000000000001</v>
      </c>
      <c r="I4752" t="s">
        <v>24</v>
      </c>
      <c r="J4752">
        <v>1</v>
      </c>
      <c r="K4752">
        <v>6</v>
      </c>
    </row>
    <row r="4753" spans="1:11" x14ac:dyDescent="0.35">
      <c r="A4753" t="s">
        <v>4790</v>
      </c>
      <c r="B4753">
        <v>58</v>
      </c>
      <c r="C4753" t="s">
        <v>18</v>
      </c>
      <c r="D4753" t="s">
        <v>30</v>
      </c>
      <c r="E4753">
        <v>14</v>
      </c>
      <c r="F4753" t="s">
        <v>33</v>
      </c>
      <c r="G4753" t="s">
        <v>37</v>
      </c>
      <c r="H4753" s="1">
        <v>188.54</v>
      </c>
      <c r="I4753" t="s">
        <v>24</v>
      </c>
      <c r="J4753">
        <v>1</v>
      </c>
      <c r="K4753">
        <v>7</v>
      </c>
    </row>
    <row r="4754" spans="1:11" x14ac:dyDescent="0.35">
      <c r="A4754" t="s">
        <v>4791</v>
      </c>
      <c r="B4754">
        <v>31</v>
      </c>
      <c r="C4754" t="s">
        <v>18</v>
      </c>
      <c r="D4754" t="s">
        <v>41</v>
      </c>
      <c r="E4754">
        <v>13</v>
      </c>
      <c r="F4754" t="s">
        <v>33</v>
      </c>
      <c r="G4754" t="s">
        <v>15</v>
      </c>
      <c r="H4754" s="1">
        <v>129.07</v>
      </c>
      <c r="I4754" t="s">
        <v>24</v>
      </c>
      <c r="J4754">
        <v>2</v>
      </c>
      <c r="K4754">
        <v>8</v>
      </c>
    </row>
    <row r="4755" spans="1:11" x14ac:dyDescent="0.35">
      <c r="A4755" t="s">
        <v>4792</v>
      </c>
      <c r="B4755">
        <v>74</v>
      </c>
      <c r="C4755" t="s">
        <v>18</v>
      </c>
      <c r="D4755" t="s">
        <v>19</v>
      </c>
      <c r="E4755">
        <v>16</v>
      </c>
      <c r="F4755" t="s">
        <v>33</v>
      </c>
      <c r="G4755" t="s">
        <v>37</v>
      </c>
      <c r="H4755" s="1">
        <v>203.87</v>
      </c>
      <c r="I4755" t="s">
        <v>24</v>
      </c>
      <c r="J4755">
        <v>0</v>
      </c>
      <c r="K4755">
        <v>4</v>
      </c>
    </row>
    <row r="4756" spans="1:11" x14ac:dyDescent="0.35">
      <c r="A4756" t="s">
        <v>4793</v>
      </c>
      <c r="B4756">
        <v>32</v>
      </c>
      <c r="C4756" t="s">
        <v>12</v>
      </c>
      <c r="D4756" t="s">
        <v>19</v>
      </c>
      <c r="E4756">
        <v>18</v>
      </c>
      <c r="F4756" t="s">
        <v>33</v>
      </c>
      <c r="G4756" t="s">
        <v>27</v>
      </c>
      <c r="H4756" s="1">
        <v>75.17</v>
      </c>
      <c r="I4756" t="s">
        <v>24</v>
      </c>
      <c r="J4756">
        <v>1</v>
      </c>
      <c r="K4756">
        <v>6</v>
      </c>
    </row>
    <row r="4757" spans="1:11" x14ac:dyDescent="0.35">
      <c r="A4757" t="s">
        <v>4794</v>
      </c>
      <c r="B4757">
        <v>77</v>
      </c>
      <c r="C4757" t="s">
        <v>12</v>
      </c>
      <c r="D4757" t="s">
        <v>30</v>
      </c>
      <c r="E4757">
        <v>11</v>
      </c>
      <c r="F4757" t="s">
        <v>22</v>
      </c>
      <c r="G4757" t="s">
        <v>15</v>
      </c>
      <c r="H4757" s="1">
        <v>330.58</v>
      </c>
      <c r="I4757" t="s">
        <v>24</v>
      </c>
      <c r="J4757">
        <v>1</v>
      </c>
      <c r="K4757">
        <v>8</v>
      </c>
    </row>
    <row r="4758" spans="1:11" x14ac:dyDescent="0.35">
      <c r="A4758" t="s">
        <v>4795</v>
      </c>
      <c r="B4758">
        <v>38</v>
      </c>
      <c r="C4758" t="s">
        <v>18</v>
      </c>
      <c r="D4758" t="s">
        <v>19</v>
      </c>
      <c r="E4758">
        <v>18</v>
      </c>
      <c r="F4758" t="s">
        <v>22</v>
      </c>
      <c r="G4758" t="s">
        <v>37</v>
      </c>
      <c r="H4758" s="1">
        <v>105.99</v>
      </c>
      <c r="I4758" t="s">
        <v>24</v>
      </c>
      <c r="J4758">
        <v>2</v>
      </c>
      <c r="K4758">
        <v>7</v>
      </c>
    </row>
    <row r="4759" spans="1:11" x14ac:dyDescent="0.35">
      <c r="A4759" t="s">
        <v>4796</v>
      </c>
      <c r="B4759">
        <v>44</v>
      </c>
      <c r="C4759" t="s">
        <v>18</v>
      </c>
      <c r="D4759" t="s">
        <v>30</v>
      </c>
      <c r="E4759">
        <v>4</v>
      </c>
      <c r="F4759" t="s">
        <v>22</v>
      </c>
      <c r="G4759" t="s">
        <v>37</v>
      </c>
      <c r="H4759" s="1">
        <v>98.37</v>
      </c>
      <c r="I4759" t="s">
        <v>24</v>
      </c>
      <c r="J4759">
        <v>2</v>
      </c>
      <c r="K4759">
        <v>10</v>
      </c>
    </row>
    <row r="4760" spans="1:11" x14ac:dyDescent="0.35">
      <c r="A4760" t="s">
        <v>4797</v>
      </c>
      <c r="B4760">
        <v>64</v>
      </c>
      <c r="C4760" t="s">
        <v>18</v>
      </c>
      <c r="D4760" t="s">
        <v>19</v>
      </c>
      <c r="E4760">
        <v>19</v>
      </c>
      <c r="F4760" t="s">
        <v>33</v>
      </c>
      <c r="G4760" t="s">
        <v>15</v>
      </c>
      <c r="H4760" s="1">
        <v>256.67</v>
      </c>
      <c r="I4760" t="s">
        <v>24</v>
      </c>
      <c r="J4760">
        <v>3</v>
      </c>
      <c r="K4760">
        <v>4</v>
      </c>
    </row>
    <row r="4761" spans="1:11" x14ac:dyDescent="0.35">
      <c r="A4761" t="s">
        <v>4798</v>
      </c>
      <c r="B4761">
        <v>52</v>
      </c>
      <c r="C4761" t="s">
        <v>12</v>
      </c>
      <c r="D4761" t="s">
        <v>21</v>
      </c>
      <c r="E4761">
        <v>48</v>
      </c>
      <c r="F4761" t="s">
        <v>26</v>
      </c>
      <c r="G4761" t="s">
        <v>15</v>
      </c>
      <c r="H4761" s="1">
        <v>432.31</v>
      </c>
      <c r="I4761" t="s">
        <v>24</v>
      </c>
      <c r="J4761">
        <v>0</v>
      </c>
      <c r="K4761">
        <v>3</v>
      </c>
    </row>
    <row r="4762" spans="1:11" x14ac:dyDescent="0.35">
      <c r="A4762" t="s">
        <v>4799</v>
      </c>
      <c r="B4762">
        <v>57</v>
      </c>
      <c r="C4762" t="s">
        <v>12</v>
      </c>
      <c r="D4762" t="s">
        <v>30</v>
      </c>
      <c r="E4762">
        <v>3</v>
      </c>
      <c r="F4762" t="s">
        <v>31</v>
      </c>
      <c r="G4762" t="s">
        <v>27</v>
      </c>
      <c r="H4762" s="1">
        <v>99.58</v>
      </c>
      <c r="I4762" t="s">
        <v>24</v>
      </c>
      <c r="J4762">
        <v>0</v>
      </c>
      <c r="K4762">
        <v>7</v>
      </c>
    </row>
    <row r="4763" spans="1:11" x14ac:dyDescent="0.35">
      <c r="A4763" t="s">
        <v>4800</v>
      </c>
      <c r="B4763">
        <v>79</v>
      </c>
      <c r="C4763" t="s">
        <v>12</v>
      </c>
      <c r="D4763" t="s">
        <v>19</v>
      </c>
      <c r="E4763">
        <v>22</v>
      </c>
      <c r="F4763" t="s">
        <v>14</v>
      </c>
      <c r="G4763" t="s">
        <v>27</v>
      </c>
      <c r="H4763" s="1">
        <v>0</v>
      </c>
      <c r="I4763" t="s">
        <v>16</v>
      </c>
      <c r="J4763">
        <v>1</v>
      </c>
      <c r="K4763">
        <v>1</v>
      </c>
    </row>
    <row r="4764" spans="1:11" x14ac:dyDescent="0.35">
      <c r="A4764" t="s">
        <v>4801</v>
      </c>
      <c r="B4764">
        <v>24</v>
      </c>
      <c r="C4764" t="s">
        <v>18</v>
      </c>
      <c r="D4764" t="s">
        <v>41</v>
      </c>
      <c r="E4764">
        <v>7</v>
      </c>
      <c r="F4764" t="s">
        <v>33</v>
      </c>
      <c r="G4764" t="s">
        <v>27</v>
      </c>
      <c r="H4764" s="1">
        <v>129.02000000000001</v>
      </c>
      <c r="I4764" t="s">
        <v>24</v>
      </c>
      <c r="J4764">
        <v>1</v>
      </c>
      <c r="K4764">
        <v>8</v>
      </c>
    </row>
    <row r="4765" spans="1:11" x14ac:dyDescent="0.35">
      <c r="A4765" t="s">
        <v>4802</v>
      </c>
      <c r="B4765">
        <v>20</v>
      </c>
      <c r="C4765" t="s">
        <v>18</v>
      </c>
      <c r="D4765" t="s">
        <v>13</v>
      </c>
      <c r="E4765">
        <v>9</v>
      </c>
      <c r="F4765" t="s">
        <v>26</v>
      </c>
      <c r="G4765" t="s">
        <v>23</v>
      </c>
      <c r="H4765" s="1">
        <v>313.17</v>
      </c>
      <c r="I4765" t="s">
        <v>24</v>
      </c>
      <c r="J4765">
        <v>1</v>
      </c>
      <c r="K4765">
        <v>5</v>
      </c>
    </row>
    <row r="4766" spans="1:11" x14ac:dyDescent="0.35">
      <c r="A4766" t="s">
        <v>4803</v>
      </c>
      <c r="B4766">
        <v>52</v>
      </c>
      <c r="C4766" t="s">
        <v>12</v>
      </c>
      <c r="D4766" t="s">
        <v>21</v>
      </c>
      <c r="E4766">
        <v>14</v>
      </c>
      <c r="F4766" t="s">
        <v>26</v>
      </c>
      <c r="G4766" t="s">
        <v>27</v>
      </c>
      <c r="H4766" s="1">
        <v>34.01</v>
      </c>
      <c r="I4766" t="s">
        <v>24</v>
      </c>
      <c r="J4766">
        <v>0</v>
      </c>
      <c r="K4766">
        <v>6</v>
      </c>
    </row>
    <row r="4767" spans="1:11" x14ac:dyDescent="0.35">
      <c r="A4767" t="s">
        <v>4804</v>
      </c>
      <c r="B4767">
        <v>20</v>
      </c>
      <c r="C4767" t="s">
        <v>18</v>
      </c>
      <c r="D4767" t="s">
        <v>13</v>
      </c>
      <c r="E4767">
        <v>16</v>
      </c>
      <c r="F4767" t="s">
        <v>33</v>
      </c>
      <c r="G4767" t="s">
        <v>34</v>
      </c>
      <c r="H4767" s="1">
        <v>135.16999999999999</v>
      </c>
      <c r="I4767" t="s">
        <v>43</v>
      </c>
      <c r="J4767">
        <v>1</v>
      </c>
      <c r="K4767">
        <v>6</v>
      </c>
    </row>
    <row r="4768" spans="1:11" x14ac:dyDescent="0.35">
      <c r="A4768" t="s">
        <v>4805</v>
      </c>
      <c r="B4768">
        <v>72</v>
      </c>
      <c r="C4768" t="s">
        <v>12</v>
      </c>
      <c r="D4768" t="s">
        <v>19</v>
      </c>
      <c r="E4768">
        <v>23</v>
      </c>
      <c r="F4768" t="s">
        <v>22</v>
      </c>
      <c r="G4768" t="s">
        <v>15</v>
      </c>
      <c r="H4768" s="1">
        <v>400.5</v>
      </c>
      <c r="I4768" t="s">
        <v>24</v>
      </c>
      <c r="J4768">
        <v>4</v>
      </c>
      <c r="K4768">
        <v>4</v>
      </c>
    </row>
    <row r="4769" spans="1:11" x14ac:dyDescent="0.35">
      <c r="A4769" t="s">
        <v>4806</v>
      </c>
      <c r="B4769">
        <v>50</v>
      </c>
      <c r="C4769" t="s">
        <v>18</v>
      </c>
      <c r="D4769" t="s">
        <v>19</v>
      </c>
      <c r="E4769">
        <v>6</v>
      </c>
      <c r="F4769" t="s">
        <v>14</v>
      </c>
      <c r="G4769" t="s">
        <v>27</v>
      </c>
      <c r="H4769" s="1">
        <v>0</v>
      </c>
      <c r="I4769" t="s">
        <v>16</v>
      </c>
      <c r="J4769">
        <v>0</v>
      </c>
      <c r="K4769">
        <v>8</v>
      </c>
    </row>
    <row r="4770" spans="1:11" x14ac:dyDescent="0.35">
      <c r="A4770" t="s">
        <v>4807</v>
      </c>
      <c r="B4770">
        <v>70</v>
      </c>
      <c r="C4770" t="s">
        <v>12</v>
      </c>
      <c r="D4770" t="s">
        <v>19</v>
      </c>
      <c r="E4770">
        <v>19</v>
      </c>
      <c r="F4770" t="s">
        <v>22</v>
      </c>
      <c r="G4770" t="s">
        <v>37</v>
      </c>
      <c r="H4770" s="1">
        <v>114.01</v>
      </c>
      <c r="I4770" t="s">
        <v>24</v>
      </c>
      <c r="J4770">
        <v>1</v>
      </c>
      <c r="K4770">
        <v>3</v>
      </c>
    </row>
    <row r="4771" spans="1:11" x14ac:dyDescent="0.35">
      <c r="A4771" t="s">
        <v>4808</v>
      </c>
      <c r="B4771">
        <v>21</v>
      </c>
      <c r="C4771" t="s">
        <v>12</v>
      </c>
      <c r="D4771" t="s">
        <v>13</v>
      </c>
      <c r="E4771">
        <v>22</v>
      </c>
      <c r="F4771" t="s">
        <v>31</v>
      </c>
      <c r="G4771" t="s">
        <v>37</v>
      </c>
      <c r="H4771" s="1">
        <v>145.78</v>
      </c>
      <c r="I4771" t="s">
        <v>24</v>
      </c>
      <c r="J4771">
        <v>1</v>
      </c>
      <c r="K4771">
        <v>5</v>
      </c>
    </row>
    <row r="4772" spans="1:11" x14ac:dyDescent="0.35">
      <c r="A4772" t="s">
        <v>4809</v>
      </c>
      <c r="B4772">
        <v>72</v>
      </c>
      <c r="C4772" t="s">
        <v>12</v>
      </c>
      <c r="D4772" t="s">
        <v>19</v>
      </c>
      <c r="E4772">
        <v>23</v>
      </c>
      <c r="F4772" t="s">
        <v>26</v>
      </c>
      <c r="G4772" t="s">
        <v>34</v>
      </c>
      <c r="H4772" s="1">
        <v>136.88999999999999</v>
      </c>
      <c r="I4772" t="s">
        <v>24</v>
      </c>
      <c r="J4772">
        <v>1</v>
      </c>
      <c r="K4772">
        <v>2</v>
      </c>
    </row>
    <row r="4773" spans="1:11" x14ac:dyDescent="0.35">
      <c r="A4773" t="s">
        <v>4810</v>
      </c>
      <c r="B4773">
        <v>72</v>
      </c>
      <c r="C4773" t="s">
        <v>12</v>
      </c>
      <c r="D4773" t="s">
        <v>30</v>
      </c>
      <c r="E4773">
        <v>2</v>
      </c>
      <c r="F4773" t="s">
        <v>22</v>
      </c>
      <c r="G4773" t="s">
        <v>37</v>
      </c>
      <c r="H4773" s="1">
        <v>154.47</v>
      </c>
      <c r="I4773" t="s">
        <v>24</v>
      </c>
      <c r="J4773">
        <v>2</v>
      </c>
      <c r="K4773">
        <v>10</v>
      </c>
    </row>
    <row r="4774" spans="1:11" x14ac:dyDescent="0.35">
      <c r="A4774" t="s">
        <v>4811</v>
      </c>
      <c r="B4774">
        <v>33</v>
      </c>
      <c r="C4774" t="s">
        <v>18</v>
      </c>
      <c r="D4774" t="s">
        <v>41</v>
      </c>
      <c r="E4774">
        <v>6</v>
      </c>
      <c r="F4774" t="s">
        <v>31</v>
      </c>
      <c r="G4774" t="s">
        <v>37</v>
      </c>
      <c r="H4774" s="1">
        <v>178.08</v>
      </c>
      <c r="I4774" t="s">
        <v>24</v>
      </c>
      <c r="J4774">
        <v>0</v>
      </c>
      <c r="K4774">
        <v>7</v>
      </c>
    </row>
    <row r="4775" spans="1:11" x14ac:dyDescent="0.35">
      <c r="A4775" t="s">
        <v>4812</v>
      </c>
      <c r="B4775">
        <v>81</v>
      </c>
      <c r="C4775" t="s">
        <v>12</v>
      </c>
      <c r="D4775" t="s">
        <v>21</v>
      </c>
      <c r="E4775">
        <v>28</v>
      </c>
      <c r="F4775" t="s">
        <v>26</v>
      </c>
      <c r="G4775" t="s">
        <v>34</v>
      </c>
      <c r="H4775" s="1">
        <v>196.72</v>
      </c>
      <c r="I4775" t="s">
        <v>24</v>
      </c>
      <c r="J4775">
        <v>3</v>
      </c>
      <c r="K4775">
        <v>5</v>
      </c>
    </row>
    <row r="4776" spans="1:11" x14ac:dyDescent="0.35">
      <c r="A4776" t="s">
        <v>4813</v>
      </c>
      <c r="B4776">
        <v>24</v>
      </c>
      <c r="C4776" t="s">
        <v>18</v>
      </c>
      <c r="D4776" t="s">
        <v>21</v>
      </c>
      <c r="E4776">
        <v>38</v>
      </c>
      <c r="F4776" t="s">
        <v>22</v>
      </c>
      <c r="G4776" t="s">
        <v>34</v>
      </c>
      <c r="H4776" s="1">
        <v>200.09</v>
      </c>
      <c r="I4776" t="s">
        <v>24</v>
      </c>
      <c r="J4776">
        <v>0</v>
      </c>
      <c r="K4776">
        <v>3</v>
      </c>
    </row>
    <row r="4777" spans="1:11" x14ac:dyDescent="0.35">
      <c r="A4777" t="s">
        <v>4814</v>
      </c>
      <c r="B4777">
        <v>18</v>
      </c>
      <c r="C4777" t="s">
        <v>18</v>
      </c>
      <c r="D4777" t="s">
        <v>21</v>
      </c>
      <c r="E4777">
        <v>14</v>
      </c>
      <c r="F4777" t="s">
        <v>22</v>
      </c>
      <c r="G4777" t="s">
        <v>37</v>
      </c>
      <c r="H4777" s="1">
        <v>131.91999999999999</v>
      </c>
      <c r="I4777" t="s">
        <v>24</v>
      </c>
      <c r="J4777">
        <v>1</v>
      </c>
      <c r="K4777">
        <v>4</v>
      </c>
    </row>
    <row r="4778" spans="1:11" x14ac:dyDescent="0.35">
      <c r="A4778" t="s">
        <v>4815</v>
      </c>
      <c r="B4778">
        <v>33</v>
      </c>
      <c r="C4778" t="s">
        <v>18</v>
      </c>
      <c r="D4778" t="s">
        <v>30</v>
      </c>
      <c r="E4778">
        <v>6</v>
      </c>
      <c r="F4778" t="s">
        <v>31</v>
      </c>
      <c r="G4778" t="s">
        <v>15</v>
      </c>
      <c r="H4778" s="1">
        <v>266.60000000000002</v>
      </c>
      <c r="I4778" t="s">
        <v>24</v>
      </c>
      <c r="J4778">
        <v>1</v>
      </c>
      <c r="K4778">
        <v>8</v>
      </c>
    </row>
    <row r="4779" spans="1:11" x14ac:dyDescent="0.35">
      <c r="A4779" t="s">
        <v>4816</v>
      </c>
      <c r="B4779">
        <v>49</v>
      </c>
      <c r="C4779" t="s">
        <v>18</v>
      </c>
      <c r="D4779" t="s">
        <v>30</v>
      </c>
      <c r="E4779">
        <v>6</v>
      </c>
      <c r="F4779" t="s">
        <v>22</v>
      </c>
      <c r="G4779" t="s">
        <v>27</v>
      </c>
      <c r="H4779" s="1">
        <v>21.12</v>
      </c>
      <c r="I4779" t="s">
        <v>24</v>
      </c>
      <c r="J4779">
        <v>0</v>
      </c>
      <c r="K4779">
        <v>10</v>
      </c>
    </row>
    <row r="4780" spans="1:11" x14ac:dyDescent="0.35">
      <c r="A4780" t="s">
        <v>4817</v>
      </c>
      <c r="B4780">
        <v>77</v>
      </c>
      <c r="C4780" t="s">
        <v>18</v>
      </c>
      <c r="D4780" t="s">
        <v>21</v>
      </c>
      <c r="E4780">
        <v>48</v>
      </c>
      <c r="F4780" t="s">
        <v>26</v>
      </c>
      <c r="G4780" t="s">
        <v>15</v>
      </c>
      <c r="H4780" s="1">
        <v>212.17</v>
      </c>
      <c r="I4780" t="s">
        <v>43</v>
      </c>
      <c r="J4780">
        <v>1</v>
      </c>
      <c r="K4780">
        <v>3</v>
      </c>
    </row>
    <row r="4781" spans="1:11" x14ac:dyDescent="0.35">
      <c r="A4781" t="s">
        <v>4818</v>
      </c>
      <c r="B4781">
        <v>40</v>
      </c>
      <c r="C4781" t="s">
        <v>12</v>
      </c>
      <c r="D4781" t="s">
        <v>47</v>
      </c>
      <c r="E4781">
        <v>9</v>
      </c>
      <c r="F4781" t="s">
        <v>22</v>
      </c>
      <c r="G4781" t="s">
        <v>15</v>
      </c>
      <c r="H4781" s="1">
        <v>313.60000000000002</v>
      </c>
      <c r="I4781" t="s">
        <v>24</v>
      </c>
      <c r="J4781">
        <v>3</v>
      </c>
      <c r="K4781">
        <v>7</v>
      </c>
    </row>
    <row r="4782" spans="1:11" x14ac:dyDescent="0.35">
      <c r="A4782" t="s">
        <v>4819</v>
      </c>
      <c r="B4782">
        <v>21</v>
      </c>
      <c r="C4782" t="s">
        <v>18</v>
      </c>
      <c r="D4782" t="s">
        <v>21</v>
      </c>
      <c r="E4782">
        <v>29</v>
      </c>
      <c r="F4782" t="s">
        <v>14</v>
      </c>
      <c r="G4782" t="s">
        <v>23</v>
      </c>
      <c r="H4782" s="1">
        <v>0</v>
      </c>
      <c r="I4782" t="s">
        <v>16</v>
      </c>
      <c r="J4782">
        <v>2</v>
      </c>
      <c r="K4782">
        <v>4</v>
      </c>
    </row>
    <row r="4783" spans="1:11" x14ac:dyDescent="0.35">
      <c r="A4783" t="s">
        <v>4820</v>
      </c>
      <c r="B4783">
        <v>54</v>
      </c>
      <c r="C4783" t="s">
        <v>12</v>
      </c>
      <c r="D4783" t="s">
        <v>21</v>
      </c>
      <c r="E4783">
        <v>44</v>
      </c>
      <c r="F4783" t="s">
        <v>26</v>
      </c>
      <c r="G4783" t="s">
        <v>23</v>
      </c>
      <c r="H4783" s="1">
        <v>233.3</v>
      </c>
      <c r="I4783" t="s">
        <v>24</v>
      </c>
      <c r="J4783">
        <v>0</v>
      </c>
      <c r="K4783">
        <v>2</v>
      </c>
    </row>
    <row r="4784" spans="1:11" x14ac:dyDescent="0.35">
      <c r="A4784" t="s">
        <v>4821</v>
      </c>
      <c r="B4784">
        <v>33</v>
      </c>
      <c r="C4784" t="s">
        <v>12</v>
      </c>
      <c r="D4784" t="s">
        <v>21</v>
      </c>
      <c r="E4784">
        <v>26</v>
      </c>
      <c r="F4784" t="s">
        <v>33</v>
      </c>
      <c r="G4784" t="s">
        <v>37</v>
      </c>
      <c r="H4784" s="1">
        <v>144.5</v>
      </c>
      <c r="I4784" t="s">
        <v>24</v>
      </c>
      <c r="J4784">
        <v>1</v>
      </c>
      <c r="K4784">
        <v>1</v>
      </c>
    </row>
    <row r="4785" spans="1:11" x14ac:dyDescent="0.35">
      <c r="A4785" t="s">
        <v>4822</v>
      </c>
      <c r="B4785">
        <v>57</v>
      </c>
      <c r="C4785" t="s">
        <v>18</v>
      </c>
      <c r="D4785" t="s">
        <v>21</v>
      </c>
      <c r="E4785">
        <v>16</v>
      </c>
      <c r="F4785" t="s">
        <v>14</v>
      </c>
      <c r="G4785" t="s">
        <v>23</v>
      </c>
      <c r="H4785" s="1">
        <v>0</v>
      </c>
      <c r="I4785" t="s">
        <v>16</v>
      </c>
      <c r="J4785">
        <v>1</v>
      </c>
      <c r="K4785">
        <v>8</v>
      </c>
    </row>
    <row r="4786" spans="1:11" x14ac:dyDescent="0.35">
      <c r="A4786" t="s">
        <v>4823</v>
      </c>
      <c r="B4786">
        <v>52</v>
      </c>
      <c r="C4786" t="s">
        <v>18</v>
      </c>
      <c r="D4786" t="s">
        <v>19</v>
      </c>
      <c r="E4786">
        <v>10</v>
      </c>
      <c r="F4786" t="s">
        <v>26</v>
      </c>
      <c r="G4786" t="s">
        <v>37</v>
      </c>
      <c r="H4786" s="1">
        <v>91.18</v>
      </c>
      <c r="I4786" t="s">
        <v>24</v>
      </c>
      <c r="J4786">
        <v>0</v>
      </c>
      <c r="K4786">
        <v>4</v>
      </c>
    </row>
    <row r="4787" spans="1:11" x14ac:dyDescent="0.35">
      <c r="A4787" t="s">
        <v>4824</v>
      </c>
      <c r="B4787">
        <v>46</v>
      </c>
      <c r="C4787" t="s">
        <v>12</v>
      </c>
      <c r="D4787" t="s">
        <v>19</v>
      </c>
      <c r="E4787">
        <v>11</v>
      </c>
      <c r="F4787" t="s">
        <v>31</v>
      </c>
      <c r="G4787" t="s">
        <v>23</v>
      </c>
      <c r="H4787" s="1">
        <v>360.35</v>
      </c>
      <c r="I4787" t="s">
        <v>24</v>
      </c>
      <c r="J4787">
        <v>0</v>
      </c>
      <c r="K4787">
        <v>4</v>
      </c>
    </row>
    <row r="4788" spans="1:11" x14ac:dyDescent="0.35">
      <c r="A4788" t="s">
        <v>4825</v>
      </c>
      <c r="B4788">
        <v>84</v>
      </c>
      <c r="C4788" t="s">
        <v>18</v>
      </c>
      <c r="D4788" t="s">
        <v>21</v>
      </c>
      <c r="E4788">
        <v>41</v>
      </c>
      <c r="F4788" t="s">
        <v>31</v>
      </c>
      <c r="G4788" t="s">
        <v>15</v>
      </c>
      <c r="H4788" s="1">
        <v>145.38</v>
      </c>
      <c r="I4788" t="s">
        <v>24</v>
      </c>
      <c r="J4788">
        <v>2</v>
      </c>
      <c r="K4788">
        <v>1</v>
      </c>
    </row>
    <row r="4789" spans="1:11" x14ac:dyDescent="0.35">
      <c r="A4789" t="s">
        <v>4826</v>
      </c>
      <c r="B4789">
        <v>70</v>
      </c>
      <c r="C4789" t="s">
        <v>12</v>
      </c>
      <c r="D4789" t="s">
        <v>19</v>
      </c>
      <c r="E4789">
        <v>21</v>
      </c>
      <c r="F4789" t="s">
        <v>22</v>
      </c>
      <c r="G4789" t="s">
        <v>34</v>
      </c>
      <c r="H4789" s="1">
        <v>203.44</v>
      </c>
      <c r="I4789" t="s">
        <v>28</v>
      </c>
      <c r="J4789">
        <v>1</v>
      </c>
      <c r="K4789">
        <v>2</v>
      </c>
    </row>
    <row r="4790" spans="1:11" x14ac:dyDescent="0.35">
      <c r="A4790" t="s">
        <v>4827</v>
      </c>
      <c r="B4790">
        <v>21</v>
      </c>
      <c r="C4790" t="s">
        <v>18</v>
      </c>
      <c r="D4790" t="s">
        <v>21</v>
      </c>
      <c r="E4790">
        <v>35</v>
      </c>
      <c r="F4790" t="s">
        <v>22</v>
      </c>
      <c r="G4790" t="s">
        <v>37</v>
      </c>
      <c r="H4790" s="1">
        <v>219.5</v>
      </c>
      <c r="I4790" t="s">
        <v>24</v>
      </c>
      <c r="J4790">
        <v>2</v>
      </c>
      <c r="K4790">
        <v>3</v>
      </c>
    </row>
    <row r="4791" spans="1:11" x14ac:dyDescent="0.35">
      <c r="A4791" t="s">
        <v>4828</v>
      </c>
      <c r="B4791">
        <v>82</v>
      </c>
      <c r="C4791" t="s">
        <v>12</v>
      </c>
      <c r="D4791" t="s">
        <v>19</v>
      </c>
      <c r="E4791">
        <v>19</v>
      </c>
      <c r="F4791" t="s">
        <v>22</v>
      </c>
      <c r="G4791" t="s">
        <v>34</v>
      </c>
      <c r="H4791" s="1">
        <v>196.16</v>
      </c>
      <c r="I4791" t="s">
        <v>24</v>
      </c>
      <c r="J4791">
        <v>2</v>
      </c>
      <c r="K4791">
        <v>1</v>
      </c>
    </row>
    <row r="4792" spans="1:11" x14ac:dyDescent="0.35">
      <c r="A4792" t="s">
        <v>4829</v>
      </c>
      <c r="B4792">
        <v>26</v>
      </c>
      <c r="C4792" t="s">
        <v>18</v>
      </c>
      <c r="D4792" t="s">
        <v>13</v>
      </c>
      <c r="E4792">
        <v>24</v>
      </c>
      <c r="F4792" t="s">
        <v>26</v>
      </c>
      <c r="G4792" t="s">
        <v>37</v>
      </c>
      <c r="H4792" s="1">
        <v>153.11000000000001</v>
      </c>
      <c r="I4792" t="s">
        <v>28</v>
      </c>
      <c r="J4792">
        <v>1</v>
      </c>
      <c r="K4792">
        <v>2</v>
      </c>
    </row>
    <row r="4793" spans="1:11" x14ac:dyDescent="0.35">
      <c r="A4793" t="s">
        <v>4830</v>
      </c>
      <c r="B4793">
        <v>18</v>
      </c>
      <c r="C4793" t="s">
        <v>189</v>
      </c>
      <c r="D4793" t="s">
        <v>21</v>
      </c>
      <c r="E4793">
        <v>24</v>
      </c>
      <c r="F4793" t="s">
        <v>22</v>
      </c>
      <c r="G4793" t="s">
        <v>15</v>
      </c>
      <c r="H4793" s="1">
        <v>356.29</v>
      </c>
      <c r="I4793" t="s">
        <v>28</v>
      </c>
      <c r="J4793">
        <v>1</v>
      </c>
      <c r="K4793">
        <v>1</v>
      </c>
    </row>
    <row r="4794" spans="1:11" x14ac:dyDescent="0.35">
      <c r="A4794" t="s">
        <v>4831</v>
      </c>
      <c r="B4794">
        <v>19</v>
      </c>
      <c r="C4794" t="s">
        <v>18</v>
      </c>
      <c r="D4794" t="s">
        <v>21</v>
      </c>
      <c r="E4794">
        <v>14</v>
      </c>
      <c r="F4794" t="s">
        <v>33</v>
      </c>
      <c r="G4794" t="s">
        <v>34</v>
      </c>
      <c r="H4794" s="1">
        <v>200.47</v>
      </c>
      <c r="I4794" t="s">
        <v>24</v>
      </c>
      <c r="J4794">
        <v>1</v>
      </c>
      <c r="K4794">
        <v>5</v>
      </c>
    </row>
    <row r="4795" spans="1:11" x14ac:dyDescent="0.35">
      <c r="A4795" t="s">
        <v>4832</v>
      </c>
      <c r="B4795">
        <v>67</v>
      </c>
      <c r="C4795" t="s">
        <v>18</v>
      </c>
      <c r="D4795" t="s">
        <v>19</v>
      </c>
      <c r="E4795">
        <v>24</v>
      </c>
      <c r="F4795" t="s">
        <v>33</v>
      </c>
      <c r="G4795" t="s">
        <v>34</v>
      </c>
      <c r="H4795" s="1">
        <v>110.4</v>
      </c>
      <c r="I4795" t="s">
        <v>24</v>
      </c>
      <c r="J4795">
        <v>0</v>
      </c>
      <c r="K4795">
        <v>3</v>
      </c>
    </row>
    <row r="4796" spans="1:11" x14ac:dyDescent="0.35">
      <c r="A4796" t="s">
        <v>4833</v>
      </c>
      <c r="B4796">
        <v>40</v>
      </c>
      <c r="C4796" t="s">
        <v>12</v>
      </c>
      <c r="D4796" t="s">
        <v>19</v>
      </c>
      <c r="E4796">
        <v>17</v>
      </c>
      <c r="F4796" t="s">
        <v>22</v>
      </c>
      <c r="G4796" t="s">
        <v>37</v>
      </c>
      <c r="H4796" s="1">
        <v>96.32</v>
      </c>
      <c r="I4796" t="s">
        <v>28</v>
      </c>
      <c r="J4796">
        <v>3</v>
      </c>
      <c r="K4796">
        <v>5</v>
      </c>
    </row>
    <row r="4797" spans="1:11" x14ac:dyDescent="0.35">
      <c r="A4797" t="s">
        <v>4834</v>
      </c>
      <c r="B4797">
        <v>39</v>
      </c>
      <c r="C4797" t="s">
        <v>12</v>
      </c>
      <c r="D4797" t="s">
        <v>21</v>
      </c>
      <c r="E4797">
        <v>14</v>
      </c>
      <c r="F4797" t="s">
        <v>22</v>
      </c>
      <c r="G4797" t="s">
        <v>15</v>
      </c>
      <c r="H4797" s="1">
        <v>99.67</v>
      </c>
      <c r="I4797" t="s">
        <v>43</v>
      </c>
      <c r="J4797">
        <v>0</v>
      </c>
      <c r="K4797">
        <v>8</v>
      </c>
    </row>
    <row r="4798" spans="1:11" x14ac:dyDescent="0.35">
      <c r="A4798" t="s">
        <v>4835</v>
      </c>
      <c r="B4798">
        <v>21</v>
      </c>
      <c r="C4798" t="s">
        <v>12</v>
      </c>
      <c r="D4798" t="s">
        <v>41</v>
      </c>
      <c r="E4798">
        <v>7</v>
      </c>
      <c r="F4798" t="s">
        <v>33</v>
      </c>
      <c r="G4798" t="s">
        <v>23</v>
      </c>
      <c r="H4798" s="1">
        <v>506.81</v>
      </c>
      <c r="I4798" t="s">
        <v>24</v>
      </c>
      <c r="J4798">
        <v>0</v>
      </c>
      <c r="K4798">
        <v>7</v>
      </c>
    </row>
    <row r="4799" spans="1:11" x14ac:dyDescent="0.35">
      <c r="A4799" t="s">
        <v>4836</v>
      </c>
      <c r="B4799">
        <v>40</v>
      </c>
      <c r="C4799" t="s">
        <v>12</v>
      </c>
      <c r="D4799" t="s">
        <v>13</v>
      </c>
      <c r="E4799">
        <v>14</v>
      </c>
      <c r="F4799" t="s">
        <v>33</v>
      </c>
      <c r="G4799" t="s">
        <v>34</v>
      </c>
      <c r="H4799" s="1">
        <v>185.33</v>
      </c>
      <c r="I4799" t="s">
        <v>24</v>
      </c>
      <c r="J4799">
        <v>1</v>
      </c>
      <c r="K4799">
        <v>5</v>
      </c>
    </row>
    <row r="4800" spans="1:11" x14ac:dyDescent="0.35">
      <c r="A4800" t="s">
        <v>4837</v>
      </c>
      <c r="B4800">
        <v>66</v>
      </c>
      <c r="C4800" t="s">
        <v>18</v>
      </c>
      <c r="D4800" t="s">
        <v>19</v>
      </c>
      <c r="E4800">
        <v>14</v>
      </c>
      <c r="F4800" t="s">
        <v>33</v>
      </c>
      <c r="G4800" t="s">
        <v>34</v>
      </c>
      <c r="H4800" s="1">
        <v>133.87</v>
      </c>
      <c r="I4800" t="s">
        <v>28</v>
      </c>
      <c r="J4800">
        <v>3</v>
      </c>
      <c r="K4800">
        <v>7</v>
      </c>
    </row>
    <row r="4801" spans="1:11" x14ac:dyDescent="0.35">
      <c r="A4801" t="s">
        <v>4838</v>
      </c>
      <c r="B4801">
        <v>20</v>
      </c>
      <c r="C4801" t="s">
        <v>12</v>
      </c>
      <c r="D4801" t="s">
        <v>30</v>
      </c>
      <c r="E4801">
        <v>9</v>
      </c>
      <c r="F4801" t="s">
        <v>33</v>
      </c>
      <c r="G4801" t="s">
        <v>23</v>
      </c>
      <c r="H4801" s="1">
        <v>556.71</v>
      </c>
      <c r="I4801" t="s">
        <v>24</v>
      </c>
      <c r="J4801">
        <v>2</v>
      </c>
      <c r="K4801">
        <v>8</v>
      </c>
    </row>
    <row r="4802" spans="1:11" x14ac:dyDescent="0.35">
      <c r="A4802" t="s">
        <v>4839</v>
      </c>
      <c r="B4802">
        <v>25</v>
      </c>
      <c r="C4802" t="s">
        <v>18</v>
      </c>
      <c r="D4802" t="s">
        <v>30</v>
      </c>
      <c r="E4802">
        <v>14</v>
      </c>
      <c r="F4802" t="s">
        <v>22</v>
      </c>
      <c r="G4802" t="s">
        <v>37</v>
      </c>
      <c r="H4802" s="1">
        <v>132.02000000000001</v>
      </c>
      <c r="I4802" t="s">
        <v>24</v>
      </c>
      <c r="J4802">
        <v>1</v>
      </c>
      <c r="K4802">
        <v>8</v>
      </c>
    </row>
    <row r="4803" spans="1:11" x14ac:dyDescent="0.35">
      <c r="A4803" t="s">
        <v>4840</v>
      </c>
      <c r="B4803">
        <v>68</v>
      </c>
      <c r="C4803" t="s">
        <v>18</v>
      </c>
      <c r="D4803" t="s">
        <v>41</v>
      </c>
      <c r="E4803">
        <v>10</v>
      </c>
      <c r="F4803" t="s">
        <v>31</v>
      </c>
      <c r="G4803" t="s">
        <v>37</v>
      </c>
      <c r="H4803" s="1">
        <v>110.91</v>
      </c>
      <c r="I4803" t="s">
        <v>24</v>
      </c>
      <c r="J4803">
        <v>1</v>
      </c>
      <c r="K4803">
        <v>5</v>
      </c>
    </row>
    <row r="4804" spans="1:11" x14ac:dyDescent="0.35">
      <c r="A4804" t="s">
        <v>4841</v>
      </c>
      <c r="B4804">
        <v>51</v>
      </c>
      <c r="C4804" t="s">
        <v>18</v>
      </c>
      <c r="D4804" t="s">
        <v>57</v>
      </c>
      <c r="E4804">
        <v>45</v>
      </c>
      <c r="F4804" t="s">
        <v>22</v>
      </c>
      <c r="G4804" t="s">
        <v>27</v>
      </c>
      <c r="H4804" s="1">
        <v>143.94999999999999</v>
      </c>
      <c r="I4804" t="s">
        <v>28</v>
      </c>
      <c r="J4804">
        <v>1</v>
      </c>
      <c r="K4804">
        <v>3</v>
      </c>
    </row>
    <row r="4805" spans="1:11" x14ac:dyDescent="0.35">
      <c r="A4805" t="s">
        <v>4842</v>
      </c>
      <c r="B4805">
        <v>20</v>
      </c>
      <c r="C4805" t="s">
        <v>12</v>
      </c>
      <c r="D4805" t="s">
        <v>13</v>
      </c>
      <c r="E4805">
        <v>16</v>
      </c>
      <c r="F4805" t="s">
        <v>33</v>
      </c>
      <c r="G4805" t="s">
        <v>23</v>
      </c>
      <c r="H4805" s="1">
        <v>161.18</v>
      </c>
      <c r="I4805" t="s">
        <v>24</v>
      </c>
      <c r="J4805">
        <v>1</v>
      </c>
      <c r="K4805">
        <v>6</v>
      </c>
    </row>
    <row r="4806" spans="1:11" x14ac:dyDescent="0.35">
      <c r="A4806" t="s">
        <v>4843</v>
      </c>
      <c r="B4806">
        <v>74</v>
      </c>
      <c r="C4806" t="s">
        <v>18</v>
      </c>
      <c r="D4806" t="s">
        <v>19</v>
      </c>
      <c r="E4806">
        <v>23</v>
      </c>
      <c r="F4806" t="s">
        <v>31</v>
      </c>
      <c r="G4806" t="s">
        <v>15</v>
      </c>
      <c r="H4806" s="1">
        <v>199.01</v>
      </c>
      <c r="I4806" t="s">
        <v>24</v>
      </c>
      <c r="J4806">
        <v>4</v>
      </c>
      <c r="K4806">
        <v>5</v>
      </c>
    </row>
    <row r="4807" spans="1:11" x14ac:dyDescent="0.35">
      <c r="A4807" t="s">
        <v>4844</v>
      </c>
      <c r="B4807">
        <v>68</v>
      </c>
      <c r="C4807" t="s">
        <v>18</v>
      </c>
      <c r="D4807" t="s">
        <v>19</v>
      </c>
      <c r="E4807">
        <v>18</v>
      </c>
      <c r="F4807" t="s">
        <v>31</v>
      </c>
      <c r="G4807" t="s">
        <v>23</v>
      </c>
      <c r="H4807" s="1">
        <v>443.28</v>
      </c>
      <c r="I4807" t="s">
        <v>28</v>
      </c>
      <c r="J4807">
        <v>3</v>
      </c>
      <c r="K4807">
        <v>4</v>
      </c>
    </row>
    <row r="4808" spans="1:11" x14ac:dyDescent="0.35">
      <c r="A4808" t="s">
        <v>4845</v>
      </c>
      <c r="B4808">
        <v>62</v>
      </c>
      <c r="C4808" t="s">
        <v>18</v>
      </c>
      <c r="D4808" t="s">
        <v>30</v>
      </c>
      <c r="E4808">
        <v>8</v>
      </c>
      <c r="F4808" t="s">
        <v>33</v>
      </c>
      <c r="G4808" t="s">
        <v>34</v>
      </c>
      <c r="H4808" s="1">
        <v>121.51</v>
      </c>
      <c r="I4808" t="s">
        <v>24</v>
      </c>
      <c r="J4808">
        <v>0</v>
      </c>
      <c r="K4808">
        <v>10</v>
      </c>
    </row>
    <row r="4809" spans="1:11" x14ac:dyDescent="0.35">
      <c r="A4809" t="s">
        <v>4846</v>
      </c>
      <c r="B4809">
        <v>68</v>
      </c>
      <c r="C4809" t="s">
        <v>12</v>
      </c>
      <c r="D4809" t="s">
        <v>19</v>
      </c>
      <c r="E4809">
        <v>13</v>
      </c>
      <c r="F4809" t="s">
        <v>22</v>
      </c>
      <c r="G4809" t="s">
        <v>37</v>
      </c>
      <c r="H4809" s="1">
        <v>112.41</v>
      </c>
      <c r="I4809" t="s">
        <v>24</v>
      </c>
      <c r="J4809">
        <v>1</v>
      </c>
      <c r="K4809">
        <v>5</v>
      </c>
    </row>
    <row r="4810" spans="1:11" x14ac:dyDescent="0.35">
      <c r="A4810" t="s">
        <v>4847</v>
      </c>
      <c r="B4810">
        <v>38</v>
      </c>
      <c r="C4810" t="s">
        <v>18</v>
      </c>
      <c r="D4810" t="s">
        <v>13</v>
      </c>
      <c r="E4810">
        <v>20</v>
      </c>
      <c r="F4810" t="s">
        <v>33</v>
      </c>
      <c r="G4810" t="s">
        <v>37</v>
      </c>
      <c r="H4810" s="1">
        <v>173.05</v>
      </c>
      <c r="I4810" t="s">
        <v>24</v>
      </c>
      <c r="J4810">
        <v>1</v>
      </c>
      <c r="K4810">
        <v>4</v>
      </c>
    </row>
    <row r="4811" spans="1:11" x14ac:dyDescent="0.35">
      <c r="A4811" t="s">
        <v>4848</v>
      </c>
      <c r="B4811">
        <v>63</v>
      </c>
      <c r="C4811" t="s">
        <v>12</v>
      </c>
      <c r="D4811" t="s">
        <v>13</v>
      </c>
      <c r="E4811">
        <v>11</v>
      </c>
      <c r="F4811" t="s">
        <v>33</v>
      </c>
      <c r="G4811" t="s">
        <v>37</v>
      </c>
      <c r="H4811" s="1">
        <v>187.65</v>
      </c>
      <c r="I4811" t="s">
        <v>24</v>
      </c>
      <c r="J4811">
        <v>1</v>
      </c>
      <c r="K4811">
        <v>4</v>
      </c>
    </row>
    <row r="4812" spans="1:11" x14ac:dyDescent="0.35">
      <c r="A4812" t="s">
        <v>4849</v>
      </c>
      <c r="B4812">
        <v>24</v>
      </c>
      <c r="C4812" t="s">
        <v>12</v>
      </c>
      <c r="D4812" t="s">
        <v>13</v>
      </c>
      <c r="E4812">
        <v>12</v>
      </c>
      <c r="F4812" t="s">
        <v>14</v>
      </c>
      <c r="G4812" t="s">
        <v>23</v>
      </c>
      <c r="H4812" s="1">
        <v>0</v>
      </c>
      <c r="I4812" t="s">
        <v>16</v>
      </c>
      <c r="J4812">
        <v>2</v>
      </c>
      <c r="K4812">
        <v>4</v>
      </c>
    </row>
    <row r="4813" spans="1:11" x14ac:dyDescent="0.35">
      <c r="A4813" t="s">
        <v>4850</v>
      </c>
      <c r="B4813">
        <v>31</v>
      </c>
      <c r="C4813" t="s">
        <v>18</v>
      </c>
      <c r="D4813" t="s">
        <v>200</v>
      </c>
      <c r="E4813">
        <v>9</v>
      </c>
      <c r="F4813" t="s">
        <v>22</v>
      </c>
      <c r="G4813" t="s">
        <v>15</v>
      </c>
      <c r="H4813" s="1">
        <v>372.57</v>
      </c>
      <c r="I4813" t="s">
        <v>24</v>
      </c>
      <c r="J4813">
        <v>1</v>
      </c>
      <c r="K4813">
        <v>6</v>
      </c>
    </row>
    <row r="4814" spans="1:11" x14ac:dyDescent="0.35">
      <c r="A4814" t="s">
        <v>4851</v>
      </c>
      <c r="B4814">
        <v>82</v>
      </c>
      <c r="C4814" t="s">
        <v>18</v>
      </c>
      <c r="D4814" t="s">
        <v>19</v>
      </c>
      <c r="E4814">
        <v>13</v>
      </c>
      <c r="F4814" t="s">
        <v>33</v>
      </c>
      <c r="G4814" t="s">
        <v>37</v>
      </c>
      <c r="H4814" s="1">
        <v>123.55</v>
      </c>
      <c r="I4814" t="s">
        <v>24</v>
      </c>
      <c r="J4814">
        <v>0</v>
      </c>
      <c r="K4814">
        <v>5</v>
      </c>
    </row>
    <row r="4815" spans="1:11" x14ac:dyDescent="0.35">
      <c r="A4815" t="s">
        <v>4852</v>
      </c>
      <c r="B4815">
        <v>28</v>
      </c>
      <c r="C4815" t="s">
        <v>12</v>
      </c>
      <c r="D4815" t="s">
        <v>19</v>
      </c>
      <c r="E4815">
        <v>16</v>
      </c>
      <c r="F4815" t="s">
        <v>26</v>
      </c>
      <c r="G4815" t="s">
        <v>37</v>
      </c>
      <c r="H4815" s="1">
        <v>134.94999999999999</v>
      </c>
      <c r="I4815" t="s">
        <v>24</v>
      </c>
      <c r="J4815">
        <v>0</v>
      </c>
      <c r="K4815">
        <v>6</v>
      </c>
    </row>
    <row r="4816" spans="1:11" x14ac:dyDescent="0.35">
      <c r="A4816" t="s">
        <v>4853</v>
      </c>
      <c r="B4816">
        <v>60</v>
      </c>
      <c r="C4816" t="s">
        <v>18</v>
      </c>
      <c r="D4816" t="s">
        <v>21</v>
      </c>
      <c r="E4816">
        <v>19</v>
      </c>
      <c r="F4816" t="s">
        <v>26</v>
      </c>
      <c r="G4816" t="s">
        <v>27</v>
      </c>
      <c r="H4816" s="1">
        <v>125.73</v>
      </c>
      <c r="I4816" t="s">
        <v>28</v>
      </c>
      <c r="J4816">
        <v>0</v>
      </c>
      <c r="K4816">
        <v>5</v>
      </c>
    </row>
    <row r="4817" spans="1:11" x14ac:dyDescent="0.35">
      <c r="A4817" t="s">
        <v>4854</v>
      </c>
      <c r="B4817">
        <v>44</v>
      </c>
      <c r="C4817" t="s">
        <v>18</v>
      </c>
      <c r="D4817" t="s">
        <v>13</v>
      </c>
      <c r="E4817">
        <v>21</v>
      </c>
      <c r="F4817" t="s">
        <v>14</v>
      </c>
      <c r="G4817" t="s">
        <v>23</v>
      </c>
      <c r="H4817" s="1">
        <v>0</v>
      </c>
      <c r="I4817" t="s">
        <v>16</v>
      </c>
      <c r="J4817">
        <v>0</v>
      </c>
      <c r="K4817">
        <v>4</v>
      </c>
    </row>
    <row r="4818" spans="1:11" x14ac:dyDescent="0.35">
      <c r="A4818" t="s">
        <v>4855</v>
      </c>
      <c r="B4818">
        <v>53</v>
      </c>
      <c r="C4818" t="s">
        <v>18</v>
      </c>
      <c r="D4818" t="s">
        <v>19</v>
      </c>
      <c r="E4818">
        <v>13</v>
      </c>
      <c r="F4818" t="s">
        <v>31</v>
      </c>
      <c r="G4818" t="s">
        <v>37</v>
      </c>
      <c r="H4818" s="1">
        <v>126.63</v>
      </c>
      <c r="I4818" t="s">
        <v>43</v>
      </c>
      <c r="J4818">
        <v>3</v>
      </c>
      <c r="K4818">
        <v>4</v>
      </c>
    </row>
    <row r="4819" spans="1:11" x14ac:dyDescent="0.35">
      <c r="A4819" t="s">
        <v>4856</v>
      </c>
      <c r="B4819">
        <v>45</v>
      </c>
      <c r="C4819" t="s">
        <v>18</v>
      </c>
      <c r="D4819" t="s">
        <v>13</v>
      </c>
      <c r="E4819">
        <v>9</v>
      </c>
      <c r="F4819" t="s">
        <v>22</v>
      </c>
      <c r="G4819" t="s">
        <v>23</v>
      </c>
      <c r="H4819" s="1">
        <v>113.6</v>
      </c>
      <c r="I4819" t="s">
        <v>28</v>
      </c>
      <c r="J4819">
        <v>2</v>
      </c>
      <c r="K4819">
        <v>6</v>
      </c>
    </row>
    <row r="4820" spans="1:11" x14ac:dyDescent="0.35">
      <c r="A4820" t="s">
        <v>4857</v>
      </c>
      <c r="B4820">
        <v>20</v>
      </c>
      <c r="C4820" t="s">
        <v>18</v>
      </c>
      <c r="D4820" t="s">
        <v>21</v>
      </c>
      <c r="E4820">
        <v>35</v>
      </c>
      <c r="F4820" t="s">
        <v>33</v>
      </c>
      <c r="G4820" t="s">
        <v>37</v>
      </c>
      <c r="H4820" s="1">
        <v>149.07</v>
      </c>
      <c r="I4820" t="s">
        <v>24</v>
      </c>
      <c r="J4820">
        <v>1</v>
      </c>
      <c r="K4820">
        <v>2</v>
      </c>
    </row>
    <row r="4821" spans="1:11" x14ac:dyDescent="0.35">
      <c r="A4821" t="s">
        <v>4858</v>
      </c>
      <c r="B4821">
        <v>50</v>
      </c>
      <c r="C4821" t="s">
        <v>12</v>
      </c>
      <c r="D4821" t="s">
        <v>19</v>
      </c>
      <c r="E4821">
        <v>22</v>
      </c>
      <c r="F4821" t="s">
        <v>33</v>
      </c>
      <c r="G4821" t="s">
        <v>23</v>
      </c>
      <c r="H4821" s="1">
        <v>366.82</v>
      </c>
      <c r="I4821" t="s">
        <v>28</v>
      </c>
      <c r="J4821">
        <v>4</v>
      </c>
      <c r="K4821">
        <v>4</v>
      </c>
    </row>
    <row r="4822" spans="1:11" x14ac:dyDescent="0.35">
      <c r="A4822" t="s">
        <v>4859</v>
      </c>
      <c r="B4822">
        <v>32</v>
      </c>
      <c r="C4822" t="s">
        <v>12</v>
      </c>
      <c r="D4822" t="s">
        <v>19</v>
      </c>
      <c r="E4822">
        <v>14</v>
      </c>
      <c r="F4822" t="s">
        <v>26</v>
      </c>
      <c r="G4822" t="s">
        <v>15</v>
      </c>
      <c r="H4822" s="1">
        <v>108.53</v>
      </c>
      <c r="I4822" t="s">
        <v>43</v>
      </c>
      <c r="J4822">
        <v>1</v>
      </c>
      <c r="K4822">
        <v>4</v>
      </c>
    </row>
    <row r="4823" spans="1:11" x14ac:dyDescent="0.35">
      <c r="A4823" t="s">
        <v>4860</v>
      </c>
      <c r="B4823">
        <v>74</v>
      </c>
      <c r="C4823" t="s">
        <v>12</v>
      </c>
      <c r="D4823" t="s">
        <v>19</v>
      </c>
      <c r="E4823">
        <v>13</v>
      </c>
      <c r="F4823" t="s">
        <v>33</v>
      </c>
      <c r="G4823" t="s">
        <v>23</v>
      </c>
      <c r="H4823" s="1">
        <v>576.04999999999995</v>
      </c>
      <c r="I4823" t="s">
        <v>28</v>
      </c>
      <c r="J4823">
        <v>1</v>
      </c>
      <c r="K4823">
        <v>7</v>
      </c>
    </row>
    <row r="4824" spans="1:11" x14ac:dyDescent="0.35">
      <c r="A4824" t="s">
        <v>4861</v>
      </c>
      <c r="B4824">
        <v>65</v>
      </c>
      <c r="C4824" t="s">
        <v>18</v>
      </c>
      <c r="D4824" t="s">
        <v>13</v>
      </c>
      <c r="E4824">
        <v>9</v>
      </c>
      <c r="F4824" t="s">
        <v>26</v>
      </c>
      <c r="G4824" t="s">
        <v>23</v>
      </c>
      <c r="H4824" s="1">
        <v>440.97</v>
      </c>
      <c r="I4824" t="s">
        <v>24</v>
      </c>
      <c r="J4824">
        <v>0</v>
      </c>
      <c r="K4824">
        <v>6</v>
      </c>
    </row>
    <row r="4825" spans="1:11" x14ac:dyDescent="0.35">
      <c r="A4825" t="s">
        <v>4862</v>
      </c>
      <c r="B4825">
        <v>32</v>
      </c>
      <c r="C4825" t="s">
        <v>18</v>
      </c>
      <c r="D4825" t="s">
        <v>21</v>
      </c>
      <c r="E4825">
        <v>24</v>
      </c>
      <c r="F4825" t="s">
        <v>33</v>
      </c>
      <c r="G4825" t="s">
        <v>23</v>
      </c>
      <c r="H4825" s="1">
        <v>354.71</v>
      </c>
      <c r="I4825" t="s">
        <v>24</v>
      </c>
      <c r="J4825">
        <v>0</v>
      </c>
      <c r="K4825">
        <v>4</v>
      </c>
    </row>
    <row r="4826" spans="1:11" x14ac:dyDescent="0.35">
      <c r="A4826" t="s">
        <v>4863</v>
      </c>
      <c r="B4826">
        <v>19</v>
      </c>
      <c r="C4826" t="s">
        <v>18</v>
      </c>
      <c r="D4826" t="s">
        <v>57</v>
      </c>
      <c r="E4826">
        <v>43</v>
      </c>
      <c r="F4826" t="s">
        <v>14</v>
      </c>
      <c r="G4826" t="s">
        <v>15</v>
      </c>
      <c r="H4826" s="1">
        <v>0</v>
      </c>
      <c r="I4826" t="s">
        <v>16</v>
      </c>
      <c r="J4826">
        <v>3</v>
      </c>
      <c r="K4826">
        <v>2</v>
      </c>
    </row>
    <row r="4827" spans="1:11" x14ac:dyDescent="0.35">
      <c r="A4827" t="s">
        <v>4864</v>
      </c>
      <c r="B4827">
        <v>67</v>
      </c>
      <c r="C4827" t="s">
        <v>18</v>
      </c>
      <c r="D4827" t="s">
        <v>30</v>
      </c>
      <c r="E4827">
        <v>7</v>
      </c>
      <c r="F4827" t="s">
        <v>26</v>
      </c>
      <c r="G4827" t="s">
        <v>27</v>
      </c>
      <c r="H4827" s="1">
        <v>131.71</v>
      </c>
      <c r="I4827" t="s">
        <v>28</v>
      </c>
      <c r="J4827">
        <v>2</v>
      </c>
      <c r="K4827">
        <v>10</v>
      </c>
    </row>
    <row r="4828" spans="1:11" x14ac:dyDescent="0.35">
      <c r="A4828" t="s">
        <v>4865</v>
      </c>
      <c r="B4828">
        <v>56</v>
      </c>
      <c r="C4828" t="s">
        <v>18</v>
      </c>
      <c r="D4828" t="s">
        <v>21</v>
      </c>
      <c r="E4828">
        <v>12</v>
      </c>
      <c r="F4828" t="s">
        <v>22</v>
      </c>
      <c r="G4828" t="s">
        <v>34</v>
      </c>
      <c r="H4828" s="1">
        <v>162.25</v>
      </c>
      <c r="I4828" t="s">
        <v>28</v>
      </c>
      <c r="J4828">
        <v>1</v>
      </c>
      <c r="K4828">
        <v>4</v>
      </c>
    </row>
    <row r="4829" spans="1:11" x14ac:dyDescent="0.35">
      <c r="A4829" t="s">
        <v>4866</v>
      </c>
      <c r="B4829">
        <v>43</v>
      </c>
      <c r="C4829" t="s">
        <v>18</v>
      </c>
      <c r="D4829" t="s">
        <v>21</v>
      </c>
      <c r="E4829">
        <v>36</v>
      </c>
      <c r="F4829" t="s">
        <v>26</v>
      </c>
      <c r="G4829" t="s">
        <v>23</v>
      </c>
      <c r="H4829" s="1">
        <v>278.8</v>
      </c>
      <c r="I4829" t="s">
        <v>24</v>
      </c>
      <c r="J4829">
        <v>0</v>
      </c>
      <c r="K4829">
        <v>1</v>
      </c>
    </row>
    <row r="4830" spans="1:11" x14ac:dyDescent="0.35">
      <c r="A4830" t="s">
        <v>4867</v>
      </c>
      <c r="B4830">
        <v>79</v>
      </c>
      <c r="C4830" t="s">
        <v>18</v>
      </c>
      <c r="D4830" t="s">
        <v>47</v>
      </c>
      <c r="E4830">
        <v>14</v>
      </c>
      <c r="F4830" t="s">
        <v>31</v>
      </c>
      <c r="G4830" t="s">
        <v>34</v>
      </c>
      <c r="H4830" s="1">
        <v>204.17</v>
      </c>
      <c r="I4830" t="s">
        <v>24</v>
      </c>
      <c r="J4830">
        <v>3</v>
      </c>
      <c r="K4830">
        <v>6</v>
      </c>
    </row>
    <row r="4831" spans="1:11" x14ac:dyDescent="0.35">
      <c r="A4831" t="s">
        <v>4868</v>
      </c>
      <c r="B4831">
        <v>78</v>
      </c>
      <c r="C4831" t="s">
        <v>12</v>
      </c>
      <c r="D4831" t="s">
        <v>19</v>
      </c>
      <c r="E4831">
        <v>19</v>
      </c>
      <c r="F4831" t="s">
        <v>33</v>
      </c>
      <c r="G4831" t="s">
        <v>15</v>
      </c>
      <c r="H4831" s="1">
        <v>98.38</v>
      </c>
      <c r="I4831" t="s">
        <v>24</v>
      </c>
      <c r="J4831">
        <v>1</v>
      </c>
      <c r="K4831">
        <v>4</v>
      </c>
    </row>
    <row r="4832" spans="1:11" x14ac:dyDescent="0.35">
      <c r="A4832" t="s">
        <v>4869</v>
      </c>
      <c r="B4832">
        <v>59</v>
      </c>
      <c r="C4832" t="s">
        <v>18</v>
      </c>
      <c r="D4832" t="s">
        <v>21</v>
      </c>
      <c r="E4832">
        <v>22</v>
      </c>
      <c r="F4832" t="s">
        <v>33</v>
      </c>
      <c r="G4832" t="s">
        <v>34</v>
      </c>
      <c r="H4832" s="1">
        <v>171.09</v>
      </c>
      <c r="I4832" t="s">
        <v>24</v>
      </c>
      <c r="J4832">
        <v>1</v>
      </c>
      <c r="K4832">
        <v>1</v>
      </c>
    </row>
    <row r="4833" spans="1:11" x14ac:dyDescent="0.35">
      <c r="A4833" t="s">
        <v>4870</v>
      </c>
      <c r="B4833">
        <v>63</v>
      </c>
      <c r="C4833" t="s">
        <v>12</v>
      </c>
      <c r="D4833" t="s">
        <v>19</v>
      </c>
      <c r="E4833">
        <v>21</v>
      </c>
      <c r="F4833" t="s">
        <v>22</v>
      </c>
      <c r="G4833" t="s">
        <v>15</v>
      </c>
      <c r="H4833" s="1">
        <v>88.42</v>
      </c>
      <c r="I4833" t="s">
        <v>24</v>
      </c>
      <c r="J4833">
        <v>2</v>
      </c>
      <c r="K4833">
        <v>5</v>
      </c>
    </row>
    <row r="4834" spans="1:11" x14ac:dyDescent="0.35">
      <c r="A4834" t="s">
        <v>4871</v>
      </c>
      <c r="B4834">
        <v>79</v>
      </c>
      <c r="C4834" t="s">
        <v>18</v>
      </c>
      <c r="D4834" t="s">
        <v>21</v>
      </c>
      <c r="E4834">
        <v>31</v>
      </c>
      <c r="F4834" t="s">
        <v>33</v>
      </c>
      <c r="G4834" t="s">
        <v>37</v>
      </c>
      <c r="H4834" s="1">
        <v>141.84</v>
      </c>
      <c r="I4834" t="s">
        <v>24</v>
      </c>
      <c r="J4834">
        <v>1</v>
      </c>
      <c r="K4834">
        <v>3</v>
      </c>
    </row>
    <row r="4835" spans="1:11" x14ac:dyDescent="0.35">
      <c r="A4835" t="s">
        <v>4872</v>
      </c>
      <c r="B4835">
        <v>70</v>
      </c>
      <c r="C4835" t="s">
        <v>18</v>
      </c>
      <c r="D4835" t="s">
        <v>19</v>
      </c>
      <c r="E4835">
        <v>20</v>
      </c>
      <c r="F4835" t="s">
        <v>26</v>
      </c>
      <c r="G4835" t="s">
        <v>23</v>
      </c>
      <c r="H4835" s="1">
        <v>61.45</v>
      </c>
      <c r="I4835" t="s">
        <v>24</v>
      </c>
      <c r="J4835">
        <v>1</v>
      </c>
      <c r="K4835">
        <v>4</v>
      </c>
    </row>
    <row r="4836" spans="1:11" x14ac:dyDescent="0.35">
      <c r="A4836" t="s">
        <v>4873</v>
      </c>
      <c r="B4836">
        <v>40</v>
      </c>
      <c r="C4836" t="s">
        <v>18</v>
      </c>
      <c r="D4836" t="s">
        <v>30</v>
      </c>
      <c r="E4836">
        <v>3</v>
      </c>
      <c r="F4836" t="s">
        <v>33</v>
      </c>
      <c r="G4836" t="s">
        <v>23</v>
      </c>
      <c r="H4836" s="1">
        <v>124.82</v>
      </c>
      <c r="I4836" t="s">
        <v>24</v>
      </c>
      <c r="J4836">
        <v>0</v>
      </c>
      <c r="K4836">
        <v>7</v>
      </c>
    </row>
    <row r="4837" spans="1:11" x14ac:dyDescent="0.35">
      <c r="A4837" t="s">
        <v>4874</v>
      </c>
      <c r="B4837">
        <v>42</v>
      </c>
      <c r="C4837" t="s">
        <v>18</v>
      </c>
      <c r="D4837" t="s">
        <v>21</v>
      </c>
      <c r="E4837">
        <v>14</v>
      </c>
      <c r="F4837" t="s">
        <v>22</v>
      </c>
      <c r="G4837" t="s">
        <v>23</v>
      </c>
      <c r="H4837" s="1">
        <v>386.47</v>
      </c>
      <c r="I4837" t="s">
        <v>43</v>
      </c>
      <c r="J4837">
        <v>0</v>
      </c>
      <c r="K4837">
        <v>7</v>
      </c>
    </row>
    <row r="4838" spans="1:11" x14ac:dyDescent="0.35">
      <c r="A4838" t="s">
        <v>4875</v>
      </c>
      <c r="B4838">
        <v>46</v>
      </c>
      <c r="C4838" t="s">
        <v>18</v>
      </c>
      <c r="D4838" t="s">
        <v>41</v>
      </c>
      <c r="E4838">
        <v>13</v>
      </c>
      <c r="F4838" t="s">
        <v>33</v>
      </c>
      <c r="G4838" t="s">
        <v>23</v>
      </c>
      <c r="H4838" s="1">
        <v>132.22999999999999</v>
      </c>
      <c r="I4838" t="s">
        <v>24</v>
      </c>
      <c r="J4838">
        <v>3</v>
      </c>
      <c r="K4838">
        <v>6</v>
      </c>
    </row>
    <row r="4839" spans="1:11" x14ac:dyDescent="0.35">
      <c r="A4839" t="s">
        <v>4876</v>
      </c>
      <c r="B4839">
        <v>36</v>
      </c>
      <c r="C4839" t="s">
        <v>18</v>
      </c>
      <c r="D4839" t="s">
        <v>21</v>
      </c>
      <c r="E4839">
        <v>20</v>
      </c>
      <c r="F4839" t="s">
        <v>26</v>
      </c>
      <c r="G4839" t="s">
        <v>37</v>
      </c>
      <c r="H4839" s="1">
        <v>92.89</v>
      </c>
      <c r="I4839" t="s">
        <v>24</v>
      </c>
      <c r="J4839">
        <v>1</v>
      </c>
      <c r="K4839">
        <v>5</v>
      </c>
    </row>
    <row r="4840" spans="1:11" x14ac:dyDescent="0.35">
      <c r="A4840" t="s">
        <v>4877</v>
      </c>
      <c r="B4840">
        <v>51</v>
      </c>
      <c r="C4840" t="s">
        <v>12</v>
      </c>
      <c r="D4840" t="s">
        <v>47</v>
      </c>
      <c r="E4840">
        <v>4</v>
      </c>
      <c r="F4840" t="s">
        <v>33</v>
      </c>
      <c r="G4840" t="s">
        <v>37</v>
      </c>
      <c r="H4840" s="1">
        <v>150.06</v>
      </c>
      <c r="I4840" t="s">
        <v>24</v>
      </c>
      <c r="J4840">
        <v>1</v>
      </c>
      <c r="K4840">
        <v>8</v>
      </c>
    </row>
    <row r="4841" spans="1:11" x14ac:dyDescent="0.35">
      <c r="A4841" t="s">
        <v>4878</v>
      </c>
      <c r="B4841">
        <v>26</v>
      </c>
      <c r="C4841" t="s">
        <v>18</v>
      </c>
      <c r="D4841" t="s">
        <v>19</v>
      </c>
      <c r="E4841">
        <v>7</v>
      </c>
      <c r="F4841" t="s">
        <v>26</v>
      </c>
      <c r="G4841" t="s">
        <v>37</v>
      </c>
      <c r="H4841" s="1">
        <v>127.74</v>
      </c>
      <c r="I4841" t="s">
        <v>43</v>
      </c>
      <c r="J4841">
        <v>2</v>
      </c>
      <c r="K4841">
        <v>8</v>
      </c>
    </row>
    <row r="4842" spans="1:11" x14ac:dyDescent="0.35">
      <c r="A4842" t="s">
        <v>4879</v>
      </c>
      <c r="B4842">
        <v>83</v>
      </c>
      <c r="C4842" t="s">
        <v>12</v>
      </c>
      <c r="D4842" t="s">
        <v>19</v>
      </c>
      <c r="E4842">
        <v>9</v>
      </c>
      <c r="F4842" t="s">
        <v>26</v>
      </c>
      <c r="G4842" t="s">
        <v>37</v>
      </c>
      <c r="H4842" s="1">
        <v>206.03</v>
      </c>
      <c r="I4842" t="s">
        <v>28</v>
      </c>
      <c r="J4842">
        <v>3</v>
      </c>
      <c r="K4842">
        <v>4</v>
      </c>
    </row>
    <row r="4843" spans="1:11" x14ac:dyDescent="0.35">
      <c r="A4843" t="s">
        <v>4880</v>
      </c>
      <c r="B4843">
        <v>65</v>
      </c>
      <c r="C4843" t="s">
        <v>18</v>
      </c>
      <c r="D4843" t="s">
        <v>47</v>
      </c>
      <c r="E4843">
        <v>12</v>
      </c>
      <c r="F4843" t="s">
        <v>26</v>
      </c>
      <c r="G4843" t="s">
        <v>27</v>
      </c>
      <c r="H4843" s="1">
        <v>118.33</v>
      </c>
      <c r="I4843" t="s">
        <v>24</v>
      </c>
      <c r="J4843">
        <v>1</v>
      </c>
      <c r="K4843">
        <v>7</v>
      </c>
    </row>
    <row r="4844" spans="1:11" x14ac:dyDescent="0.35">
      <c r="A4844" t="s">
        <v>4881</v>
      </c>
      <c r="B4844">
        <v>34</v>
      </c>
      <c r="C4844" t="s">
        <v>12</v>
      </c>
      <c r="D4844" t="s">
        <v>41</v>
      </c>
      <c r="E4844">
        <v>9</v>
      </c>
      <c r="F4844" t="s">
        <v>22</v>
      </c>
      <c r="G4844" t="s">
        <v>34</v>
      </c>
      <c r="H4844" s="1">
        <v>120.59</v>
      </c>
      <c r="I4844" t="s">
        <v>28</v>
      </c>
      <c r="J4844">
        <v>3</v>
      </c>
      <c r="K4844">
        <v>6</v>
      </c>
    </row>
    <row r="4845" spans="1:11" x14ac:dyDescent="0.35">
      <c r="A4845" t="s">
        <v>4882</v>
      </c>
      <c r="B4845">
        <v>79</v>
      </c>
      <c r="C4845" t="s">
        <v>12</v>
      </c>
      <c r="D4845" t="s">
        <v>13</v>
      </c>
      <c r="E4845">
        <v>9</v>
      </c>
      <c r="F4845" t="s">
        <v>31</v>
      </c>
      <c r="G4845" t="s">
        <v>15</v>
      </c>
      <c r="H4845" s="1">
        <v>177.6</v>
      </c>
      <c r="I4845" t="s">
        <v>24</v>
      </c>
      <c r="J4845">
        <v>1</v>
      </c>
      <c r="K4845">
        <v>7</v>
      </c>
    </row>
    <row r="4846" spans="1:11" x14ac:dyDescent="0.35">
      <c r="A4846" t="s">
        <v>4883</v>
      </c>
      <c r="B4846">
        <v>51</v>
      </c>
      <c r="C4846" t="s">
        <v>12</v>
      </c>
      <c r="D4846" t="s">
        <v>19</v>
      </c>
      <c r="E4846">
        <v>14</v>
      </c>
      <c r="F4846" t="s">
        <v>22</v>
      </c>
      <c r="G4846" t="s">
        <v>27</v>
      </c>
      <c r="H4846" s="1">
        <v>32.4</v>
      </c>
      <c r="I4846" t="s">
        <v>43</v>
      </c>
      <c r="J4846">
        <v>0</v>
      </c>
      <c r="K4846">
        <v>6</v>
      </c>
    </row>
    <row r="4847" spans="1:11" x14ac:dyDescent="0.35">
      <c r="A4847" t="s">
        <v>4884</v>
      </c>
      <c r="B4847">
        <v>47</v>
      </c>
      <c r="C4847" t="s">
        <v>12</v>
      </c>
      <c r="D4847" t="s">
        <v>41</v>
      </c>
      <c r="E4847">
        <v>9</v>
      </c>
      <c r="F4847" t="s">
        <v>14</v>
      </c>
      <c r="G4847" t="s">
        <v>15</v>
      </c>
      <c r="H4847" s="1">
        <v>0</v>
      </c>
      <c r="I4847" t="s">
        <v>16</v>
      </c>
      <c r="J4847">
        <v>2</v>
      </c>
      <c r="K4847">
        <v>6</v>
      </c>
    </row>
    <row r="4848" spans="1:11" x14ac:dyDescent="0.35">
      <c r="A4848" t="s">
        <v>4885</v>
      </c>
      <c r="B4848">
        <v>44</v>
      </c>
      <c r="C4848" t="s">
        <v>18</v>
      </c>
      <c r="D4848" t="s">
        <v>19</v>
      </c>
      <c r="E4848">
        <v>21</v>
      </c>
      <c r="F4848" t="s">
        <v>22</v>
      </c>
      <c r="G4848" t="s">
        <v>27</v>
      </c>
      <c r="H4848" s="1">
        <v>97.13</v>
      </c>
      <c r="I4848" t="s">
        <v>28</v>
      </c>
      <c r="J4848">
        <v>3</v>
      </c>
      <c r="K4848">
        <v>5</v>
      </c>
    </row>
    <row r="4849" spans="1:11" x14ac:dyDescent="0.35">
      <c r="A4849" t="s">
        <v>4886</v>
      </c>
      <c r="B4849">
        <v>31</v>
      </c>
      <c r="C4849" t="s">
        <v>18</v>
      </c>
      <c r="D4849" t="s">
        <v>19</v>
      </c>
      <c r="E4849">
        <v>21</v>
      </c>
      <c r="F4849" t="s">
        <v>22</v>
      </c>
      <c r="G4849" t="s">
        <v>34</v>
      </c>
      <c r="H4849" s="1">
        <v>98.47</v>
      </c>
      <c r="I4849" t="s">
        <v>24</v>
      </c>
      <c r="J4849">
        <v>2</v>
      </c>
      <c r="K4849">
        <v>3</v>
      </c>
    </row>
    <row r="4850" spans="1:11" x14ac:dyDescent="0.35">
      <c r="A4850" t="s">
        <v>4887</v>
      </c>
      <c r="B4850">
        <v>22</v>
      </c>
      <c r="C4850" t="s">
        <v>18</v>
      </c>
      <c r="D4850" t="s">
        <v>19</v>
      </c>
      <c r="E4850">
        <v>18</v>
      </c>
      <c r="F4850" t="s">
        <v>26</v>
      </c>
      <c r="G4850" t="s">
        <v>15</v>
      </c>
      <c r="H4850" s="1">
        <v>153.38999999999999</v>
      </c>
      <c r="I4850" t="s">
        <v>24</v>
      </c>
      <c r="J4850">
        <v>0</v>
      </c>
      <c r="K4850">
        <v>6</v>
      </c>
    </row>
    <row r="4851" spans="1:11" x14ac:dyDescent="0.35">
      <c r="A4851" t="s">
        <v>4888</v>
      </c>
      <c r="B4851">
        <v>47</v>
      </c>
      <c r="C4851" t="s">
        <v>12</v>
      </c>
      <c r="D4851" t="s">
        <v>19</v>
      </c>
      <c r="E4851">
        <v>16</v>
      </c>
      <c r="F4851" t="s">
        <v>26</v>
      </c>
      <c r="G4851" t="s">
        <v>27</v>
      </c>
      <c r="H4851" s="1">
        <v>94.79</v>
      </c>
      <c r="I4851" t="s">
        <v>24</v>
      </c>
      <c r="J4851">
        <v>1</v>
      </c>
      <c r="K4851">
        <v>6</v>
      </c>
    </row>
    <row r="4852" spans="1:11" x14ac:dyDescent="0.35">
      <c r="A4852" t="s">
        <v>4889</v>
      </c>
      <c r="B4852">
        <v>74</v>
      </c>
      <c r="C4852" t="s">
        <v>18</v>
      </c>
      <c r="D4852" t="s">
        <v>19</v>
      </c>
      <c r="E4852">
        <v>19</v>
      </c>
      <c r="F4852" t="s">
        <v>33</v>
      </c>
      <c r="G4852" t="s">
        <v>34</v>
      </c>
      <c r="H4852" s="1">
        <v>215.86</v>
      </c>
      <c r="I4852" t="s">
        <v>24</v>
      </c>
      <c r="J4852">
        <v>3</v>
      </c>
      <c r="K4852">
        <v>3</v>
      </c>
    </row>
    <row r="4853" spans="1:11" x14ac:dyDescent="0.35">
      <c r="A4853" t="s">
        <v>4890</v>
      </c>
      <c r="B4853">
        <v>41</v>
      </c>
      <c r="C4853" t="s">
        <v>12</v>
      </c>
      <c r="D4853" t="s">
        <v>30</v>
      </c>
      <c r="E4853">
        <v>12</v>
      </c>
      <c r="F4853" t="s">
        <v>33</v>
      </c>
      <c r="G4853" t="s">
        <v>34</v>
      </c>
      <c r="H4853" s="1">
        <v>148.59</v>
      </c>
      <c r="I4853" t="s">
        <v>24</v>
      </c>
      <c r="J4853">
        <v>3</v>
      </c>
      <c r="K4853">
        <v>4</v>
      </c>
    </row>
    <row r="4854" spans="1:11" x14ac:dyDescent="0.35">
      <c r="A4854" t="s">
        <v>4891</v>
      </c>
      <c r="B4854">
        <v>74</v>
      </c>
      <c r="C4854" t="s">
        <v>18</v>
      </c>
      <c r="D4854" t="s">
        <v>30</v>
      </c>
      <c r="E4854">
        <v>3</v>
      </c>
      <c r="F4854" t="s">
        <v>14</v>
      </c>
      <c r="G4854" t="s">
        <v>15</v>
      </c>
      <c r="H4854" s="1">
        <v>0</v>
      </c>
      <c r="I4854" t="s">
        <v>16</v>
      </c>
      <c r="J4854">
        <v>1</v>
      </c>
      <c r="K4854">
        <v>9</v>
      </c>
    </row>
    <row r="4855" spans="1:11" x14ac:dyDescent="0.35">
      <c r="A4855" t="s">
        <v>4892</v>
      </c>
      <c r="B4855">
        <v>66</v>
      </c>
      <c r="C4855" t="s">
        <v>12</v>
      </c>
      <c r="D4855" t="s">
        <v>19</v>
      </c>
      <c r="E4855">
        <v>18</v>
      </c>
      <c r="F4855" t="s">
        <v>22</v>
      </c>
      <c r="G4855" t="s">
        <v>15</v>
      </c>
      <c r="H4855" s="1">
        <v>335.14</v>
      </c>
      <c r="I4855" t="s">
        <v>24</v>
      </c>
      <c r="J4855">
        <v>0</v>
      </c>
      <c r="K4855">
        <v>5</v>
      </c>
    </row>
    <row r="4856" spans="1:11" x14ac:dyDescent="0.35">
      <c r="A4856" t="s">
        <v>4893</v>
      </c>
      <c r="B4856">
        <v>53</v>
      </c>
      <c r="C4856" t="s">
        <v>12</v>
      </c>
      <c r="D4856" t="s">
        <v>19</v>
      </c>
      <c r="E4856">
        <v>18</v>
      </c>
      <c r="F4856" t="s">
        <v>31</v>
      </c>
      <c r="G4856" t="s">
        <v>23</v>
      </c>
      <c r="H4856" s="1">
        <v>560.70000000000005</v>
      </c>
      <c r="I4856" t="s">
        <v>24</v>
      </c>
      <c r="J4856">
        <v>0</v>
      </c>
      <c r="K4856">
        <v>8</v>
      </c>
    </row>
    <row r="4857" spans="1:11" x14ac:dyDescent="0.35">
      <c r="A4857" t="s">
        <v>4894</v>
      </c>
      <c r="B4857">
        <v>22</v>
      </c>
      <c r="C4857" t="s">
        <v>18</v>
      </c>
      <c r="D4857" t="s">
        <v>30</v>
      </c>
      <c r="E4857">
        <v>11</v>
      </c>
      <c r="F4857" t="s">
        <v>31</v>
      </c>
      <c r="G4857" t="s">
        <v>27</v>
      </c>
      <c r="H4857" s="1">
        <v>140.93</v>
      </c>
      <c r="I4857" t="s">
        <v>24</v>
      </c>
      <c r="J4857">
        <v>0</v>
      </c>
      <c r="K4857">
        <v>6</v>
      </c>
    </row>
    <row r="4858" spans="1:11" x14ac:dyDescent="0.35">
      <c r="A4858" t="s">
        <v>4895</v>
      </c>
      <c r="B4858">
        <v>45</v>
      </c>
      <c r="C4858" t="s">
        <v>12</v>
      </c>
      <c r="D4858" t="s">
        <v>30</v>
      </c>
      <c r="E4858">
        <v>12</v>
      </c>
      <c r="F4858" t="s">
        <v>22</v>
      </c>
      <c r="G4858" t="s">
        <v>27</v>
      </c>
      <c r="H4858" s="1">
        <v>165.36</v>
      </c>
      <c r="I4858" t="s">
        <v>24</v>
      </c>
      <c r="J4858">
        <v>2</v>
      </c>
      <c r="K4858">
        <v>4</v>
      </c>
    </row>
    <row r="4859" spans="1:11" x14ac:dyDescent="0.35">
      <c r="A4859" t="s">
        <v>4896</v>
      </c>
      <c r="B4859">
        <v>45</v>
      </c>
      <c r="C4859" t="s">
        <v>12</v>
      </c>
      <c r="D4859" t="s">
        <v>19</v>
      </c>
      <c r="E4859">
        <v>12</v>
      </c>
      <c r="F4859" t="s">
        <v>33</v>
      </c>
      <c r="G4859" t="s">
        <v>23</v>
      </c>
      <c r="H4859" s="1">
        <v>550.01</v>
      </c>
      <c r="I4859" t="s">
        <v>24</v>
      </c>
      <c r="J4859">
        <v>3</v>
      </c>
      <c r="K4859">
        <v>4</v>
      </c>
    </row>
    <row r="4860" spans="1:11" x14ac:dyDescent="0.35">
      <c r="A4860" t="s">
        <v>4897</v>
      </c>
      <c r="B4860">
        <v>70</v>
      </c>
      <c r="C4860" t="s">
        <v>12</v>
      </c>
      <c r="D4860" t="s">
        <v>21</v>
      </c>
      <c r="E4860">
        <v>19</v>
      </c>
      <c r="F4860" t="s">
        <v>33</v>
      </c>
      <c r="G4860" t="s">
        <v>34</v>
      </c>
      <c r="H4860" s="1">
        <v>211.66</v>
      </c>
      <c r="I4860" t="s">
        <v>24</v>
      </c>
      <c r="J4860">
        <v>0</v>
      </c>
      <c r="K4860">
        <v>1</v>
      </c>
    </row>
    <row r="4861" spans="1:11" x14ac:dyDescent="0.35">
      <c r="A4861" t="s">
        <v>4898</v>
      </c>
      <c r="B4861">
        <v>31</v>
      </c>
      <c r="C4861" t="s">
        <v>18</v>
      </c>
      <c r="D4861" t="s">
        <v>41</v>
      </c>
      <c r="E4861">
        <v>12</v>
      </c>
      <c r="F4861" t="s">
        <v>33</v>
      </c>
      <c r="G4861" t="s">
        <v>23</v>
      </c>
      <c r="H4861" s="1">
        <v>436.26</v>
      </c>
      <c r="I4861" t="s">
        <v>24</v>
      </c>
      <c r="J4861">
        <v>0</v>
      </c>
      <c r="K4861">
        <v>7</v>
      </c>
    </row>
    <row r="4862" spans="1:11" x14ac:dyDescent="0.35">
      <c r="A4862" t="s">
        <v>4899</v>
      </c>
      <c r="B4862">
        <v>31</v>
      </c>
      <c r="C4862" t="s">
        <v>18</v>
      </c>
      <c r="D4862" t="s">
        <v>13</v>
      </c>
      <c r="E4862">
        <v>13</v>
      </c>
      <c r="F4862" t="s">
        <v>26</v>
      </c>
      <c r="G4862" t="s">
        <v>15</v>
      </c>
      <c r="H4862" s="1">
        <v>356.15</v>
      </c>
      <c r="I4862" t="s">
        <v>24</v>
      </c>
      <c r="J4862">
        <v>0</v>
      </c>
      <c r="K4862">
        <v>4</v>
      </c>
    </row>
    <row r="4863" spans="1:11" x14ac:dyDescent="0.35">
      <c r="A4863" t="s">
        <v>4900</v>
      </c>
      <c r="B4863">
        <v>42</v>
      </c>
      <c r="C4863" t="s">
        <v>18</v>
      </c>
      <c r="D4863" t="s">
        <v>30</v>
      </c>
      <c r="E4863">
        <v>10</v>
      </c>
      <c r="F4863" t="s">
        <v>22</v>
      </c>
      <c r="G4863" t="s">
        <v>23</v>
      </c>
      <c r="H4863" s="1">
        <v>136.74</v>
      </c>
      <c r="I4863" t="s">
        <v>24</v>
      </c>
      <c r="J4863">
        <v>0</v>
      </c>
      <c r="K4863">
        <v>8</v>
      </c>
    </row>
    <row r="4864" spans="1:11" x14ac:dyDescent="0.35">
      <c r="A4864" t="s">
        <v>4901</v>
      </c>
      <c r="B4864">
        <v>34</v>
      </c>
      <c r="C4864" t="s">
        <v>18</v>
      </c>
      <c r="D4864" t="s">
        <v>19</v>
      </c>
      <c r="E4864">
        <v>13</v>
      </c>
      <c r="F4864" t="s">
        <v>26</v>
      </c>
      <c r="G4864" t="s">
        <v>34</v>
      </c>
      <c r="H4864" s="1">
        <v>167.52</v>
      </c>
      <c r="I4864" t="s">
        <v>24</v>
      </c>
      <c r="J4864">
        <v>1</v>
      </c>
      <c r="K4864">
        <v>5</v>
      </c>
    </row>
    <row r="4865" spans="1:11" x14ac:dyDescent="0.35">
      <c r="A4865" t="s">
        <v>4902</v>
      </c>
      <c r="B4865">
        <v>46</v>
      </c>
      <c r="C4865" t="s">
        <v>12</v>
      </c>
      <c r="D4865" t="s">
        <v>19</v>
      </c>
      <c r="E4865">
        <v>7</v>
      </c>
      <c r="F4865" t="s">
        <v>22</v>
      </c>
      <c r="G4865" t="s">
        <v>15</v>
      </c>
      <c r="H4865" s="1">
        <v>431.24</v>
      </c>
      <c r="I4865" t="s">
        <v>24</v>
      </c>
      <c r="J4865">
        <v>0</v>
      </c>
      <c r="K4865">
        <v>7</v>
      </c>
    </row>
    <row r="4866" spans="1:11" x14ac:dyDescent="0.35">
      <c r="A4866" t="s">
        <v>4903</v>
      </c>
      <c r="B4866">
        <v>24</v>
      </c>
      <c r="C4866" t="s">
        <v>12</v>
      </c>
      <c r="D4866" t="s">
        <v>19</v>
      </c>
      <c r="E4866">
        <v>13</v>
      </c>
      <c r="F4866" t="s">
        <v>33</v>
      </c>
      <c r="G4866" t="s">
        <v>27</v>
      </c>
      <c r="H4866" s="1">
        <v>48.97</v>
      </c>
      <c r="I4866" t="s">
        <v>24</v>
      </c>
      <c r="J4866">
        <v>1</v>
      </c>
      <c r="K4866">
        <v>7</v>
      </c>
    </row>
    <row r="4867" spans="1:11" x14ac:dyDescent="0.35">
      <c r="A4867" t="s">
        <v>4904</v>
      </c>
      <c r="B4867">
        <v>84</v>
      </c>
      <c r="C4867" t="s">
        <v>12</v>
      </c>
      <c r="D4867" t="s">
        <v>21</v>
      </c>
      <c r="E4867">
        <v>13</v>
      </c>
      <c r="F4867" t="s">
        <v>26</v>
      </c>
      <c r="G4867" t="s">
        <v>23</v>
      </c>
      <c r="H4867" s="1">
        <v>406.05</v>
      </c>
      <c r="I4867" t="s">
        <v>24</v>
      </c>
      <c r="J4867">
        <v>3</v>
      </c>
      <c r="K4867">
        <v>4</v>
      </c>
    </row>
    <row r="4868" spans="1:11" x14ac:dyDescent="0.35">
      <c r="A4868" t="s">
        <v>4905</v>
      </c>
      <c r="B4868">
        <v>57</v>
      </c>
      <c r="C4868" t="s">
        <v>18</v>
      </c>
      <c r="D4868" t="s">
        <v>19</v>
      </c>
      <c r="E4868">
        <v>8</v>
      </c>
      <c r="F4868" t="s">
        <v>26</v>
      </c>
      <c r="G4868" t="s">
        <v>34</v>
      </c>
      <c r="H4868" s="1">
        <v>153.22</v>
      </c>
      <c r="I4868" t="s">
        <v>24</v>
      </c>
      <c r="J4868">
        <v>0</v>
      </c>
      <c r="K4868">
        <v>9</v>
      </c>
    </row>
    <row r="4869" spans="1:11" x14ac:dyDescent="0.35">
      <c r="A4869" t="s">
        <v>4906</v>
      </c>
      <c r="B4869">
        <v>40</v>
      </c>
      <c r="C4869" t="s">
        <v>18</v>
      </c>
      <c r="D4869" t="s">
        <v>21</v>
      </c>
      <c r="E4869">
        <v>25</v>
      </c>
      <c r="F4869" t="s">
        <v>22</v>
      </c>
      <c r="G4869" t="s">
        <v>27</v>
      </c>
      <c r="H4869" s="1">
        <v>114.08</v>
      </c>
      <c r="I4869" t="s">
        <v>24</v>
      </c>
      <c r="J4869">
        <v>1</v>
      </c>
      <c r="K4869">
        <v>2</v>
      </c>
    </row>
    <row r="4870" spans="1:11" x14ac:dyDescent="0.35">
      <c r="A4870" t="s">
        <v>4907</v>
      </c>
      <c r="B4870">
        <v>61</v>
      </c>
      <c r="C4870" t="s">
        <v>12</v>
      </c>
      <c r="D4870" t="s">
        <v>19</v>
      </c>
      <c r="E4870">
        <v>13</v>
      </c>
      <c r="F4870" t="s">
        <v>33</v>
      </c>
      <c r="G4870" t="s">
        <v>37</v>
      </c>
      <c r="H4870" s="1">
        <v>136.97999999999999</v>
      </c>
      <c r="I4870" t="s">
        <v>24</v>
      </c>
      <c r="J4870">
        <v>1</v>
      </c>
      <c r="K4870">
        <v>8</v>
      </c>
    </row>
    <row r="4871" spans="1:11" x14ac:dyDescent="0.35">
      <c r="A4871" t="s">
        <v>4908</v>
      </c>
      <c r="B4871">
        <v>39</v>
      </c>
      <c r="C4871" t="s">
        <v>12</v>
      </c>
      <c r="D4871" t="s">
        <v>30</v>
      </c>
      <c r="E4871">
        <v>3</v>
      </c>
      <c r="F4871" t="s">
        <v>33</v>
      </c>
      <c r="G4871" t="s">
        <v>27</v>
      </c>
      <c r="H4871" s="1">
        <v>79.05</v>
      </c>
      <c r="I4871" t="s">
        <v>24</v>
      </c>
      <c r="J4871">
        <v>2</v>
      </c>
      <c r="K4871">
        <v>8</v>
      </c>
    </row>
    <row r="4872" spans="1:11" x14ac:dyDescent="0.35">
      <c r="A4872" t="s">
        <v>4909</v>
      </c>
      <c r="B4872">
        <v>79</v>
      </c>
      <c r="C4872" t="s">
        <v>12</v>
      </c>
      <c r="D4872" t="s">
        <v>19</v>
      </c>
      <c r="E4872">
        <v>18</v>
      </c>
      <c r="F4872" t="s">
        <v>33</v>
      </c>
      <c r="G4872" t="s">
        <v>23</v>
      </c>
      <c r="H4872" s="1">
        <v>536.72</v>
      </c>
      <c r="I4872" t="s">
        <v>24</v>
      </c>
      <c r="J4872">
        <v>0</v>
      </c>
      <c r="K4872">
        <v>7</v>
      </c>
    </row>
    <row r="4873" spans="1:11" x14ac:dyDescent="0.35">
      <c r="A4873" t="s">
        <v>4910</v>
      </c>
      <c r="B4873">
        <v>47</v>
      </c>
      <c r="C4873" t="s">
        <v>12</v>
      </c>
      <c r="D4873" t="s">
        <v>19</v>
      </c>
      <c r="E4873">
        <v>14</v>
      </c>
      <c r="F4873" t="s">
        <v>31</v>
      </c>
      <c r="G4873" t="s">
        <v>27</v>
      </c>
      <c r="H4873" s="1">
        <v>76.89</v>
      </c>
      <c r="I4873" t="s">
        <v>24</v>
      </c>
      <c r="J4873">
        <v>0</v>
      </c>
      <c r="K4873">
        <v>6</v>
      </c>
    </row>
    <row r="4874" spans="1:11" x14ac:dyDescent="0.35">
      <c r="A4874" t="s">
        <v>4911</v>
      </c>
      <c r="B4874">
        <v>76</v>
      </c>
      <c r="C4874" t="s">
        <v>18</v>
      </c>
      <c r="D4874" t="s">
        <v>19</v>
      </c>
      <c r="E4874">
        <v>19</v>
      </c>
      <c r="F4874" t="s">
        <v>33</v>
      </c>
      <c r="G4874" t="s">
        <v>37</v>
      </c>
      <c r="H4874" s="1">
        <v>128.97</v>
      </c>
      <c r="I4874" t="s">
        <v>28</v>
      </c>
      <c r="J4874">
        <v>0</v>
      </c>
      <c r="K4874">
        <v>2</v>
      </c>
    </row>
    <row r="4875" spans="1:11" x14ac:dyDescent="0.35">
      <c r="A4875" t="s">
        <v>4912</v>
      </c>
      <c r="B4875">
        <v>76</v>
      </c>
      <c r="C4875" t="s">
        <v>12</v>
      </c>
      <c r="D4875" t="s">
        <v>30</v>
      </c>
      <c r="E4875">
        <v>9</v>
      </c>
      <c r="F4875" t="s">
        <v>31</v>
      </c>
      <c r="G4875" t="s">
        <v>23</v>
      </c>
      <c r="H4875" s="1">
        <v>125.19</v>
      </c>
      <c r="I4875" t="s">
        <v>24</v>
      </c>
      <c r="J4875">
        <v>1</v>
      </c>
      <c r="K4875">
        <v>5</v>
      </c>
    </row>
    <row r="4876" spans="1:11" x14ac:dyDescent="0.35">
      <c r="A4876" t="s">
        <v>4913</v>
      </c>
      <c r="B4876">
        <v>85</v>
      </c>
      <c r="C4876" t="s">
        <v>12</v>
      </c>
      <c r="D4876" t="s">
        <v>21</v>
      </c>
      <c r="E4876">
        <v>48</v>
      </c>
      <c r="F4876" t="s">
        <v>14</v>
      </c>
      <c r="G4876" t="s">
        <v>37</v>
      </c>
      <c r="H4876" s="1">
        <v>0</v>
      </c>
      <c r="I4876" t="s">
        <v>16</v>
      </c>
      <c r="J4876">
        <v>4</v>
      </c>
      <c r="K4876">
        <v>5</v>
      </c>
    </row>
    <row r="4877" spans="1:11" x14ac:dyDescent="0.35">
      <c r="A4877" t="s">
        <v>4914</v>
      </c>
      <c r="B4877">
        <v>27</v>
      </c>
      <c r="C4877" t="s">
        <v>18</v>
      </c>
      <c r="D4877" t="s">
        <v>30</v>
      </c>
      <c r="E4877">
        <v>7</v>
      </c>
      <c r="F4877" t="s">
        <v>33</v>
      </c>
      <c r="G4877" t="s">
        <v>23</v>
      </c>
      <c r="H4877" s="1">
        <v>544.49</v>
      </c>
      <c r="I4877" t="s">
        <v>24</v>
      </c>
      <c r="J4877">
        <v>0</v>
      </c>
      <c r="K4877">
        <v>7</v>
      </c>
    </row>
    <row r="4878" spans="1:11" x14ac:dyDescent="0.35">
      <c r="A4878" t="s">
        <v>4915</v>
      </c>
      <c r="B4878">
        <v>85</v>
      </c>
      <c r="C4878" t="s">
        <v>18</v>
      </c>
      <c r="D4878" t="s">
        <v>19</v>
      </c>
      <c r="E4878">
        <v>14</v>
      </c>
      <c r="F4878" t="s">
        <v>26</v>
      </c>
      <c r="G4878" t="s">
        <v>23</v>
      </c>
      <c r="H4878" s="1">
        <v>388.65</v>
      </c>
      <c r="I4878" t="s">
        <v>24</v>
      </c>
      <c r="J4878">
        <v>3</v>
      </c>
      <c r="K4878">
        <v>8</v>
      </c>
    </row>
    <row r="4879" spans="1:11" x14ac:dyDescent="0.35">
      <c r="A4879" t="s">
        <v>4916</v>
      </c>
      <c r="B4879">
        <v>19</v>
      </c>
      <c r="C4879" t="s">
        <v>12</v>
      </c>
      <c r="D4879" t="s">
        <v>13</v>
      </c>
      <c r="E4879">
        <v>16</v>
      </c>
      <c r="F4879" t="s">
        <v>33</v>
      </c>
      <c r="G4879" t="s">
        <v>34</v>
      </c>
      <c r="H4879" s="1">
        <v>218.97</v>
      </c>
      <c r="I4879" t="s">
        <v>28</v>
      </c>
      <c r="J4879">
        <v>1</v>
      </c>
      <c r="K4879">
        <v>5</v>
      </c>
    </row>
    <row r="4880" spans="1:11" x14ac:dyDescent="0.35">
      <c r="A4880" t="s">
        <v>4917</v>
      </c>
      <c r="B4880">
        <v>21</v>
      </c>
      <c r="C4880" t="s">
        <v>12</v>
      </c>
      <c r="D4880" t="s">
        <v>19</v>
      </c>
      <c r="E4880">
        <v>13</v>
      </c>
      <c r="F4880" t="s">
        <v>26</v>
      </c>
      <c r="G4880" t="s">
        <v>34</v>
      </c>
      <c r="H4880" s="1">
        <v>112.06</v>
      </c>
      <c r="I4880" t="s">
        <v>24</v>
      </c>
      <c r="J4880">
        <v>0</v>
      </c>
      <c r="K4880">
        <v>8</v>
      </c>
    </row>
    <row r="4881" spans="1:11" x14ac:dyDescent="0.35">
      <c r="A4881" t="s">
        <v>4918</v>
      </c>
      <c r="B4881">
        <v>38</v>
      </c>
      <c r="C4881" t="s">
        <v>18</v>
      </c>
      <c r="D4881" t="s">
        <v>120</v>
      </c>
      <c r="E4881">
        <v>39</v>
      </c>
      <c r="F4881" t="s">
        <v>26</v>
      </c>
      <c r="G4881" t="s">
        <v>34</v>
      </c>
      <c r="H4881" s="1">
        <v>141.53</v>
      </c>
      <c r="I4881" t="s">
        <v>24</v>
      </c>
      <c r="J4881">
        <v>1</v>
      </c>
      <c r="K4881">
        <v>1</v>
      </c>
    </row>
    <row r="4882" spans="1:11" x14ac:dyDescent="0.35">
      <c r="A4882" t="s">
        <v>4919</v>
      </c>
      <c r="B4882">
        <v>57</v>
      </c>
      <c r="C4882" t="s">
        <v>12</v>
      </c>
      <c r="D4882" t="s">
        <v>21</v>
      </c>
      <c r="E4882">
        <v>41</v>
      </c>
      <c r="F4882" t="s">
        <v>22</v>
      </c>
      <c r="G4882" t="s">
        <v>15</v>
      </c>
      <c r="H4882" s="1">
        <v>223.1</v>
      </c>
      <c r="I4882" t="s">
        <v>24</v>
      </c>
      <c r="J4882">
        <v>1</v>
      </c>
      <c r="K4882">
        <v>1</v>
      </c>
    </row>
    <row r="4883" spans="1:11" x14ac:dyDescent="0.35">
      <c r="A4883" t="s">
        <v>4920</v>
      </c>
      <c r="B4883">
        <v>23</v>
      </c>
      <c r="C4883" t="s">
        <v>18</v>
      </c>
      <c r="D4883" t="s">
        <v>13</v>
      </c>
      <c r="E4883">
        <v>7</v>
      </c>
      <c r="F4883" t="s">
        <v>33</v>
      </c>
      <c r="G4883" t="s">
        <v>27</v>
      </c>
      <c r="H4883" s="1">
        <v>81.680000000000007</v>
      </c>
      <c r="I4883" t="s">
        <v>24</v>
      </c>
      <c r="J4883">
        <v>0</v>
      </c>
      <c r="K4883">
        <v>7</v>
      </c>
    </row>
    <row r="4884" spans="1:11" x14ac:dyDescent="0.35">
      <c r="A4884" t="s">
        <v>4921</v>
      </c>
      <c r="B4884">
        <v>20</v>
      </c>
      <c r="C4884" t="s">
        <v>18</v>
      </c>
      <c r="D4884" t="s">
        <v>13</v>
      </c>
      <c r="E4884">
        <v>6</v>
      </c>
      <c r="F4884" t="s">
        <v>14</v>
      </c>
      <c r="G4884" t="s">
        <v>15</v>
      </c>
      <c r="H4884" s="1">
        <v>0</v>
      </c>
      <c r="I4884" t="s">
        <v>16</v>
      </c>
      <c r="J4884">
        <v>0</v>
      </c>
      <c r="K4884">
        <v>10</v>
      </c>
    </row>
    <row r="4885" spans="1:11" x14ac:dyDescent="0.35">
      <c r="A4885" t="s">
        <v>4922</v>
      </c>
      <c r="B4885">
        <v>76</v>
      </c>
      <c r="C4885" t="s">
        <v>12</v>
      </c>
      <c r="D4885" t="s">
        <v>57</v>
      </c>
      <c r="E4885">
        <v>39</v>
      </c>
      <c r="F4885" t="s">
        <v>33</v>
      </c>
      <c r="G4885" t="s">
        <v>27</v>
      </c>
      <c r="H4885" s="1">
        <v>50.48</v>
      </c>
      <c r="I4885" t="s">
        <v>24</v>
      </c>
      <c r="J4885">
        <v>1</v>
      </c>
      <c r="K4885">
        <v>4</v>
      </c>
    </row>
    <row r="4886" spans="1:11" x14ac:dyDescent="0.35">
      <c r="A4886" t="s">
        <v>4923</v>
      </c>
      <c r="B4886">
        <v>61</v>
      </c>
      <c r="C4886" t="s">
        <v>12</v>
      </c>
      <c r="D4886" t="s">
        <v>19</v>
      </c>
      <c r="E4886">
        <v>9</v>
      </c>
      <c r="F4886" t="s">
        <v>14</v>
      </c>
      <c r="G4886" t="s">
        <v>27</v>
      </c>
      <c r="H4886" s="1">
        <v>0</v>
      </c>
      <c r="I4886" t="s">
        <v>16</v>
      </c>
      <c r="J4886">
        <v>3</v>
      </c>
      <c r="K4886">
        <v>7</v>
      </c>
    </row>
    <row r="4887" spans="1:11" x14ac:dyDescent="0.35">
      <c r="A4887" t="s">
        <v>4924</v>
      </c>
      <c r="B4887">
        <v>70</v>
      </c>
      <c r="C4887" t="s">
        <v>12</v>
      </c>
      <c r="D4887" t="s">
        <v>21</v>
      </c>
      <c r="E4887">
        <v>30</v>
      </c>
      <c r="F4887" t="s">
        <v>22</v>
      </c>
      <c r="G4887" t="s">
        <v>27</v>
      </c>
      <c r="H4887" s="1">
        <v>65.38</v>
      </c>
      <c r="I4887" t="s">
        <v>24</v>
      </c>
      <c r="J4887">
        <v>3</v>
      </c>
      <c r="K4887">
        <v>4</v>
      </c>
    </row>
    <row r="4888" spans="1:11" x14ac:dyDescent="0.35">
      <c r="A4888" t="s">
        <v>4925</v>
      </c>
      <c r="B4888">
        <v>49</v>
      </c>
      <c r="C4888" t="s">
        <v>12</v>
      </c>
      <c r="D4888" t="s">
        <v>30</v>
      </c>
      <c r="E4888">
        <v>9</v>
      </c>
      <c r="F4888" t="s">
        <v>26</v>
      </c>
      <c r="G4888" t="s">
        <v>27</v>
      </c>
      <c r="H4888" s="1">
        <v>178.02</v>
      </c>
      <c r="I4888" t="s">
        <v>24</v>
      </c>
      <c r="J4888">
        <v>1</v>
      </c>
      <c r="K4888">
        <v>5</v>
      </c>
    </row>
    <row r="4889" spans="1:11" x14ac:dyDescent="0.35">
      <c r="A4889" t="s">
        <v>4926</v>
      </c>
      <c r="B4889">
        <v>74</v>
      </c>
      <c r="C4889" t="s">
        <v>12</v>
      </c>
      <c r="D4889" t="s">
        <v>19</v>
      </c>
      <c r="E4889">
        <v>24</v>
      </c>
      <c r="F4889" t="s">
        <v>31</v>
      </c>
      <c r="G4889" t="s">
        <v>15</v>
      </c>
      <c r="H4889" s="1">
        <v>119.44</v>
      </c>
      <c r="I4889" t="s">
        <v>24</v>
      </c>
      <c r="J4889">
        <v>2</v>
      </c>
      <c r="K4889">
        <v>3</v>
      </c>
    </row>
    <row r="4890" spans="1:11" x14ac:dyDescent="0.35">
      <c r="A4890" t="s">
        <v>4927</v>
      </c>
      <c r="B4890">
        <v>85</v>
      </c>
      <c r="C4890" t="s">
        <v>12</v>
      </c>
      <c r="D4890" t="s">
        <v>30</v>
      </c>
      <c r="E4890">
        <v>8</v>
      </c>
      <c r="F4890" t="s">
        <v>33</v>
      </c>
      <c r="G4890" t="s">
        <v>23</v>
      </c>
      <c r="H4890" s="1">
        <v>380.73</v>
      </c>
      <c r="I4890" t="s">
        <v>24</v>
      </c>
      <c r="J4890">
        <v>1</v>
      </c>
      <c r="K4890">
        <v>9</v>
      </c>
    </row>
    <row r="4891" spans="1:11" x14ac:dyDescent="0.35">
      <c r="A4891" t="s">
        <v>4928</v>
      </c>
      <c r="B4891">
        <v>33</v>
      </c>
      <c r="C4891" t="s">
        <v>18</v>
      </c>
      <c r="D4891" t="s">
        <v>30</v>
      </c>
      <c r="E4891">
        <v>3</v>
      </c>
      <c r="F4891" t="s">
        <v>33</v>
      </c>
      <c r="G4891" t="s">
        <v>27</v>
      </c>
      <c r="H4891" s="1">
        <v>128.22</v>
      </c>
      <c r="I4891" t="s">
        <v>28</v>
      </c>
      <c r="J4891">
        <v>2</v>
      </c>
      <c r="K4891">
        <v>10</v>
      </c>
    </row>
    <row r="4892" spans="1:11" x14ac:dyDescent="0.35">
      <c r="A4892" t="s">
        <v>4929</v>
      </c>
      <c r="B4892">
        <v>53</v>
      </c>
      <c r="C4892" t="s">
        <v>12</v>
      </c>
      <c r="D4892" t="s">
        <v>13</v>
      </c>
      <c r="E4892">
        <v>22</v>
      </c>
      <c r="F4892" t="s">
        <v>33</v>
      </c>
      <c r="G4892" t="s">
        <v>23</v>
      </c>
      <c r="H4892" s="1">
        <v>333.31</v>
      </c>
      <c r="I4892" t="s">
        <v>24</v>
      </c>
      <c r="J4892">
        <v>1</v>
      </c>
      <c r="K4892">
        <v>4</v>
      </c>
    </row>
    <row r="4893" spans="1:11" x14ac:dyDescent="0.35">
      <c r="A4893" t="s">
        <v>4930</v>
      </c>
      <c r="B4893">
        <v>53</v>
      </c>
      <c r="C4893" t="s">
        <v>12</v>
      </c>
      <c r="D4893" t="s">
        <v>19</v>
      </c>
      <c r="E4893">
        <v>24</v>
      </c>
      <c r="F4893" t="s">
        <v>22</v>
      </c>
      <c r="G4893" t="s">
        <v>15</v>
      </c>
      <c r="H4893" s="1">
        <v>230.03</v>
      </c>
      <c r="I4893" t="s">
        <v>24</v>
      </c>
      <c r="J4893">
        <v>2</v>
      </c>
      <c r="K4893">
        <v>2</v>
      </c>
    </row>
    <row r="4894" spans="1:11" x14ac:dyDescent="0.35">
      <c r="A4894" t="s">
        <v>4931</v>
      </c>
      <c r="B4894">
        <v>62</v>
      </c>
      <c r="C4894" t="s">
        <v>12</v>
      </c>
      <c r="D4894" t="s">
        <v>47</v>
      </c>
      <c r="E4894">
        <v>12</v>
      </c>
      <c r="F4894" t="s">
        <v>22</v>
      </c>
      <c r="G4894" t="s">
        <v>27</v>
      </c>
      <c r="H4894" s="1">
        <v>143.6</v>
      </c>
      <c r="I4894" t="s">
        <v>24</v>
      </c>
      <c r="J4894">
        <v>2</v>
      </c>
      <c r="K4894">
        <v>5</v>
      </c>
    </row>
    <row r="4895" spans="1:11" x14ac:dyDescent="0.35">
      <c r="A4895" t="s">
        <v>4932</v>
      </c>
      <c r="B4895">
        <v>36</v>
      </c>
      <c r="C4895" t="s">
        <v>18</v>
      </c>
      <c r="D4895" t="s">
        <v>120</v>
      </c>
      <c r="E4895">
        <v>21</v>
      </c>
      <c r="F4895" t="s">
        <v>31</v>
      </c>
      <c r="G4895" t="s">
        <v>23</v>
      </c>
      <c r="H4895" s="1">
        <v>355.69</v>
      </c>
      <c r="I4895" t="s">
        <v>24</v>
      </c>
      <c r="J4895">
        <v>2</v>
      </c>
      <c r="K4895">
        <v>2</v>
      </c>
    </row>
    <row r="4896" spans="1:11" x14ac:dyDescent="0.35">
      <c r="A4896" t="s">
        <v>4933</v>
      </c>
      <c r="B4896">
        <v>19</v>
      </c>
      <c r="C4896" t="s">
        <v>12</v>
      </c>
      <c r="D4896" t="s">
        <v>30</v>
      </c>
      <c r="E4896">
        <v>12</v>
      </c>
      <c r="F4896" t="s">
        <v>22</v>
      </c>
      <c r="G4896" t="s">
        <v>23</v>
      </c>
      <c r="H4896" s="1">
        <v>489.08</v>
      </c>
      <c r="I4896" t="s">
        <v>24</v>
      </c>
      <c r="J4896">
        <v>3</v>
      </c>
      <c r="K4896">
        <v>5</v>
      </c>
    </row>
    <row r="4897" spans="1:11" x14ac:dyDescent="0.35">
      <c r="A4897" t="s">
        <v>4934</v>
      </c>
      <c r="B4897">
        <v>26</v>
      </c>
      <c r="C4897" t="s">
        <v>18</v>
      </c>
      <c r="D4897" t="s">
        <v>19</v>
      </c>
      <c r="E4897">
        <v>16</v>
      </c>
      <c r="F4897" t="s">
        <v>31</v>
      </c>
      <c r="G4897" t="s">
        <v>23</v>
      </c>
      <c r="H4897" s="1">
        <v>167.84</v>
      </c>
      <c r="I4897" t="s">
        <v>24</v>
      </c>
      <c r="J4897">
        <v>2</v>
      </c>
      <c r="K4897">
        <v>7</v>
      </c>
    </row>
    <row r="4898" spans="1:11" x14ac:dyDescent="0.35">
      <c r="A4898" t="s">
        <v>4935</v>
      </c>
      <c r="B4898">
        <v>34</v>
      </c>
      <c r="C4898" t="s">
        <v>12</v>
      </c>
      <c r="D4898" t="s">
        <v>19</v>
      </c>
      <c r="E4898">
        <v>16</v>
      </c>
      <c r="F4898" t="s">
        <v>33</v>
      </c>
      <c r="G4898" t="s">
        <v>15</v>
      </c>
      <c r="H4898" s="1">
        <v>413.92</v>
      </c>
      <c r="I4898" t="s">
        <v>28</v>
      </c>
      <c r="J4898">
        <v>2</v>
      </c>
      <c r="K4898">
        <v>5</v>
      </c>
    </row>
    <row r="4899" spans="1:11" x14ac:dyDescent="0.35">
      <c r="A4899" t="s">
        <v>4936</v>
      </c>
      <c r="B4899">
        <v>71</v>
      </c>
      <c r="C4899" t="s">
        <v>18</v>
      </c>
      <c r="D4899" t="s">
        <v>244</v>
      </c>
      <c r="E4899">
        <v>8</v>
      </c>
      <c r="F4899" t="s">
        <v>31</v>
      </c>
      <c r="G4899" t="s">
        <v>15</v>
      </c>
      <c r="H4899" s="1">
        <v>424.77</v>
      </c>
      <c r="I4899" t="s">
        <v>24</v>
      </c>
      <c r="J4899">
        <v>0</v>
      </c>
      <c r="K4899">
        <v>9</v>
      </c>
    </row>
    <row r="4900" spans="1:11" x14ac:dyDescent="0.35">
      <c r="A4900" t="s">
        <v>4937</v>
      </c>
      <c r="B4900">
        <v>82</v>
      </c>
      <c r="C4900" t="s">
        <v>12</v>
      </c>
      <c r="D4900" t="s">
        <v>19</v>
      </c>
      <c r="E4900">
        <v>6</v>
      </c>
      <c r="F4900" t="s">
        <v>31</v>
      </c>
      <c r="G4900" t="s">
        <v>15</v>
      </c>
      <c r="H4900" s="1">
        <v>214.3</v>
      </c>
      <c r="I4900" t="s">
        <v>24</v>
      </c>
      <c r="J4900">
        <v>0</v>
      </c>
      <c r="K4900">
        <v>8</v>
      </c>
    </row>
    <row r="4901" spans="1:11" x14ac:dyDescent="0.35">
      <c r="A4901" t="s">
        <v>4938</v>
      </c>
      <c r="B4901">
        <v>67</v>
      </c>
      <c r="C4901" t="s">
        <v>18</v>
      </c>
      <c r="D4901" t="s">
        <v>47</v>
      </c>
      <c r="E4901">
        <v>5</v>
      </c>
      <c r="F4901" t="s">
        <v>26</v>
      </c>
      <c r="G4901" t="s">
        <v>15</v>
      </c>
      <c r="H4901" s="1">
        <v>94.71</v>
      </c>
      <c r="I4901" t="s">
        <v>24</v>
      </c>
      <c r="J4901">
        <v>0</v>
      </c>
      <c r="K4901">
        <v>10</v>
      </c>
    </row>
    <row r="4902" spans="1:11" x14ac:dyDescent="0.35">
      <c r="A4902" t="s">
        <v>4939</v>
      </c>
      <c r="B4902">
        <v>30</v>
      </c>
      <c r="C4902" t="s">
        <v>12</v>
      </c>
      <c r="D4902" t="s">
        <v>19</v>
      </c>
      <c r="E4902">
        <v>15</v>
      </c>
      <c r="F4902" t="s">
        <v>14</v>
      </c>
      <c r="G4902" t="s">
        <v>34</v>
      </c>
      <c r="H4902" s="1">
        <v>0</v>
      </c>
      <c r="I4902" t="s">
        <v>16</v>
      </c>
      <c r="J4902">
        <v>2</v>
      </c>
      <c r="K4902">
        <v>7</v>
      </c>
    </row>
    <row r="4903" spans="1:11" x14ac:dyDescent="0.35">
      <c r="A4903" t="s">
        <v>4940</v>
      </c>
      <c r="B4903">
        <v>81</v>
      </c>
      <c r="C4903" t="s">
        <v>12</v>
      </c>
      <c r="D4903" t="s">
        <v>19</v>
      </c>
      <c r="E4903">
        <v>7</v>
      </c>
      <c r="F4903" t="s">
        <v>33</v>
      </c>
      <c r="G4903" t="s">
        <v>37</v>
      </c>
      <c r="H4903" s="1">
        <v>140.6</v>
      </c>
      <c r="I4903" t="s">
        <v>24</v>
      </c>
      <c r="J4903">
        <v>0</v>
      </c>
      <c r="K4903">
        <v>8</v>
      </c>
    </row>
    <row r="4904" spans="1:11" x14ac:dyDescent="0.35">
      <c r="A4904" t="s">
        <v>4941</v>
      </c>
      <c r="B4904">
        <v>69</v>
      </c>
      <c r="C4904" t="s">
        <v>12</v>
      </c>
      <c r="D4904" t="s">
        <v>19</v>
      </c>
      <c r="E4904">
        <v>8</v>
      </c>
      <c r="F4904" t="s">
        <v>22</v>
      </c>
      <c r="G4904" t="s">
        <v>27</v>
      </c>
      <c r="H4904" s="1">
        <v>17.36</v>
      </c>
      <c r="I4904" t="s">
        <v>28</v>
      </c>
      <c r="J4904">
        <v>1</v>
      </c>
      <c r="K4904">
        <v>8</v>
      </c>
    </row>
    <row r="4905" spans="1:11" x14ac:dyDescent="0.35">
      <c r="A4905" t="s">
        <v>4942</v>
      </c>
      <c r="B4905">
        <v>52</v>
      </c>
      <c r="C4905" t="s">
        <v>18</v>
      </c>
      <c r="D4905" t="s">
        <v>19</v>
      </c>
      <c r="E4905">
        <v>19</v>
      </c>
      <c r="F4905" t="s">
        <v>22</v>
      </c>
      <c r="G4905" t="s">
        <v>27</v>
      </c>
      <c r="H4905" s="1">
        <v>19.64</v>
      </c>
      <c r="I4905" t="s">
        <v>24</v>
      </c>
      <c r="J4905">
        <v>1</v>
      </c>
      <c r="K4905">
        <v>2</v>
      </c>
    </row>
    <row r="4906" spans="1:11" x14ac:dyDescent="0.35">
      <c r="A4906" t="s">
        <v>4943</v>
      </c>
      <c r="B4906">
        <v>53</v>
      </c>
      <c r="C4906" t="s">
        <v>12</v>
      </c>
      <c r="D4906" t="s">
        <v>13</v>
      </c>
      <c r="E4906">
        <v>14</v>
      </c>
      <c r="F4906" t="s">
        <v>22</v>
      </c>
      <c r="G4906" t="s">
        <v>37</v>
      </c>
      <c r="H4906" s="1">
        <v>90.4</v>
      </c>
      <c r="I4906" t="s">
        <v>28</v>
      </c>
      <c r="J4906">
        <v>3</v>
      </c>
      <c r="K4906">
        <v>5</v>
      </c>
    </row>
    <row r="4907" spans="1:11" x14ac:dyDescent="0.35">
      <c r="A4907" t="s">
        <v>4944</v>
      </c>
      <c r="B4907">
        <v>65</v>
      </c>
      <c r="C4907" t="s">
        <v>18</v>
      </c>
      <c r="D4907" t="s">
        <v>200</v>
      </c>
      <c r="E4907">
        <v>23</v>
      </c>
      <c r="F4907" t="s">
        <v>22</v>
      </c>
      <c r="G4907" t="s">
        <v>27</v>
      </c>
      <c r="H4907" s="1">
        <v>94.08</v>
      </c>
      <c r="I4907" t="s">
        <v>24</v>
      </c>
      <c r="J4907">
        <v>0</v>
      </c>
      <c r="K4907">
        <v>2</v>
      </c>
    </row>
    <row r="4908" spans="1:11" x14ac:dyDescent="0.35">
      <c r="A4908" t="s">
        <v>4945</v>
      </c>
      <c r="B4908">
        <v>65</v>
      </c>
      <c r="C4908" t="s">
        <v>18</v>
      </c>
      <c r="D4908" t="s">
        <v>13</v>
      </c>
      <c r="E4908">
        <v>23</v>
      </c>
      <c r="F4908" t="s">
        <v>22</v>
      </c>
      <c r="G4908" t="s">
        <v>37</v>
      </c>
      <c r="H4908" s="1">
        <v>200.38</v>
      </c>
      <c r="I4908" t="s">
        <v>24</v>
      </c>
      <c r="J4908">
        <v>2</v>
      </c>
      <c r="K4908">
        <v>1</v>
      </c>
    </row>
    <row r="4909" spans="1:11" x14ac:dyDescent="0.35">
      <c r="A4909" t="s">
        <v>4946</v>
      </c>
      <c r="B4909">
        <v>39</v>
      </c>
      <c r="C4909" t="s">
        <v>12</v>
      </c>
      <c r="D4909" t="s">
        <v>19</v>
      </c>
      <c r="E4909">
        <v>15</v>
      </c>
      <c r="F4909" t="s">
        <v>14</v>
      </c>
      <c r="G4909" t="s">
        <v>15</v>
      </c>
      <c r="H4909" s="1">
        <v>0</v>
      </c>
      <c r="I4909" t="s">
        <v>16</v>
      </c>
      <c r="J4909">
        <v>3</v>
      </c>
      <c r="K4909">
        <v>4</v>
      </c>
    </row>
    <row r="4910" spans="1:11" x14ac:dyDescent="0.35">
      <c r="A4910" t="s">
        <v>4947</v>
      </c>
      <c r="B4910">
        <v>24</v>
      </c>
      <c r="C4910" t="s">
        <v>12</v>
      </c>
      <c r="D4910" t="s">
        <v>21</v>
      </c>
      <c r="E4910">
        <v>38</v>
      </c>
      <c r="F4910" t="s">
        <v>31</v>
      </c>
      <c r="G4910" t="s">
        <v>15</v>
      </c>
      <c r="H4910" s="1">
        <v>358.25</v>
      </c>
      <c r="I4910" t="s">
        <v>24</v>
      </c>
      <c r="J4910">
        <v>0</v>
      </c>
      <c r="K4910">
        <v>3</v>
      </c>
    </row>
    <row r="4911" spans="1:11" x14ac:dyDescent="0.35">
      <c r="A4911" t="s">
        <v>4948</v>
      </c>
      <c r="B4911">
        <v>37</v>
      </c>
      <c r="C4911" t="s">
        <v>18</v>
      </c>
      <c r="D4911" t="s">
        <v>19</v>
      </c>
      <c r="E4911">
        <v>6</v>
      </c>
      <c r="F4911" t="s">
        <v>22</v>
      </c>
      <c r="G4911" t="s">
        <v>37</v>
      </c>
      <c r="H4911" s="1">
        <v>181.6</v>
      </c>
      <c r="I4911" t="s">
        <v>24</v>
      </c>
      <c r="J4911">
        <v>0</v>
      </c>
      <c r="K4911">
        <v>9</v>
      </c>
    </row>
    <row r="4912" spans="1:11" x14ac:dyDescent="0.35">
      <c r="A4912" t="s">
        <v>4949</v>
      </c>
      <c r="B4912">
        <v>45</v>
      </c>
      <c r="C4912" t="s">
        <v>18</v>
      </c>
      <c r="D4912" t="s">
        <v>21</v>
      </c>
      <c r="E4912">
        <v>28</v>
      </c>
      <c r="F4912" t="s">
        <v>26</v>
      </c>
      <c r="G4912" t="s">
        <v>23</v>
      </c>
      <c r="H4912" s="1">
        <v>569.24</v>
      </c>
      <c r="I4912" t="s">
        <v>43</v>
      </c>
      <c r="J4912">
        <v>2</v>
      </c>
      <c r="K4912">
        <v>3</v>
      </c>
    </row>
    <row r="4913" spans="1:11" x14ac:dyDescent="0.35">
      <c r="A4913" t="s">
        <v>4950</v>
      </c>
      <c r="B4913">
        <v>57</v>
      </c>
      <c r="C4913" t="s">
        <v>12</v>
      </c>
      <c r="D4913" t="s">
        <v>41</v>
      </c>
      <c r="E4913">
        <v>7</v>
      </c>
      <c r="F4913" t="s">
        <v>26</v>
      </c>
      <c r="G4913" t="s">
        <v>27</v>
      </c>
      <c r="H4913" s="1">
        <v>102.7</v>
      </c>
      <c r="I4913" t="s">
        <v>43</v>
      </c>
      <c r="J4913">
        <v>2</v>
      </c>
      <c r="K4913">
        <v>8</v>
      </c>
    </row>
    <row r="4914" spans="1:11" x14ac:dyDescent="0.35">
      <c r="A4914" t="s">
        <v>4951</v>
      </c>
      <c r="B4914">
        <v>41</v>
      </c>
      <c r="C4914" t="s">
        <v>12</v>
      </c>
      <c r="D4914" t="s">
        <v>19</v>
      </c>
      <c r="E4914">
        <v>11</v>
      </c>
      <c r="F4914" t="s">
        <v>22</v>
      </c>
      <c r="G4914" t="s">
        <v>27</v>
      </c>
      <c r="H4914" s="1">
        <v>177.71</v>
      </c>
      <c r="I4914" t="s">
        <v>24</v>
      </c>
      <c r="J4914">
        <v>0</v>
      </c>
      <c r="K4914">
        <v>7</v>
      </c>
    </row>
    <row r="4915" spans="1:11" x14ac:dyDescent="0.35">
      <c r="A4915" t="s">
        <v>4952</v>
      </c>
      <c r="B4915">
        <v>53</v>
      </c>
      <c r="C4915" t="s">
        <v>189</v>
      </c>
      <c r="D4915" t="s">
        <v>21</v>
      </c>
      <c r="E4915">
        <v>46</v>
      </c>
      <c r="F4915" t="s">
        <v>31</v>
      </c>
      <c r="G4915" t="s">
        <v>37</v>
      </c>
      <c r="H4915" s="1">
        <v>190.1</v>
      </c>
      <c r="I4915" t="s">
        <v>24</v>
      </c>
      <c r="J4915">
        <v>0</v>
      </c>
      <c r="K4915">
        <v>1</v>
      </c>
    </row>
    <row r="4916" spans="1:11" x14ac:dyDescent="0.35">
      <c r="A4916" t="s">
        <v>4953</v>
      </c>
      <c r="B4916">
        <v>18</v>
      </c>
      <c r="C4916" t="s">
        <v>12</v>
      </c>
      <c r="D4916" t="s">
        <v>30</v>
      </c>
      <c r="E4916">
        <v>4</v>
      </c>
      <c r="F4916" t="s">
        <v>22</v>
      </c>
      <c r="G4916" t="s">
        <v>15</v>
      </c>
      <c r="H4916" s="1">
        <v>299.32</v>
      </c>
      <c r="I4916" t="s">
        <v>24</v>
      </c>
      <c r="J4916">
        <v>0</v>
      </c>
      <c r="K4916">
        <v>7</v>
      </c>
    </row>
    <row r="4917" spans="1:11" x14ac:dyDescent="0.35">
      <c r="A4917" t="s">
        <v>4954</v>
      </c>
      <c r="B4917">
        <v>63</v>
      </c>
      <c r="C4917" t="s">
        <v>18</v>
      </c>
      <c r="D4917" t="s">
        <v>19</v>
      </c>
      <c r="E4917">
        <v>15</v>
      </c>
      <c r="F4917" t="s">
        <v>22</v>
      </c>
      <c r="G4917" t="s">
        <v>34</v>
      </c>
      <c r="H4917" s="1">
        <v>149.55000000000001</v>
      </c>
      <c r="I4917" t="s">
        <v>24</v>
      </c>
      <c r="J4917">
        <v>2</v>
      </c>
      <c r="K4917">
        <v>5</v>
      </c>
    </row>
    <row r="4918" spans="1:11" x14ac:dyDescent="0.35">
      <c r="A4918" t="s">
        <v>4955</v>
      </c>
      <c r="B4918">
        <v>50</v>
      </c>
      <c r="C4918" t="s">
        <v>18</v>
      </c>
      <c r="D4918" t="s">
        <v>19</v>
      </c>
      <c r="E4918">
        <v>23</v>
      </c>
      <c r="F4918" t="s">
        <v>33</v>
      </c>
      <c r="G4918" t="s">
        <v>27</v>
      </c>
      <c r="H4918" s="1">
        <v>67.650000000000006</v>
      </c>
      <c r="I4918" t="s">
        <v>24</v>
      </c>
      <c r="J4918">
        <v>2</v>
      </c>
      <c r="K4918">
        <v>4</v>
      </c>
    </row>
    <row r="4919" spans="1:11" x14ac:dyDescent="0.35">
      <c r="A4919" t="s">
        <v>4956</v>
      </c>
      <c r="B4919">
        <v>25</v>
      </c>
      <c r="C4919" t="s">
        <v>18</v>
      </c>
      <c r="D4919" t="s">
        <v>30</v>
      </c>
      <c r="E4919">
        <v>6</v>
      </c>
      <c r="F4919" t="s">
        <v>22</v>
      </c>
      <c r="G4919" t="s">
        <v>37</v>
      </c>
      <c r="H4919" s="1">
        <v>165.98</v>
      </c>
      <c r="I4919" t="s">
        <v>24</v>
      </c>
      <c r="J4919">
        <v>0</v>
      </c>
      <c r="K4919">
        <v>8</v>
      </c>
    </row>
    <row r="4920" spans="1:11" x14ac:dyDescent="0.35">
      <c r="A4920" t="s">
        <v>4957</v>
      </c>
      <c r="B4920">
        <v>82</v>
      </c>
      <c r="C4920" t="s">
        <v>18</v>
      </c>
      <c r="D4920" t="s">
        <v>19</v>
      </c>
      <c r="E4920">
        <v>9</v>
      </c>
      <c r="F4920" t="s">
        <v>26</v>
      </c>
      <c r="G4920" t="s">
        <v>27</v>
      </c>
      <c r="H4920" s="1">
        <v>174.37</v>
      </c>
      <c r="I4920" t="s">
        <v>24</v>
      </c>
      <c r="J4920">
        <v>3</v>
      </c>
      <c r="K4920">
        <v>4</v>
      </c>
    </row>
    <row r="4921" spans="1:11" x14ac:dyDescent="0.35">
      <c r="A4921" t="s">
        <v>4958</v>
      </c>
      <c r="B4921">
        <v>61</v>
      </c>
      <c r="C4921" t="s">
        <v>18</v>
      </c>
      <c r="D4921" t="s">
        <v>41</v>
      </c>
      <c r="E4921">
        <v>13</v>
      </c>
      <c r="F4921" t="s">
        <v>22</v>
      </c>
      <c r="G4921" t="s">
        <v>15</v>
      </c>
      <c r="H4921" s="1">
        <v>343.35</v>
      </c>
      <c r="I4921" t="s">
        <v>28</v>
      </c>
      <c r="J4921">
        <v>3</v>
      </c>
      <c r="K4921">
        <v>8</v>
      </c>
    </row>
    <row r="4922" spans="1:11" x14ac:dyDescent="0.35">
      <c r="A4922" t="s">
        <v>4959</v>
      </c>
      <c r="B4922">
        <v>72</v>
      </c>
      <c r="C4922" t="s">
        <v>18</v>
      </c>
      <c r="D4922" t="s">
        <v>19</v>
      </c>
      <c r="E4922">
        <v>20</v>
      </c>
      <c r="F4922" t="s">
        <v>22</v>
      </c>
      <c r="G4922" t="s">
        <v>37</v>
      </c>
      <c r="H4922" s="1">
        <v>135.38</v>
      </c>
      <c r="I4922" t="s">
        <v>24</v>
      </c>
      <c r="J4922">
        <v>1</v>
      </c>
      <c r="K4922">
        <v>1</v>
      </c>
    </row>
    <row r="4923" spans="1:11" x14ac:dyDescent="0.35">
      <c r="A4923" t="s">
        <v>4960</v>
      </c>
      <c r="B4923">
        <v>81</v>
      </c>
      <c r="C4923" t="s">
        <v>18</v>
      </c>
      <c r="D4923" t="s">
        <v>21</v>
      </c>
      <c r="E4923">
        <v>30</v>
      </c>
      <c r="F4923" t="s">
        <v>22</v>
      </c>
      <c r="G4923" t="s">
        <v>37</v>
      </c>
      <c r="H4923" s="1">
        <v>127.35</v>
      </c>
      <c r="I4923" t="s">
        <v>24</v>
      </c>
      <c r="J4923">
        <v>1</v>
      </c>
      <c r="K4923">
        <v>5</v>
      </c>
    </row>
    <row r="4924" spans="1:11" x14ac:dyDescent="0.35">
      <c r="A4924" t="s">
        <v>4961</v>
      </c>
      <c r="B4924">
        <v>18</v>
      </c>
      <c r="C4924" t="s">
        <v>12</v>
      </c>
      <c r="D4924" t="s">
        <v>21</v>
      </c>
      <c r="E4924">
        <v>39</v>
      </c>
      <c r="F4924" t="s">
        <v>33</v>
      </c>
      <c r="G4924" t="s">
        <v>23</v>
      </c>
      <c r="H4924" s="1">
        <v>524.07000000000005</v>
      </c>
      <c r="I4924" t="s">
        <v>24</v>
      </c>
      <c r="J4924">
        <v>2</v>
      </c>
      <c r="K4924">
        <v>1</v>
      </c>
    </row>
    <row r="4925" spans="1:11" x14ac:dyDescent="0.35">
      <c r="A4925" t="s">
        <v>4962</v>
      </c>
      <c r="B4925">
        <v>55</v>
      </c>
      <c r="C4925" t="s">
        <v>18</v>
      </c>
      <c r="D4925" t="s">
        <v>30</v>
      </c>
      <c r="E4925">
        <v>9</v>
      </c>
      <c r="F4925" t="s">
        <v>14</v>
      </c>
      <c r="G4925" t="s">
        <v>27</v>
      </c>
      <c r="H4925" s="1">
        <v>0</v>
      </c>
      <c r="I4925" t="s">
        <v>16</v>
      </c>
      <c r="J4925">
        <v>1</v>
      </c>
      <c r="K4925">
        <v>6</v>
      </c>
    </row>
    <row r="4926" spans="1:11" x14ac:dyDescent="0.35">
      <c r="A4926" t="s">
        <v>4963</v>
      </c>
      <c r="B4926">
        <v>23</v>
      </c>
      <c r="C4926" t="s">
        <v>18</v>
      </c>
      <c r="D4926" t="s">
        <v>21</v>
      </c>
      <c r="E4926">
        <v>45</v>
      </c>
      <c r="F4926" t="s">
        <v>31</v>
      </c>
      <c r="G4926" t="s">
        <v>34</v>
      </c>
      <c r="H4926" s="1">
        <v>183.75</v>
      </c>
      <c r="I4926" t="s">
        <v>24</v>
      </c>
      <c r="J4926">
        <v>0</v>
      </c>
      <c r="K4926">
        <v>1</v>
      </c>
    </row>
    <row r="4927" spans="1:11" x14ac:dyDescent="0.35">
      <c r="A4927" t="s">
        <v>4964</v>
      </c>
      <c r="B4927">
        <v>82</v>
      </c>
      <c r="C4927" t="s">
        <v>18</v>
      </c>
      <c r="D4927" t="s">
        <v>30</v>
      </c>
      <c r="E4927">
        <v>12</v>
      </c>
      <c r="F4927" t="s">
        <v>31</v>
      </c>
      <c r="G4927" t="s">
        <v>23</v>
      </c>
      <c r="H4927" s="1">
        <v>448.29</v>
      </c>
      <c r="I4927" t="s">
        <v>24</v>
      </c>
      <c r="J4927">
        <v>1</v>
      </c>
      <c r="K4927">
        <v>5</v>
      </c>
    </row>
    <row r="4928" spans="1:11" x14ac:dyDescent="0.35">
      <c r="A4928" t="s">
        <v>4965</v>
      </c>
      <c r="B4928">
        <v>62</v>
      </c>
      <c r="C4928" t="s">
        <v>18</v>
      </c>
      <c r="D4928" t="s">
        <v>57</v>
      </c>
      <c r="E4928">
        <v>47</v>
      </c>
      <c r="F4928" t="s">
        <v>14</v>
      </c>
      <c r="G4928" t="s">
        <v>34</v>
      </c>
      <c r="H4928" s="1">
        <v>0</v>
      </c>
      <c r="I4928" t="s">
        <v>16</v>
      </c>
      <c r="J4928">
        <v>1</v>
      </c>
      <c r="K4928">
        <v>4</v>
      </c>
    </row>
    <row r="4929" spans="1:11" x14ac:dyDescent="0.35">
      <c r="A4929" t="s">
        <v>4966</v>
      </c>
      <c r="B4929">
        <v>72</v>
      </c>
      <c r="C4929" t="s">
        <v>12</v>
      </c>
      <c r="D4929" t="s">
        <v>21</v>
      </c>
      <c r="E4929">
        <v>15</v>
      </c>
      <c r="F4929" t="s">
        <v>31</v>
      </c>
      <c r="G4929" t="s">
        <v>15</v>
      </c>
      <c r="H4929" s="1">
        <v>360.33</v>
      </c>
      <c r="I4929" t="s">
        <v>24</v>
      </c>
      <c r="J4929">
        <v>3</v>
      </c>
      <c r="K4929">
        <v>6</v>
      </c>
    </row>
    <row r="4930" spans="1:11" x14ac:dyDescent="0.35">
      <c r="A4930" t="s">
        <v>4967</v>
      </c>
      <c r="B4930">
        <v>60</v>
      </c>
      <c r="C4930" t="s">
        <v>18</v>
      </c>
      <c r="D4930" t="s">
        <v>19</v>
      </c>
      <c r="E4930">
        <v>23</v>
      </c>
      <c r="F4930" t="s">
        <v>31</v>
      </c>
      <c r="G4930" t="s">
        <v>27</v>
      </c>
      <c r="H4930" s="1">
        <v>179.17</v>
      </c>
      <c r="I4930" t="s">
        <v>43</v>
      </c>
      <c r="J4930">
        <v>4</v>
      </c>
      <c r="K4930">
        <v>5</v>
      </c>
    </row>
    <row r="4931" spans="1:11" x14ac:dyDescent="0.35">
      <c r="A4931" t="s">
        <v>4968</v>
      </c>
      <c r="B4931">
        <v>51</v>
      </c>
      <c r="C4931" t="s">
        <v>12</v>
      </c>
      <c r="D4931" t="s">
        <v>19</v>
      </c>
      <c r="E4931">
        <v>9</v>
      </c>
      <c r="F4931" t="s">
        <v>26</v>
      </c>
      <c r="G4931" t="s">
        <v>27</v>
      </c>
      <c r="H4931" s="1">
        <v>91.1</v>
      </c>
      <c r="I4931" t="s">
        <v>24</v>
      </c>
      <c r="J4931">
        <v>1</v>
      </c>
      <c r="K4931">
        <v>6</v>
      </c>
    </row>
    <row r="4932" spans="1:11" x14ac:dyDescent="0.35">
      <c r="A4932" t="s">
        <v>4969</v>
      </c>
      <c r="B4932">
        <v>61</v>
      </c>
      <c r="C4932" t="s">
        <v>12</v>
      </c>
      <c r="D4932" t="s">
        <v>21</v>
      </c>
      <c r="E4932">
        <v>19</v>
      </c>
      <c r="F4932" t="s">
        <v>22</v>
      </c>
      <c r="G4932" t="s">
        <v>34</v>
      </c>
      <c r="H4932" s="1">
        <v>209.63</v>
      </c>
      <c r="I4932" t="s">
        <v>24</v>
      </c>
      <c r="J4932">
        <v>1</v>
      </c>
      <c r="K4932">
        <v>2</v>
      </c>
    </row>
    <row r="4933" spans="1:11" x14ac:dyDescent="0.35">
      <c r="A4933" t="s">
        <v>4970</v>
      </c>
      <c r="B4933">
        <v>59</v>
      </c>
      <c r="C4933" t="s">
        <v>18</v>
      </c>
      <c r="D4933" t="s">
        <v>21</v>
      </c>
      <c r="E4933">
        <v>22</v>
      </c>
      <c r="F4933" t="s">
        <v>33</v>
      </c>
      <c r="G4933" t="s">
        <v>15</v>
      </c>
      <c r="H4933" s="1">
        <v>193.5</v>
      </c>
      <c r="I4933" t="s">
        <v>24</v>
      </c>
      <c r="J4933">
        <v>0</v>
      </c>
      <c r="K4933">
        <v>2</v>
      </c>
    </row>
    <row r="4934" spans="1:11" x14ac:dyDescent="0.35">
      <c r="A4934" t="s">
        <v>4971</v>
      </c>
      <c r="B4934">
        <v>57</v>
      </c>
      <c r="C4934" t="s">
        <v>18</v>
      </c>
      <c r="D4934" t="s">
        <v>120</v>
      </c>
      <c r="E4934">
        <v>17</v>
      </c>
      <c r="F4934" t="s">
        <v>33</v>
      </c>
      <c r="G4934" t="s">
        <v>27</v>
      </c>
      <c r="H4934" s="1">
        <v>70.84</v>
      </c>
      <c r="I4934" t="s">
        <v>24</v>
      </c>
      <c r="J4934">
        <v>3</v>
      </c>
      <c r="K4934">
        <v>6</v>
      </c>
    </row>
    <row r="4935" spans="1:11" x14ac:dyDescent="0.35">
      <c r="A4935" t="s">
        <v>4972</v>
      </c>
      <c r="B4935">
        <v>26</v>
      </c>
      <c r="C4935" t="s">
        <v>18</v>
      </c>
      <c r="D4935" t="s">
        <v>19</v>
      </c>
      <c r="E4935">
        <v>8</v>
      </c>
      <c r="F4935" t="s">
        <v>31</v>
      </c>
      <c r="G4935" t="s">
        <v>37</v>
      </c>
      <c r="H4935" s="1">
        <v>152.38999999999999</v>
      </c>
      <c r="I4935" t="s">
        <v>24</v>
      </c>
      <c r="J4935">
        <v>0</v>
      </c>
      <c r="K4935">
        <v>8</v>
      </c>
    </row>
    <row r="4936" spans="1:11" x14ac:dyDescent="0.35">
      <c r="A4936" t="s">
        <v>4973</v>
      </c>
      <c r="B4936">
        <v>66</v>
      </c>
      <c r="C4936" t="s">
        <v>18</v>
      </c>
      <c r="D4936" t="s">
        <v>19</v>
      </c>
      <c r="E4936">
        <v>10</v>
      </c>
      <c r="F4936" t="s">
        <v>22</v>
      </c>
      <c r="G4936" t="s">
        <v>34</v>
      </c>
      <c r="H4936" s="1">
        <v>193.52</v>
      </c>
      <c r="I4936" t="s">
        <v>28</v>
      </c>
      <c r="J4936">
        <v>3</v>
      </c>
      <c r="K4936">
        <v>7</v>
      </c>
    </row>
    <row r="4937" spans="1:11" x14ac:dyDescent="0.35">
      <c r="A4937" t="s">
        <v>4974</v>
      </c>
      <c r="B4937">
        <v>80</v>
      </c>
      <c r="C4937" t="s">
        <v>18</v>
      </c>
      <c r="D4937" t="s">
        <v>13</v>
      </c>
      <c r="E4937">
        <v>21</v>
      </c>
      <c r="F4937" t="s">
        <v>14</v>
      </c>
      <c r="G4937" t="s">
        <v>37</v>
      </c>
      <c r="H4937" s="1">
        <v>0</v>
      </c>
      <c r="I4937" t="s">
        <v>16</v>
      </c>
      <c r="J4937">
        <v>2</v>
      </c>
      <c r="K4937">
        <v>3</v>
      </c>
    </row>
    <row r="4938" spans="1:11" x14ac:dyDescent="0.35">
      <c r="A4938" t="s">
        <v>4975</v>
      </c>
      <c r="B4938">
        <v>57</v>
      </c>
      <c r="C4938" t="s">
        <v>12</v>
      </c>
      <c r="D4938" t="s">
        <v>19</v>
      </c>
      <c r="E4938">
        <v>22</v>
      </c>
      <c r="F4938" t="s">
        <v>22</v>
      </c>
      <c r="G4938" t="s">
        <v>15</v>
      </c>
      <c r="H4938" s="1">
        <v>425.21</v>
      </c>
      <c r="I4938" t="s">
        <v>28</v>
      </c>
      <c r="J4938">
        <v>2</v>
      </c>
      <c r="K4938">
        <v>5</v>
      </c>
    </row>
    <row r="4939" spans="1:11" x14ac:dyDescent="0.35">
      <c r="A4939" t="s">
        <v>4976</v>
      </c>
      <c r="B4939">
        <v>46</v>
      </c>
      <c r="C4939" t="s">
        <v>12</v>
      </c>
      <c r="D4939" t="s">
        <v>19</v>
      </c>
      <c r="E4939">
        <v>15</v>
      </c>
      <c r="F4939" t="s">
        <v>26</v>
      </c>
      <c r="G4939" t="s">
        <v>23</v>
      </c>
      <c r="H4939" s="1">
        <v>115.17</v>
      </c>
      <c r="I4939" t="s">
        <v>24</v>
      </c>
      <c r="J4939">
        <v>1</v>
      </c>
      <c r="K4939">
        <v>5</v>
      </c>
    </row>
    <row r="4940" spans="1:11" x14ac:dyDescent="0.35">
      <c r="A4940" t="s">
        <v>4977</v>
      </c>
      <c r="B4940">
        <v>50</v>
      </c>
      <c r="C4940" t="s">
        <v>12</v>
      </c>
      <c r="D4940" t="s">
        <v>13</v>
      </c>
      <c r="E4940">
        <v>9</v>
      </c>
      <c r="F4940" t="s">
        <v>31</v>
      </c>
      <c r="G4940" t="s">
        <v>27</v>
      </c>
      <c r="H4940" s="1">
        <v>168.59</v>
      </c>
      <c r="I4940" t="s">
        <v>28</v>
      </c>
      <c r="J4940">
        <v>3</v>
      </c>
      <c r="K4940">
        <v>6</v>
      </c>
    </row>
    <row r="4941" spans="1:11" x14ac:dyDescent="0.35">
      <c r="A4941" t="s">
        <v>4978</v>
      </c>
      <c r="B4941">
        <v>76</v>
      </c>
      <c r="C4941" t="s">
        <v>12</v>
      </c>
      <c r="D4941" t="s">
        <v>19</v>
      </c>
      <c r="E4941">
        <v>10</v>
      </c>
      <c r="F4941" t="s">
        <v>22</v>
      </c>
      <c r="G4941" t="s">
        <v>15</v>
      </c>
      <c r="H4941" s="1">
        <v>257.76</v>
      </c>
      <c r="I4941" t="s">
        <v>24</v>
      </c>
      <c r="J4941">
        <v>1</v>
      </c>
      <c r="K4941">
        <v>4</v>
      </c>
    </row>
    <row r="4942" spans="1:11" x14ac:dyDescent="0.35">
      <c r="A4942" t="s">
        <v>4979</v>
      </c>
      <c r="B4942">
        <v>24</v>
      </c>
      <c r="C4942" t="s">
        <v>18</v>
      </c>
      <c r="D4942" t="s">
        <v>19</v>
      </c>
      <c r="E4942">
        <v>13</v>
      </c>
      <c r="F4942" t="s">
        <v>33</v>
      </c>
      <c r="G4942" t="s">
        <v>34</v>
      </c>
      <c r="H4942" s="1">
        <v>144.63</v>
      </c>
      <c r="I4942" t="s">
        <v>24</v>
      </c>
      <c r="J4942">
        <v>3</v>
      </c>
      <c r="K4942">
        <v>7</v>
      </c>
    </row>
    <row r="4943" spans="1:11" x14ac:dyDescent="0.35">
      <c r="A4943" t="s">
        <v>4980</v>
      </c>
      <c r="B4943">
        <v>67</v>
      </c>
      <c r="C4943" t="s">
        <v>18</v>
      </c>
      <c r="D4943" t="s">
        <v>21</v>
      </c>
      <c r="E4943">
        <v>19</v>
      </c>
      <c r="F4943" t="s">
        <v>26</v>
      </c>
      <c r="G4943" t="s">
        <v>34</v>
      </c>
      <c r="H4943" s="1">
        <v>93.36</v>
      </c>
      <c r="I4943" t="s">
        <v>24</v>
      </c>
      <c r="J4943">
        <v>1</v>
      </c>
      <c r="K4943">
        <v>2</v>
      </c>
    </row>
    <row r="4944" spans="1:11" x14ac:dyDescent="0.35">
      <c r="A4944" t="s">
        <v>4981</v>
      </c>
      <c r="B4944">
        <v>18</v>
      </c>
      <c r="C4944" t="s">
        <v>18</v>
      </c>
      <c r="D4944" t="s">
        <v>19</v>
      </c>
      <c r="E4944">
        <v>10</v>
      </c>
      <c r="F4944" t="s">
        <v>33</v>
      </c>
      <c r="G4944" t="s">
        <v>37</v>
      </c>
      <c r="H4944" s="1">
        <v>94.76</v>
      </c>
      <c r="I4944" t="s">
        <v>24</v>
      </c>
      <c r="J4944">
        <v>3</v>
      </c>
      <c r="K4944">
        <v>6</v>
      </c>
    </row>
    <row r="4945" spans="1:11" x14ac:dyDescent="0.35">
      <c r="A4945" t="s">
        <v>4982</v>
      </c>
      <c r="B4945">
        <v>80</v>
      </c>
      <c r="C4945" t="s">
        <v>12</v>
      </c>
      <c r="D4945" t="s">
        <v>19</v>
      </c>
      <c r="E4945">
        <v>18</v>
      </c>
      <c r="F4945" t="s">
        <v>26</v>
      </c>
      <c r="G4945" t="s">
        <v>37</v>
      </c>
      <c r="H4945" s="1">
        <v>201.42</v>
      </c>
      <c r="I4945" t="s">
        <v>24</v>
      </c>
      <c r="J4945">
        <v>0</v>
      </c>
      <c r="K4945">
        <v>7</v>
      </c>
    </row>
    <row r="4946" spans="1:11" x14ac:dyDescent="0.35">
      <c r="A4946" t="s">
        <v>4983</v>
      </c>
      <c r="B4946">
        <v>24</v>
      </c>
      <c r="C4946" t="s">
        <v>18</v>
      </c>
      <c r="D4946" t="s">
        <v>19</v>
      </c>
      <c r="E4946">
        <v>11</v>
      </c>
      <c r="F4946" t="s">
        <v>26</v>
      </c>
      <c r="G4946" t="s">
        <v>23</v>
      </c>
      <c r="H4946" s="1">
        <v>454.38</v>
      </c>
      <c r="I4946" t="s">
        <v>24</v>
      </c>
      <c r="J4946">
        <v>0</v>
      </c>
      <c r="K4946">
        <v>4</v>
      </c>
    </row>
    <row r="4947" spans="1:11" x14ac:dyDescent="0.35">
      <c r="A4947" t="s">
        <v>4984</v>
      </c>
      <c r="B4947">
        <v>44</v>
      </c>
      <c r="C4947" t="s">
        <v>12</v>
      </c>
      <c r="D4947" t="s">
        <v>13</v>
      </c>
      <c r="E4947">
        <v>15</v>
      </c>
      <c r="F4947" t="s">
        <v>22</v>
      </c>
      <c r="G4947" t="s">
        <v>23</v>
      </c>
      <c r="H4947" s="1">
        <v>174.11</v>
      </c>
      <c r="I4947" t="s">
        <v>24</v>
      </c>
      <c r="J4947">
        <v>0</v>
      </c>
      <c r="K4947">
        <v>5</v>
      </c>
    </row>
    <row r="4948" spans="1:11" x14ac:dyDescent="0.35">
      <c r="A4948" t="s">
        <v>4985</v>
      </c>
      <c r="B4948">
        <v>56</v>
      </c>
      <c r="C4948" t="s">
        <v>12</v>
      </c>
      <c r="D4948" t="s">
        <v>120</v>
      </c>
      <c r="E4948">
        <v>20</v>
      </c>
      <c r="F4948" t="s">
        <v>26</v>
      </c>
      <c r="G4948" t="s">
        <v>34</v>
      </c>
      <c r="H4948" s="1">
        <v>152.65</v>
      </c>
      <c r="I4948" t="s">
        <v>24</v>
      </c>
      <c r="J4948">
        <v>2</v>
      </c>
      <c r="K4948">
        <v>3</v>
      </c>
    </row>
    <row r="4949" spans="1:11" x14ac:dyDescent="0.35">
      <c r="A4949" t="s">
        <v>4986</v>
      </c>
      <c r="B4949">
        <v>31</v>
      </c>
      <c r="C4949" t="s">
        <v>18</v>
      </c>
      <c r="D4949" t="s">
        <v>21</v>
      </c>
      <c r="E4949">
        <v>32</v>
      </c>
      <c r="F4949" t="s">
        <v>31</v>
      </c>
      <c r="G4949" t="s">
        <v>15</v>
      </c>
      <c r="H4949" s="1">
        <v>427.4</v>
      </c>
      <c r="I4949" t="s">
        <v>24</v>
      </c>
      <c r="J4949">
        <v>2</v>
      </c>
      <c r="K4949">
        <v>4</v>
      </c>
    </row>
    <row r="4950" spans="1:11" x14ac:dyDescent="0.35">
      <c r="A4950" t="s">
        <v>4987</v>
      </c>
      <c r="B4950">
        <v>32</v>
      </c>
      <c r="C4950" t="s">
        <v>12</v>
      </c>
      <c r="D4950" t="s">
        <v>19</v>
      </c>
      <c r="E4950">
        <v>24</v>
      </c>
      <c r="F4950" t="s">
        <v>33</v>
      </c>
      <c r="G4950" t="s">
        <v>37</v>
      </c>
      <c r="H4950" s="1">
        <v>119.54</v>
      </c>
      <c r="I4950" t="s">
        <v>24</v>
      </c>
      <c r="J4950">
        <v>2</v>
      </c>
      <c r="K4950">
        <v>5</v>
      </c>
    </row>
    <row r="4951" spans="1:11" x14ac:dyDescent="0.35">
      <c r="A4951" t="s">
        <v>4988</v>
      </c>
      <c r="B4951">
        <v>70</v>
      </c>
      <c r="C4951" t="s">
        <v>12</v>
      </c>
      <c r="D4951" t="s">
        <v>19</v>
      </c>
      <c r="E4951">
        <v>9</v>
      </c>
      <c r="F4951" t="s">
        <v>22</v>
      </c>
      <c r="G4951" t="s">
        <v>27</v>
      </c>
      <c r="H4951" s="1">
        <v>98.73</v>
      </c>
      <c r="I4951" t="s">
        <v>24</v>
      </c>
      <c r="J4951">
        <v>1</v>
      </c>
      <c r="K4951">
        <v>8</v>
      </c>
    </row>
    <row r="4952" spans="1:11" x14ac:dyDescent="0.35">
      <c r="A4952" t="s">
        <v>4989</v>
      </c>
      <c r="B4952">
        <v>77</v>
      </c>
      <c r="C4952" t="s">
        <v>12</v>
      </c>
      <c r="D4952" t="s">
        <v>13</v>
      </c>
      <c r="E4952">
        <v>19</v>
      </c>
      <c r="F4952" t="s">
        <v>31</v>
      </c>
      <c r="G4952" t="s">
        <v>27</v>
      </c>
      <c r="H4952" s="1">
        <v>109.93</v>
      </c>
      <c r="I4952" t="s">
        <v>24</v>
      </c>
      <c r="J4952">
        <v>0</v>
      </c>
      <c r="K4952">
        <v>1</v>
      </c>
    </row>
    <row r="4953" spans="1:11" x14ac:dyDescent="0.35">
      <c r="A4953" t="s">
        <v>4990</v>
      </c>
      <c r="B4953">
        <v>52</v>
      </c>
      <c r="C4953" t="s">
        <v>18</v>
      </c>
      <c r="D4953" t="s">
        <v>21</v>
      </c>
      <c r="E4953">
        <v>16</v>
      </c>
      <c r="F4953" t="s">
        <v>31</v>
      </c>
      <c r="G4953" t="s">
        <v>34</v>
      </c>
      <c r="H4953" s="1">
        <v>134.62</v>
      </c>
      <c r="I4953" t="s">
        <v>24</v>
      </c>
      <c r="J4953">
        <v>0</v>
      </c>
      <c r="K4953">
        <v>8</v>
      </c>
    </row>
    <row r="4954" spans="1:11" x14ac:dyDescent="0.35">
      <c r="A4954" t="s">
        <v>4991</v>
      </c>
      <c r="B4954">
        <v>34</v>
      </c>
      <c r="C4954" t="s">
        <v>12</v>
      </c>
      <c r="D4954" t="s">
        <v>41</v>
      </c>
      <c r="E4954">
        <v>5</v>
      </c>
      <c r="F4954" t="s">
        <v>26</v>
      </c>
      <c r="G4954" t="s">
        <v>15</v>
      </c>
      <c r="H4954" s="1">
        <v>370.74</v>
      </c>
      <c r="I4954" t="s">
        <v>24</v>
      </c>
      <c r="J4954">
        <v>2</v>
      </c>
      <c r="K4954">
        <v>8</v>
      </c>
    </row>
    <row r="4955" spans="1:11" x14ac:dyDescent="0.35">
      <c r="A4955" t="s">
        <v>4992</v>
      </c>
      <c r="B4955">
        <v>81</v>
      </c>
      <c r="C4955" t="s">
        <v>18</v>
      </c>
      <c r="D4955" t="s">
        <v>13</v>
      </c>
      <c r="E4955">
        <v>23</v>
      </c>
      <c r="F4955" t="s">
        <v>26</v>
      </c>
      <c r="G4955" t="s">
        <v>34</v>
      </c>
      <c r="H4955" s="1">
        <v>112.43</v>
      </c>
      <c r="I4955" t="s">
        <v>24</v>
      </c>
      <c r="J4955">
        <v>2</v>
      </c>
      <c r="K4955">
        <v>3</v>
      </c>
    </row>
    <row r="4956" spans="1:11" x14ac:dyDescent="0.35">
      <c r="A4956" t="s">
        <v>4993</v>
      </c>
      <c r="B4956">
        <v>52</v>
      </c>
      <c r="C4956" t="s">
        <v>12</v>
      </c>
      <c r="D4956" t="s">
        <v>19</v>
      </c>
      <c r="E4956">
        <v>14</v>
      </c>
      <c r="F4956" t="s">
        <v>22</v>
      </c>
      <c r="G4956" t="s">
        <v>23</v>
      </c>
      <c r="H4956" s="1">
        <v>169.09</v>
      </c>
      <c r="I4956" t="s">
        <v>28</v>
      </c>
      <c r="J4956">
        <v>0</v>
      </c>
      <c r="K4956">
        <v>4</v>
      </c>
    </row>
    <row r="4957" spans="1:11" x14ac:dyDescent="0.35">
      <c r="A4957" t="s">
        <v>4994</v>
      </c>
      <c r="B4957">
        <v>45</v>
      </c>
      <c r="C4957" t="s">
        <v>12</v>
      </c>
      <c r="D4957" t="s">
        <v>30</v>
      </c>
      <c r="E4957">
        <v>13</v>
      </c>
      <c r="F4957" t="s">
        <v>26</v>
      </c>
      <c r="G4957" t="s">
        <v>23</v>
      </c>
      <c r="H4957" s="1">
        <v>185.6</v>
      </c>
      <c r="I4957" t="s">
        <v>24</v>
      </c>
      <c r="J4957">
        <v>0</v>
      </c>
      <c r="K4957">
        <v>6</v>
      </c>
    </row>
    <row r="4958" spans="1:11" x14ac:dyDescent="0.35">
      <c r="A4958" t="s">
        <v>4995</v>
      </c>
      <c r="B4958">
        <v>50</v>
      </c>
      <c r="C4958" t="s">
        <v>18</v>
      </c>
      <c r="D4958" t="s">
        <v>21</v>
      </c>
      <c r="E4958">
        <v>22</v>
      </c>
      <c r="F4958" t="s">
        <v>33</v>
      </c>
      <c r="G4958" t="s">
        <v>37</v>
      </c>
      <c r="H4958" s="1">
        <v>186.31</v>
      </c>
      <c r="I4958" t="s">
        <v>24</v>
      </c>
      <c r="J4958">
        <v>2</v>
      </c>
      <c r="K4958">
        <v>4</v>
      </c>
    </row>
    <row r="4959" spans="1:11" x14ac:dyDescent="0.35">
      <c r="A4959" t="s">
        <v>4996</v>
      </c>
      <c r="B4959">
        <v>64</v>
      </c>
      <c r="C4959" t="s">
        <v>18</v>
      </c>
      <c r="D4959" t="s">
        <v>19</v>
      </c>
      <c r="E4959">
        <v>8</v>
      </c>
      <c r="F4959" t="s">
        <v>26</v>
      </c>
      <c r="G4959" t="s">
        <v>27</v>
      </c>
      <c r="H4959" s="1">
        <v>147.33000000000001</v>
      </c>
      <c r="I4959" t="s">
        <v>24</v>
      </c>
      <c r="J4959">
        <v>0</v>
      </c>
      <c r="K4959">
        <v>10</v>
      </c>
    </row>
    <row r="4960" spans="1:11" x14ac:dyDescent="0.35">
      <c r="A4960" t="s">
        <v>4997</v>
      </c>
      <c r="B4960">
        <v>65</v>
      </c>
      <c r="C4960" t="s">
        <v>18</v>
      </c>
      <c r="D4960" t="s">
        <v>19</v>
      </c>
      <c r="E4960">
        <v>9</v>
      </c>
      <c r="F4960" t="s">
        <v>33</v>
      </c>
      <c r="G4960" t="s">
        <v>23</v>
      </c>
      <c r="H4960" s="1">
        <v>409.01</v>
      </c>
      <c r="I4960" t="s">
        <v>24</v>
      </c>
      <c r="J4960">
        <v>0</v>
      </c>
      <c r="K4960">
        <v>6</v>
      </c>
    </row>
    <row r="4961" spans="1:11" x14ac:dyDescent="0.35">
      <c r="A4961" t="s">
        <v>4998</v>
      </c>
      <c r="B4961">
        <v>20</v>
      </c>
      <c r="C4961" t="s">
        <v>12</v>
      </c>
      <c r="D4961" t="s">
        <v>19</v>
      </c>
      <c r="E4961">
        <v>21</v>
      </c>
      <c r="F4961" t="s">
        <v>26</v>
      </c>
      <c r="G4961" t="s">
        <v>15</v>
      </c>
      <c r="H4961" s="1">
        <v>202.79</v>
      </c>
      <c r="I4961" t="s">
        <v>24</v>
      </c>
      <c r="J4961">
        <v>2</v>
      </c>
      <c r="K4961">
        <v>2</v>
      </c>
    </row>
    <row r="4962" spans="1:11" x14ac:dyDescent="0.35">
      <c r="A4962" t="s">
        <v>4999</v>
      </c>
      <c r="B4962">
        <v>46</v>
      </c>
      <c r="C4962" t="s">
        <v>18</v>
      </c>
      <c r="D4962" t="s">
        <v>21</v>
      </c>
      <c r="E4962">
        <v>44</v>
      </c>
      <c r="F4962" t="s">
        <v>33</v>
      </c>
      <c r="G4962" t="s">
        <v>23</v>
      </c>
      <c r="H4962" s="1">
        <v>147.69999999999999</v>
      </c>
      <c r="I4962" t="s">
        <v>24</v>
      </c>
      <c r="J4962">
        <v>0</v>
      </c>
      <c r="K4962">
        <v>2</v>
      </c>
    </row>
    <row r="4963" spans="1:11" x14ac:dyDescent="0.35">
      <c r="A4963" t="s">
        <v>5000</v>
      </c>
      <c r="B4963">
        <v>60</v>
      </c>
      <c r="C4963" t="s">
        <v>18</v>
      </c>
      <c r="D4963" t="s">
        <v>13</v>
      </c>
      <c r="E4963">
        <v>18</v>
      </c>
      <c r="F4963" t="s">
        <v>33</v>
      </c>
      <c r="G4963" t="s">
        <v>37</v>
      </c>
      <c r="H4963" s="1">
        <v>171.65</v>
      </c>
      <c r="I4963" t="s">
        <v>24</v>
      </c>
      <c r="J4963">
        <v>0</v>
      </c>
      <c r="K4963">
        <v>7</v>
      </c>
    </row>
    <row r="4964" spans="1:11" x14ac:dyDescent="0.35">
      <c r="A4964" t="s">
        <v>5001</v>
      </c>
      <c r="B4964">
        <v>69</v>
      </c>
      <c r="C4964" t="s">
        <v>18</v>
      </c>
      <c r="D4964" t="s">
        <v>21</v>
      </c>
      <c r="E4964">
        <v>42</v>
      </c>
      <c r="F4964" t="s">
        <v>33</v>
      </c>
      <c r="G4964" t="s">
        <v>34</v>
      </c>
      <c r="H4964" s="1">
        <v>203.32</v>
      </c>
      <c r="I4964" t="s">
        <v>24</v>
      </c>
      <c r="J4964">
        <v>3</v>
      </c>
      <c r="K4964">
        <v>5</v>
      </c>
    </row>
    <row r="4965" spans="1:11" x14ac:dyDescent="0.35">
      <c r="A4965" t="s">
        <v>5002</v>
      </c>
      <c r="B4965">
        <v>35</v>
      </c>
      <c r="C4965" t="s">
        <v>12</v>
      </c>
      <c r="D4965" t="s">
        <v>19</v>
      </c>
      <c r="E4965">
        <v>22</v>
      </c>
      <c r="F4965" t="s">
        <v>33</v>
      </c>
      <c r="G4965" t="s">
        <v>23</v>
      </c>
      <c r="H4965" s="1">
        <v>530.12</v>
      </c>
      <c r="I4965" t="s">
        <v>24</v>
      </c>
      <c r="J4965">
        <v>1</v>
      </c>
      <c r="K4965">
        <v>5</v>
      </c>
    </row>
    <row r="4966" spans="1:11" x14ac:dyDescent="0.35">
      <c r="A4966" t="s">
        <v>5003</v>
      </c>
      <c r="B4966">
        <v>60</v>
      </c>
      <c r="C4966" t="s">
        <v>528</v>
      </c>
      <c r="D4966" t="s">
        <v>21</v>
      </c>
      <c r="E4966">
        <v>35</v>
      </c>
      <c r="F4966" t="s">
        <v>22</v>
      </c>
      <c r="G4966" t="s">
        <v>15</v>
      </c>
      <c r="H4966" s="1">
        <v>132.72999999999999</v>
      </c>
      <c r="I4966" t="s">
        <v>24</v>
      </c>
      <c r="J4966">
        <v>1</v>
      </c>
      <c r="K4966">
        <v>1</v>
      </c>
    </row>
    <row r="4967" spans="1:11" x14ac:dyDescent="0.35">
      <c r="A4967" t="s">
        <v>5004</v>
      </c>
      <c r="B4967">
        <v>45</v>
      </c>
      <c r="C4967" t="s">
        <v>12</v>
      </c>
      <c r="D4967" t="s">
        <v>21</v>
      </c>
      <c r="E4967">
        <v>35</v>
      </c>
      <c r="F4967" t="s">
        <v>33</v>
      </c>
      <c r="G4967" t="s">
        <v>23</v>
      </c>
      <c r="H4967" s="1">
        <v>376.91</v>
      </c>
      <c r="I4967" t="s">
        <v>24</v>
      </c>
      <c r="J4967">
        <v>2</v>
      </c>
      <c r="K4967">
        <v>3</v>
      </c>
    </row>
    <row r="4968" spans="1:11" x14ac:dyDescent="0.35">
      <c r="A4968" t="s">
        <v>5005</v>
      </c>
      <c r="B4968">
        <v>85</v>
      </c>
      <c r="C4968" t="s">
        <v>12</v>
      </c>
      <c r="D4968" t="s">
        <v>244</v>
      </c>
      <c r="E4968">
        <v>22</v>
      </c>
      <c r="F4968" t="s">
        <v>22</v>
      </c>
      <c r="G4968" t="s">
        <v>23</v>
      </c>
      <c r="H4968" s="1">
        <v>424.59</v>
      </c>
      <c r="I4968" t="s">
        <v>43</v>
      </c>
      <c r="J4968">
        <v>4</v>
      </c>
      <c r="K4968">
        <v>1</v>
      </c>
    </row>
    <row r="4969" spans="1:11" x14ac:dyDescent="0.35">
      <c r="A4969" t="s">
        <v>5006</v>
      </c>
      <c r="B4969">
        <v>25</v>
      </c>
      <c r="C4969" t="s">
        <v>12</v>
      </c>
      <c r="D4969" t="s">
        <v>13</v>
      </c>
      <c r="E4969">
        <v>21</v>
      </c>
      <c r="F4969" t="s">
        <v>33</v>
      </c>
      <c r="G4969" t="s">
        <v>15</v>
      </c>
      <c r="H4969" s="1">
        <v>186.41</v>
      </c>
      <c r="I4969" t="s">
        <v>24</v>
      </c>
      <c r="J4969">
        <v>1</v>
      </c>
      <c r="K4969">
        <v>2</v>
      </c>
    </row>
    <row r="4970" spans="1:11" x14ac:dyDescent="0.35">
      <c r="A4970" t="s">
        <v>5007</v>
      </c>
      <c r="B4970">
        <v>49</v>
      </c>
      <c r="C4970" t="s">
        <v>12</v>
      </c>
      <c r="D4970" t="s">
        <v>200</v>
      </c>
      <c r="E4970">
        <v>23</v>
      </c>
      <c r="F4970" t="s">
        <v>33</v>
      </c>
      <c r="G4970" t="s">
        <v>15</v>
      </c>
      <c r="H4970" s="1">
        <v>150.61000000000001</v>
      </c>
      <c r="I4970" t="s">
        <v>24</v>
      </c>
      <c r="J4970">
        <v>1</v>
      </c>
      <c r="K4970">
        <v>1</v>
      </c>
    </row>
    <row r="4971" spans="1:11" x14ac:dyDescent="0.35">
      <c r="A4971" t="s">
        <v>5008</v>
      </c>
      <c r="B4971">
        <v>38</v>
      </c>
      <c r="C4971" t="s">
        <v>18</v>
      </c>
      <c r="D4971" t="s">
        <v>19</v>
      </c>
      <c r="E4971">
        <v>24</v>
      </c>
      <c r="F4971" t="s">
        <v>31</v>
      </c>
      <c r="G4971" t="s">
        <v>34</v>
      </c>
      <c r="H4971" s="1">
        <v>106.56</v>
      </c>
      <c r="I4971" t="s">
        <v>24</v>
      </c>
      <c r="J4971">
        <v>2</v>
      </c>
      <c r="K4971">
        <v>5</v>
      </c>
    </row>
    <row r="4972" spans="1:11" x14ac:dyDescent="0.35">
      <c r="A4972" t="s">
        <v>5009</v>
      </c>
      <c r="B4972">
        <v>68</v>
      </c>
      <c r="C4972" t="s">
        <v>18</v>
      </c>
      <c r="D4972" t="s">
        <v>13</v>
      </c>
      <c r="E4972">
        <v>8</v>
      </c>
      <c r="F4972" t="s">
        <v>33</v>
      </c>
      <c r="G4972" t="s">
        <v>27</v>
      </c>
      <c r="H4972" s="1">
        <v>60.77</v>
      </c>
      <c r="I4972" t="s">
        <v>24</v>
      </c>
      <c r="J4972">
        <v>0</v>
      </c>
      <c r="K4972">
        <v>8</v>
      </c>
    </row>
    <row r="4973" spans="1:11" x14ac:dyDescent="0.35">
      <c r="A4973" t="s">
        <v>5010</v>
      </c>
      <c r="B4973">
        <v>43</v>
      </c>
      <c r="C4973" t="s">
        <v>12</v>
      </c>
      <c r="D4973" t="s">
        <v>19</v>
      </c>
      <c r="E4973">
        <v>22</v>
      </c>
      <c r="F4973" t="s">
        <v>33</v>
      </c>
      <c r="G4973" t="s">
        <v>15</v>
      </c>
      <c r="H4973" s="1">
        <v>428.35</v>
      </c>
      <c r="I4973" t="s">
        <v>43</v>
      </c>
      <c r="J4973">
        <v>3</v>
      </c>
      <c r="K4973">
        <v>4</v>
      </c>
    </row>
    <row r="4974" spans="1:11" x14ac:dyDescent="0.35">
      <c r="A4974" t="s">
        <v>5011</v>
      </c>
      <c r="B4974">
        <v>20</v>
      </c>
      <c r="C4974" t="s">
        <v>12</v>
      </c>
      <c r="D4974" t="s">
        <v>13</v>
      </c>
      <c r="E4974">
        <v>12</v>
      </c>
      <c r="F4974" t="s">
        <v>33</v>
      </c>
      <c r="G4974" t="s">
        <v>15</v>
      </c>
      <c r="H4974" s="1">
        <v>307.56</v>
      </c>
      <c r="I4974" t="s">
        <v>43</v>
      </c>
      <c r="J4974">
        <v>1</v>
      </c>
      <c r="K4974">
        <v>5</v>
      </c>
    </row>
    <row r="4975" spans="1:11" x14ac:dyDescent="0.35">
      <c r="A4975" t="s">
        <v>5012</v>
      </c>
      <c r="B4975">
        <v>39</v>
      </c>
      <c r="C4975" t="s">
        <v>12</v>
      </c>
      <c r="D4975" t="s">
        <v>57</v>
      </c>
      <c r="E4975">
        <v>20</v>
      </c>
      <c r="F4975" t="s">
        <v>14</v>
      </c>
      <c r="G4975" t="s">
        <v>15</v>
      </c>
      <c r="H4975" s="1">
        <v>0</v>
      </c>
      <c r="I4975" t="s">
        <v>16</v>
      </c>
      <c r="J4975">
        <v>2</v>
      </c>
      <c r="K4975">
        <v>5</v>
      </c>
    </row>
    <row r="4976" spans="1:11" x14ac:dyDescent="0.35">
      <c r="A4976" t="s">
        <v>5013</v>
      </c>
      <c r="B4976">
        <v>62</v>
      </c>
      <c r="C4976" t="s">
        <v>12</v>
      </c>
      <c r="D4976" t="s">
        <v>21</v>
      </c>
      <c r="E4976">
        <v>38</v>
      </c>
      <c r="F4976" t="s">
        <v>33</v>
      </c>
      <c r="G4976" t="s">
        <v>23</v>
      </c>
      <c r="H4976" s="1">
        <v>173.73</v>
      </c>
      <c r="I4976" t="s">
        <v>24</v>
      </c>
      <c r="J4976">
        <v>1</v>
      </c>
      <c r="K4976">
        <v>2</v>
      </c>
    </row>
    <row r="4977" spans="1:11" x14ac:dyDescent="0.35">
      <c r="A4977" t="s">
        <v>5014</v>
      </c>
      <c r="B4977">
        <v>49</v>
      </c>
      <c r="C4977" t="s">
        <v>18</v>
      </c>
      <c r="D4977" t="s">
        <v>21</v>
      </c>
      <c r="E4977">
        <v>36</v>
      </c>
      <c r="F4977" t="s">
        <v>22</v>
      </c>
      <c r="G4977" t="s">
        <v>15</v>
      </c>
      <c r="H4977" s="1">
        <v>371.75</v>
      </c>
      <c r="I4977" t="s">
        <v>28</v>
      </c>
      <c r="J4977">
        <v>4</v>
      </c>
      <c r="K4977">
        <v>5</v>
      </c>
    </row>
    <row r="4978" spans="1:11" x14ac:dyDescent="0.35">
      <c r="A4978" t="s">
        <v>5015</v>
      </c>
      <c r="B4978">
        <v>20</v>
      </c>
      <c r="C4978" t="s">
        <v>18</v>
      </c>
      <c r="D4978" t="s">
        <v>19</v>
      </c>
      <c r="E4978">
        <v>20</v>
      </c>
      <c r="F4978" t="s">
        <v>33</v>
      </c>
      <c r="G4978" t="s">
        <v>15</v>
      </c>
      <c r="H4978" s="1">
        <v>143.15</v>
      </c>
      <c r="I4978" t="s">
        <v>43</v>
      </c>
      <c r="J4978">
        <v>2</v>
      </c>
      <c r="K4978">
        <v>3</v>
      </c>
    </row>
    <row r="4979" spans="1:11" x14ac:dyDescent="0.35">
      <c r="A4979" t="s">
        <v>5016</v>
      </c>
      <c r="B4979">
        <v>27</v>
      </c>
      <c r="C4979" t="s">
        <v>12</v>
      </c>
      <c r="D4979" t="s">
        <v>19</v>
      </c>
      <c r="E4979">
        <v>15</v>
      </c>
      <c r="F4979" t="s">
        <v>31</v>
      </c>
      <c r="G4979" t="s">
        <v>34</v>
      </c>
      <c r="H4979" s="1">
        <v>215.35</v>
      </c>
      <c r="I4979" t="s">
        <v>24</v>
      </c>
      <c r="J4979">
        <v>2</v>
      </c>
      <c r="K4979">
        <v>5</v>
      </c>
    </row>
    <row r="4980" spans="1:11" x14ac:dyDescent="0.35">
      <c r="A4980" t="s">
        <v>5017</v>
      </c>
      <c r="B4980">
        <v>50</v>
      </c>
      <c r="C4980" t="s">
        <v>18</v>
      </c>
      <c r="D4980" t="s">
        <v>19</v>
      </c>
      <c r="E4980">
        <v>9</v>
      </c>
      <c r="F4980" t="s">
        <v>22</v>
      </c>
      <c r="G4980" t="s">
        <v>37</v>
      </c>
      <c r="H4980" s="1">
        <v>133.26</v>
      </c>
      <c r="I4980" t="s">
        <v>28</v>
      </c>
      <c r="J4980">
        <v>1</v>
      </c>
      <c r="K4980">
        <v>6</v>
      </c>
    </row>
    <row r="4981" spans="1:11" x14ac:dyDescent="0.35">
      <c r="A4981" t="s">
        <v>5018</v>
      </c>
      <c r="B4981">
        <v>29</v>
      </c>
      <c r="C4981" t="s">
        <v>18</v>
      </c>
      <c r="D4981" t="s">
        <v>13</v>
      </c>
      <c r="E4981">
        <v>16</v>
      </c>
      <c r="F4981" t="s">
        <v>31</v>
      </c>
      <c r="G4981" t="s">
        <v>15</v>
      </c>
      <c r="H4981" s="1">
        <v>416.72</v>
      </c>
      <c r="I4981" t="s">
        <v>24</v>
      </c>
      <c r="J4981">
        <v>1</v>
      </c>
      <c r="K4981">
        <v>6</v>
      </c>
    </row>
    <row r="4982" spans="1:11" x14ac:dyDescent="0.35">
      <c r="A4982" t="s">
        <v>5019</v>
      </c>
      <c r="B4982">
        <v>79</v>
      </c>
      <c r="C4982" t="s">
        <v>18</v>
      </c>
      <c r="D4982" t="s">
        <v>30</v>
      </c>
      <c r="E4982">
        <v>14</v>
      </c>
      <c r="F4982" t="s">
        <v>33</v>
      </c>
      <c r="G4982" t="s">
        <v>34</v>
      </c>
      <c r="H4982" s="1">
        <v>93.64</v>
      </c>
      <c r="I4982" t="s">
        <v>43</v>
      </c>
      <c r="J4982">
        <v>2</v>
      </c>
      <c r="K4982">
        <v>4</v>
      </c>
    </row>
    <row r="4983" spans="1:11" x14ac:dyDescent="0.35">
      <c r="A4983" t="s">
        <v>5020</v>
      </c>
      <c r="B4983">
        <v>54</v>
      </c>
      <c r="C4983" t="s">
        <v>18</v>
      </c>
      <c r="D4983" t="s">
        <v>21</v>
      </c>
      <c r="E4983">
        <v>32</v>
      </c>
      <c r="F4983" t="s">
        <v>33</v>
      </c>
      <c r="G4983" t="s">
        <v>34</v>
      </c>
      <c r="H4983" s="1">
        <v>200.52</v>
      </c>
      <c r="I4983" t="s">
        <v>28</v>
      </c>
      <c r="J4983">
        <v>2</v>
      </c>
      <c r="K4983">
        <v>3</v>
      </c>
    </row>
    <row r="4984" spans="1:11" x14ac:dyDescent="0.35">
      <c r="A4984" t="s">
        <v>5021</v>
      </c>
      <c r="B4984">
        <v>55</v>
      </c>
      <c r="C4984" t="s">
        <v>18</v>
      </c>
      <c r="D4984" t="s">
        <v>21</v>
      </c>
      <c r="E4984">
        <v>41</v>
      </c>
      <c r="F4984" t="s">
        <v>22</v>
      </c>
      <c r="G4984" t="s">
        <v>23</v>
      </c>
      <c r="H4984" s="1">
        <v>429.41</v>
      </c>
      <c r="I4984" t="s">
        <v>24</v>
      </c>
      <c r="J4984">
        <v>2</v>
      </c>
      <c r="K4984">
        <v>1</v>
      </c>
    </row>
    <row r="4985" spans="1:11" x14ac:dyDescent="0.35">
      <c r="A4985" t="s">
        <v>5022</v>
      </c>
      <c r="B4985">
        <v>71</v>
      </c>
      <c r="C4985" t="s">
        <v>18</v>
      </c>
      <c r="D4985" t="s">
        <v>13</v>
      </c>
      <c r="E4985">
        <v>17</v>
      </c>
      <c r="F4985" t="s">
        <v>26</v>
      </c>
      <c r="G4985" t="s">
        <v>15</v>
      </c>
      <c r="H4985" s="1">
        <v>264.99</v>
      </c>
      <c r="I4985" t="s">
        <v>24</v>
      </c>
      <c r="J4985">
        <v>1</v>
      </c>
      <c r="K4985">
        <v>5</v>
      </c>
    </row>
    <row r="4986" spans="1:11" x14ac:dyDescent="0.35">
      <c r="A4986" t="s">
        <v>5023</v>
      </c>
      <c r="B4986">
        <v>61</v>
      </c>
      <c r="C4986" t="s">
        <v>18</v>
      </c>
      <c r="D4986" t="s">
        <v>21</v>
      </c>
      <c r="E4986">
        <v>29</v>
      </c>
      <c r="F4986" t="s">
        <v>31</v>
      </c>
      <c r="G4986" t="s">
        <v>15</v>
      </c>
      <c r="H4986" s="1">
        <v>362.22</v>
      </c>
      <c r="I4986" t="s">
        <v>24</v>
      </c>
      <c r="J4986">
        <v>2</v>
      </c>
      <c r="K4986">
        <v>4</v>
      </c>
    </row>
    <row r="4987" spans="1:11" x14ac:dyDescent="0.35">
      <c r="A4987" t="s">
        <v>5024</v>
      </c>
      <c r="B4987">
        <v>44</v>
      </c>
      <c r="C4987" t="s">
        <v>12</v>
      </c>
      <c r="D4987" t="s">
        <v>19</v>
      </c>
      <c r="E4987">
        <v>15</v>
      </c>
      <c r="F4987" t="s">
        <v>31</v>
      </c>
      <c r="G4987" t="s">
        <v>23</v>
      </c>
      <c r="H4987" s="1">
        <v>235.2</v>
      </c>
      <c r="I4987" t="s">
        <v>24</v>
      </c>
      <c r="J4987">
        <v>1</v>
      </c>
      <c r="K4987">
        <v>8</v>
      </c>
    </row>
    <row r="4988" spans="1:11" x14ac:dyDescent="0.35">
      <c r="A4988" t="s">
        <v>5025</v>
      </c>
      <c r="B4988">
        <v>62</v>
      </c>
      <c r="C4988" t="s">
        <v>12</v>
      </c>
      <c r="D4988" t="s">
        <v>13</v>
      </c>
      <c r="E4988">
        <v>9</v>
      </c>
      <c r="F4988" t="s">
        <v>22</v>
      </c>
      <c r="G4988" t="s">
        <v>37</v>
      </c>
      <c r="H4988" s="1">
        <v>200.48</v>
      </c>
      <c r="I4988" t="s">
        <v>24</v>
      </c>
      <c r="J4988">
        <v>2</v>
      </c>
      <c r="K4988">
        <v>6</v>
      </c>
    </row>
    <row r="4989" spans="1:11" x14ac:dyDescent="0.35">
      <c r="A4989" t="s">
        <v>5026</v>
      </c>
      <c r="B4989">
        <v>78</v>
      </c>
      <c r="C4989" t="s">
        <v>18</v>
      </c>
      <c r="D4989" t="s">
        <v>200</v>
      </c>
      <c r="E4989">
        <v>13</v>
      </c>
      <c r="F4989" t="s">
        <v>33</v>
      </c>
      <c r="G4989" t="s">
        <v>23</v>
      </c>
      <c r="H4989" s="1">
        <v>438.85</v>
      </c>
      <c r="I4989" t="s">
        <v>24</v>
      </c>
      <c r="J4989">
        <v>1</v>
      </c>
      <c r="K4989">
        <v>5</v>
      </c>
    </row>
    <row r="4990" spans="1:11" x14ac:dyDescent="0.35">
      <c r="A4990" t="s">
        <v>5027</v>
      </c>
      <c r="B4990">
        <v>73</v>
      </c>
      <c r="C4990" t="s">
        <v>18</v>
      </c>
      <c r="D4990" t="s">
        <v>19</v>
      </c>
      <c r="E4990">
        <v>6</v>
      </c>
      <c r="F4990" t="s">
        <v>31</v>
      </c>
      <c r="G4990" t="s">
        <v>34</v>
      </c>
      <c r="H4990" s="1">
        <v>193.57</v>
      </c>
      <c r="I4990" t="s">
        <v>24</v>
      </c>
      <c r="J4990">
        <v>1</v>
      </c>
      <c r="K4990">
        <v>9</v>
      </c>
    </row>
    <row r="4991" spans="1:11" x14ac:dyDescent="0.35">
      <c r="A4991" t="s">
        <v>5028</v>
      </c>
      <c r="B4991">
        <v>32</v>
      </c>
      <c r="C4991" t="s">
        <v>18</v>
      </c>
      <c r="D4991" t="s">
        <v>19</v>
      </c>
      <c r="E4991">
        <v>13</v>
      </c>
      <c r="F4991" t="s">
        <v>31</v>
      </c>
      <c r="G4991" t="s">
        <v>37</v>
      </c>
      <c r="H4991" s="1">
        <v>214.81</v>
      </c>
      <c r="I4991" t="s">
        <v>28</v>
      </c>
      <c r="J4991">
        <v>1</v>
      </c>
      <c r="K4991">
        <v>4</v>
      </c>
    </row>
    <row r="4992" spans="1:11" x14ac:dyDescent="0.35">
      <c r="A4992" t="s">
        <v>5029</v>
      </c>
      <c r="B4992">
        <v>47</v>
      </c>
      <c r="C4992" t="s">
        <v>12</v>
      </c>
      <c r="D4992" t="s">
        <v>30</v>
      </c>
      <c r="E4992">
        <v>5</v>
      </c>
      <c r="F4992" t="s">
        <v>22</v>
      </c>
      <c r="G4992" t="s">
        <v>23</v>
      </c>
      <c r="H4992" s="1">
        <v>273.8</v>
      </c>
      <c r="I4992" t="s">
        <v>43</v>
      </c>
      <c r="J4992">
        <v>0</v>
      </c>
      <c r="K4992">
        <v>10</v>
      </c>
    </row>
    <row r="4993" spans="1:11" x14ac:dyDescent="0.35">
      <c r="A4993" t="s">
        <v>5030</v>
      </c>
      <c r="B4993">
        <v>82</v>
      </c>
      <c r="C4993" t="s">
        <v>18</v>
      </c>
      <c r="D4993" t="s">
        <v>13</v>
      </c>
      <c r="E4993">
        <v>20</v>
      </c>
      <c r="F4993" t="s">
        <v>33</v>
      </c>
      <c r="G4993" t="s">
        <v>27</v>
      </c>
      <c r="H4993" s="1">
        <v>167.51</v>
      </c>
      <c r="I4993" t="s">
        <v>24</v>
      </c>
      <c r="J4993">
        <v>4</v>
      </c>
      <c r="K4993">
        <v>5</v>
      </c>
    </row>
    <row r="4994" spans="1:11" x14ac:dyDescent="0.35">
      <c r="A4994" t="s">
        <v>5031</v>
      </c>
      <c r="B4994">
        <v>55</v>
      </c>
      <c r="C4994" t="s">
        <v>12</v>
      </c>
      <c r="D4994" t="s">
        <v>244</v>
      </c>
      <c r="E4994">
        <v>12</v>
      </c>
      <c r="F4994" t="s">
        <v>31</v>
      </c>
      <c r="G4994" t="s">
        <v>23</v>
      </c>
      <c r="H4994" s="1">
        <v>376.49</v>
      </c>
      <c r="I4994" t="s">
        <v>24</v>
      </c>
      <c r="J4994">
        <v>1</v>
      </c>
      <c r="K4994">
        <v>5</v>
      </c>
    </row>
    <row r="4995" spans="1:11" x14ac:dyDescent="0.35">
      <c r="A4995" t="s">
        <v>5032</v>
      </c>
      <c r="B4995">
        <v>69</v>
      </c>
      <c r="C4995" t="s">
        <v>12</v>
      </c>
      <c r="D4995" t="s">
        <v>30</v>
      </c>
      <c r="E4995">
        <v>9</v>
      </c>
      <c r="F4995" t="s">
        <v>14</v>
      </c>
      <c r="G4995" t="s">
        <v>27</v>
      </c>
      <c r="H4995" s="1">
        <v>0</v>
      </c>
      <c r="I4995" t="s">
        <v>16</v>
      </c>
      <c r="J4995">
        <v>2</v>
      </c>
      <c r="K4995">
        <v>4</v>
      </c>
    </row>
    <row r="4996" spans="1:11" x14ac:dyDescent="0.35">
      <c r="A4996" t="s">
        <v>5033</v>
      </c>
      <c r="B4996">
        <v>48</v>
      </c>
      <c r="C4996" t="s">
        <v>18</v>
      </c>
      <c r="D4996" t="s">
        <v>19</v>
      </c>
      <c r="E4996">
        <v>17</v>
      </c>
      <c r="F4996" t="s">
        <v>33</v>
      </c>
      <c r="G4996" t="s">
        <v>34</v>
      </c>
      <c r="H4996" s="1">
        <v>141.66</v>
      </c>
      <c r="I4996" t="s">
        <v>24</v>
      </c>
      <c r="J4996">
        <v>3</v>
      </c>
      <c r="K4996">
        <v>4</v>
      </c>
    </row>
    <row r="4997" spans="1:11" x14ac:dyDescent="0.35">
      <c r="A4997" t="s">
        <v>5034</v>
      </c>
      <c r="B4997">
        <v>28</v>
      </c>
      <c r="C4997" t="s">
        <v>18</v>
      </c>
      <c r="D4997" t="s">
        <v>21</v>
      </c>
      <c r="E4997">
        <v>33</v>
      </c>
      <c r="F4997" t="s">
        <v>33</v>
      </c>
      <c r="G4997" t="s">
        <v>27</v>
      </c>
      <c r="H4997" s="1">
        <v>46.72</v>
      </c>
      <c r="I4997" t="s">
        <v>24</v>
      </c>
      <c r="J4997">
        <v>1</v>
      </c>
      <c r="K4997">
        <v>2</v>
      </c>
    </row>
    <row r="4998" spans="1:11" x14ac:dyDescent="0.35">
      <c r="A4998" t="s">
        <v>5035</v>
      </c>
      <c r="B4998">
        <v>53</v>
      </c>
      <c r="C4998" t="s">
        <v>12</v>
      </c>
      <c r="D4998" t="s">
        <v>13</v>
      </c>
      <c r="E4998">
        <v>24</v>
      </c>
      <c r="F4998" t="s">
        <v>33</v>
      </c>
      <c r="G4998" t="s">
        <v>37</v>
      </c>
      <c r="H4998" s="1">
        <v>186.6</v>
      </c>
      <c r="I4998" t="s">
        <v>24</v>
      </c>
      <c r="J4998">
        <v>2</v>
      </c>
      <c r="K4998">
        <v>5</v>
      </c>
    </row>
    <row r="4999" spans="1:11" x14ac:dyDescent="0.35">
      <c r="A4999" t="s">
        <v>5036</v>
      </c>
      <c r="B4999">
        <v>85</v>
      </c>
      <c r="C4999" t="s">
        <v>18</v>
      </c>
      <c r="D4999" t="s">
        <v>19</v>
      </c>
      <c r="E4999">
        <v>20</v>
      </c>
      <c r="F4999" t="s">
        <v>33</v>
      </c>
      <c r="G4999" t="s">
        <v>34</v>
      </c>
      <c r="H4999" s="1">
        <v>209.87</v>
      </c>
      <c r="I4999" t="s">
        <v>24</v>
      </c>
      <c r="J4999">
        <v>0</v>
      </c>
      <c r="K4999">
        <v>1</v>
      </c>
    </row>
    <row r="5000" spans="1:11" x14ac:dyDescent="0.35">
      <c r="A5000" t="s">
        <v>5037</v>
      </c>
      <c r="B5000">
        <v>35</v>
      </c>
      <c r="C5000" t="s">
        <v>18</v>
      </c>
      <c r="D5000" t="s">
        <v>21</v>
      </c>
      <c r="E5000">
        <v>34</v>
      </c>
      <c r="F5000" t="s">
        <v>26</v>
      </c>
      <c r="G5000" t="s">
        <v>37</v>
      </c>
      <c r="H5000" s="1">
        <v>168.68</v>
      </c>
      <c r="I5000" t="s">
        <v>24</v>
      </c>
      <c r="J5000">
        <v>2</v>
      </c>
      <c r="K5000">
        <v>5</v>
      </c>
    </row>
    <row r="5001" spans="1:11" x14ac:dyDescent="0.35">
      <c r="A5001" t="s">
        <v>5038</v>
      </c>
      <c r="B5001">
        <v>67</v>
      </c>
      <c r="C5001" t="s">
        <v>12</v>
      </c>
      <c r="D5001" t="s">
        <v>13</v>
      </c>
      <c r="E5001">
        <v>8</v>
      </c>
      <c r="F5001" t="s">
        <v>31</v>
      </c>
      <c r="G5001" t="s">
        <v>27</v>
      </c>
      <c r="H5001" s="1">
        <v>146.33000000000001</v>
      </c>
      <c r="I5001" t="s">
        <v>28</v>
      </c>
      <c r="J5001">
        <v>1</v>
      </c>
      <c r="K5001">
        <v>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8DF5E-0B85-4F97-A371-6FD205F8D45C}">
  <dimension ref="B1:M19"/>
  <sheetViews>
    <sheetView showGridLines="0" showRowColHeaders="0" tabSelected="1" workbookViewId="0">
      <selection activeCell="F4" sqref="F4"/>
    </sheetView>
  </sheetViews>
  <sheetFormatPr defaultRowHeight="14.5" x14ac:dyDescent="0.35"/>
  <cols>
    <col min="1" max="1" width="8.7265625" style="10"/>
    <col min="2" max="2" width="17.81640625" style="10" bestFit="1" customWidth="1"/>
    <col min="3" max="3" width="23.54296875" style="10" bestFit="1" customWidth="1"/>
    <col min="4" max="5" width="8.7265625" style="10"/>
    <col min="6" max="6" width="27.1796875" style="10" bestFit="1" customWidth="1"/>
    <col min="7" max="7" width="19" style="10" bestFit="1" customWidth="1"/>
    <col min="8" max="10" width="8.7265625" style="10"/>
    <col min="11" max="11" width="20.36328125" style="10" customWidth="1"/>
    <col min="12" max="16384" width="8.7265625" style="10"/>
  </cols>
  <sheetData>
    <row r="1" spans="2:13" ht="26.5" thickBot="1" x14ac:dyDescent="0.65">
      <c r="B1" s="12" t="s">
        <v>5050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2:13" ht="15" thickTop="1" x14ac:dyDescent="0.35"/>
    <row r="3" spans="2:13" s="13" customFormat="1" ht="21" x14ac:dyDescent="0.5">
      <c r="C3" s="14" t="s">
        <v>5043</v>
      </c>
      <c r="F3" s="14" t="s">
        <v>3</v>
      </c>
      <c r="K3" s="14" t="s">
        <v>5045</v>
      </c>
    </row>
    <row r="4" spans="2:13" x14ac:dyDescent="0.35">
      <c r="C4" s="6" t="s">
        <v>34</v>
      </c>
      <c r="F4" s="7" t="s">
        <v>21</v>
      </c>
      <c r="K4" s="6" t="s">
        <v>31</v>
      </c>
    </row>
    <row r="19" spans="2:7" x14ac:dyDescent="0.35">
      <c r="B19" s="8"/>
      <c r="C19" s="9"/>
      <c r="F19" s="8"/>
      <c r="G19" s="11"/>
    </row>
  </sheetData>
  <sheetProtection sheet="1" objects="1" scenarios="1" selectLockedCells="1"/>
  <mergeCells count="1">
    <mergeCell ref="B1:M1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E5EBBCD-999D-40B5-9CCB-E1911FFB382F}">
          <x14:formula1>
            <xm:f>Data_validation!$D$2:$D$11</xm:f>
          </x14:formula1>
          <xm:sqref>F4</xm:sqref>
        </x14:dataValidation>
        <x14:dataValidation type="list" allowBlank="1" showInputMessage="1" showErrorMessage="1" xr:uid="{64C620FD-FD99-454B-8A4B-01627A44C2A3}">
          <x14:formula1>
            <xm:f>Data_validation!$J$2:$J$6</xm:f>
          </x14:formula1>
          <xm:sqref>C4</xm:sqref>
        </x14:dataValidation>
        <x14:dataValidation type="list" allowBlank="1" showInputMessage="1" showErrorMessage="1" xr:uid="{B866121A-1B4F-45F0-AD63-F8E14C68FD8B}">
          <x14:formula1>
            <xm:f>Data_validation!$P$2:$P$6</xm:f>
          </x14:formula1>
          <xm:sqref>K4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59D36-2F17-4359-847D-BBBDCE5CD5BC}">
  <dimension ref="A1:Q15"/>
  <sheetViews>
    <sheetView workbookViewId="0">
      <selection activeCell="B15" sqref="B15"/>
    </sheetView>
  </sheetViews>
  <sheetFormatPr defaultRowHeight="14.5" x14ac:dyDescent="0.35"/>
  <cols>
    <col min="1" max="1" width="23.54296875" bestFit="1" customWidth="1"/>
    <col min="4" max="4" width="23.54296875" bestFit="1" customWidth="1"/>
    <col min="7" max="7" width="19" bestFit="1" customWidth="1"/>
    <col min="10" max="10" width="19" bestFit="1" customWidth="1"/>
    <col min="13" max="13" width="17.54296875" bestFit="1" customWidth="1"/>
    <col min="16" max="16" width="18.90625" bestFit="1" customWidth="1"/>
  </cols>
  <sheetData>
    <row r="1" spans="1:17" x14ac:dyDescent="0.35">
      <c r="A1" s="2" t="s">
        <v>3</v>
      </c>
      <c r="D1" s="2" t="s">
        <v>5041</v>
      </c>
      <c r="G1" s="2" t="s">
        <v>6</v>
      </c>
      <c r="J1" s="2" t="s">
        <v>5042</v>
      </c>
      <c r="M1" s="2" t="s">
        <v>5046</v>
      </c>
      <c r="P1" s="2" t="s">
        <v>5044</v>
      </c>
    </row>
    <row r="2" spans="1:17" x14ac:dyDescent="0.35">
      <c r="A2" t="str" cm="1">
        <f t="array" ref="A2:A11">_xlfn.UNIQUE(data_table[Province])</f>
        <v>British Columbia</v>
      </c>
      <c r="B2" cm="1">
        <f t="array" ref="B2">COUNT(
IF(
(data_table[Province]=A2)*
(data_table[Claim_Type]=type)*
(data_table[Insurance_Provider]=provider),
data_table[Claim_Amount_CAD]
)
)</f>
        <v>27</v>
      </c>
      <c r="D2" t="str" cm="1">
        <f t="array" ref="D2:E11">_xlfn._xlws.SORT($A$2:$B$11,1,1)</f>
        <v>Alberta</v>
      </c>
      <c r="E2">
        <v>19</v>
      </c>
      <c r="G2" t="str" cm="1">
        <f t="array" ref="G2:G6">_xlfn.UNIQUE(data_table[Claim_Type])</f>
        <v>Vision</v>
      </c>
      <c r="H2">
        <f>COUNTIFS(data_table[],G2)</f>
        <v>985</v>
      </c>
      <c r="J2" t="str" cm="1">
        <f t="array" ref="J2:K6">_xlfn._xlws.SORT(G2:H6,2,-1)</f>
        <v>Dental</v>
      </c>
      <c r="K2">
        <v>1064</v>
      </c>
      <c r="M2" t="str" cm="1">
        <f t="array" ref="M2:M6">_xlfn.UNIQUE(data_table[Insurance_Provider])</f>
        <v>Out of Pocket / None</v>
      </c>
      <c r="N2">
        <f>COUNTIFS(data_table[],M2)</f>
        <v>479</v>
      </c>
      <c r="P2" t="str" cm="1">
        <f t="array" ref="P2:Q6">_xlfn._xlws.SORT(M2:N6,2,-1)</f>
        <v>Sun Life</v>
      </c>
      <c r="Q2">
        <v>1500</v>
      </c>
    </row>
    <row r="3" spans="1:17" x14ac:dyDescent="0.35">
      <c r="A3" t="str">
        <v>Ontario</v>
      </c>
      <c r="B3" cm="1">
        <f t="array" ref="B3">COUNT(
IF(
(data_table[Province]=A3)*
(data_table[Claim_Type]=type)*
(data_table[Insurance_Provider]=provider),
data_table[Claim_Amount_CAD]
)
)</f>
        <v>72</v>
      </c>
      <c r="D3" t="str">
        <v>British Columbia</v>
      </c>
      <c r="E3">
        <v>27</v>
      </c>
      <c r="G3" t="str">
        <v>Dental</v>
      </c>
      <c r="H3">
        <f>COUNTIFS(data_table[],G3)</f>
        <v>1064</v>
      </c>
      <c r="J3" t="str">
        <v>Physiotherapy</v>
      </c>
      <c r="K3">
        <v>989</v>
      </c>
      <c r="M3" t="str">
        <v>Sun Life</v>
      </c>
      <c r="N3">
        <f>COUNTIFS(data_table[],M3)</f>
        <v>1500</v>
      </c>
      <c r="P3" t="str">
        <v>Manulife</v>
      </c>
      <c r="Q3">
        <v>1270</v>
      </c>
    </row>
    <row r="4" spans="1:17" x14ac:dyDescent="0.35">
      <c r="A4" t="str">
        <v>Quebec</v>
      </c>
      <c r="B4" cm="1">
        <f t="array" ref="B4">COUNT(
IF(
(data_table[Province]=A4)*
(data_table[Claim_Type]=type)*
(data_table[Insurance_Provider]=provider),
data_table[Claim_Amount_CAD]
)
)</f>
        <v>52</v>
      </c>
      <c r="D4" t="str">
        <v>Manitoba</v>
      </c>
      <c r="E4">
        <v>5</v>
      </c>
      <c r="G4" t="str">
        <v>Prescription</v>
      </c>
      <c r="H4">
        <f>COUNTIFS(data_table[],G4)</f>
        <v>978</v>
      </c>
      <c r="J4" t="str">
        <v>Vision</v>
      </c>
      <c r="K4">
        <v>985</v>
      </c>
      <c r="M4" t="str">
        <v>Blue Cross</v>
      </c>
      <c r="N4">
        <f>COUNTIFS(data_table[],M4)</f>
        <v>741</v>
      </c>
      <c r="P4" t="str">
        <v>Canada Life</v>
      </c>
      <c r="Q4">
        <v>1010</v>
      </c>
    </row>
    <row r="5" spans="1:17" x14ac:dyDescent="0.35">
      <c r="A5" t="str">
        <v>Alberta</v>
      </c>
      <c r="B5" cm="1">
        <f t="array" ref="B5">COUNT(
IF(
(data_table[Province]=A5)*
(data_table[Claim_Type]=type)*
(data_table[Insurance_Provider]=provider),
data_table[Claim_Amount_CAD]
)
)</f>
        <v>19</v>
      </c>
      <c r="D5" t="str">
        <v>New Brunswick</v>
      </c>
      <c r="E5">
        <v>6</v>
      </c>
      <c r="G5" t="str">
        <v>Mental Health Therapy</v>
      </c>
      <c r="H5">
        <f>COUNTIFS(data_table[],G5)</f>
        <v>984</v>
      </c>
      <c r="J5" t="str">
        <v>Mental Health Therapy</v>
      </c>
      <c r="K5">
        <v>984</v>
      </c>
      <c r="M5" t="str">
        <v>Canada Life</v>
      </c>
      <c r="N5">
        <f>COUNTIFS(data_table[],M5)</f>
        <v>1010</v>
      </c>
      <c r="P5" t="str">
        <v>Blue Cross</v>
      </c>
      <c r="Q5">
        <v>741</v>
      </c>
    </row>
    <row r="6" spans="1:17" x14ac:dyDescent="0.35">
      <c r="A6" t="str">
        <v>Manitoba</v>
      </c>
      <c r="B6" cm="1">
        <f t="array" ref="B6">COUNT(
IF(
(data_table[Province]=A6)*
(data_table[Claim_Type]=type)*
(data_table[Insurance_Provider]=provider),
data_table[Claim_Amount_CAD]
)
)</f>
        <v>5</v>
      </c>
      <c r="D6" t="str">
        <v>Newfoundland and Labrador</v>
      </c>
      <c r="E6">
        <v>0</v>
      </c>
      <c r="G6" t="str">
        <v>Physiotherapy</v>
      </c>
      <c r="H6">
        <f>COUNTIFS(data_table[],G6)</f>
        <v>989</v>
      </c>
      <c r="J6" t="str">
        <v>Prescription</v>
      </c>
      <c r="K6">
        <v>978</v>
      </c>
      <c r="M6" t="str">
        <v>Manulife</v>
      </c>
      <c r="N6">
        <f>COUNTIFS(data_table[],M6)</f>
        <v>1270</v>
      </c>
      <c r="P6" t="str">
        <v>Out of Pocket / None</v>
      </c>
      <c r="Q6">
        <v>479</v>
      </c>
    </row>
    <row r="7" spans="1:17" x14ac:dyDescent="0.35">
      <c r="A7" t="str">
        <v>Saskatchewan</v>
      </c>
      <c r="B7" cm="1">
        <f t="array" ref="B7">COUNT(
IF(
(data_table[Province]=A7)*
(data_table[Claim_Type]=type)*
(data_table[Insurance_Provider]=provider),
data_table[Claim_Amount_CAD]
)
)</f>
        <v>8</v>
      </c>
      <c r="D7" t="str">
        <v>Nova Scotia</v>
      </c>
      <c r="E7">
        <v>3</v>
      </c>
    </row>
    <row r="8" spans="1:17" x14ac:dyDescent="0.35">
      <c r="A8" t="str">
        <v>Nova Scotia</v>
      </c>
      <c r="B8" cm="1">
        <f t="array" ref="B8">COUNT(
IF(
(data_table[Province]=A8)*
(data_table[Claim_Type]=type)*
(data_table[Insurance_Provider]=provider),
data_table[Claim_Amount_CAD]
)
)</f>
        <v>3</v>
      </c>
      <c r="D8" t="str">
        <v>Ontario</v>
      </c>
      <c r="E8">
        <v>72</v>
      </c>
    </row>
    <row r="9" spans="1:17" x14ac:dyDescent="0.35">
      <c r="A9" t="str">
        <v>New Brunswick</v>
      </c>
      <c r="B9" cm="1">
        <f t="array" ref="B9">COUNT(
IF(
(data_table[Province]=A9)*
(data_table[Claim_Type]=type)*
(data_table[Insurance_Provider]=provider),
data_table[Claim_Amount_CAD]
)
)</f>
        <v>6</v>
      </c>
      <c r="D9" t="str">
        <v>Prince Edward Island</v>
      </c>
      <c r="E9">
        <v>4</v>
      </c>
    </row>
    <row r="10" spans="1:17" x14ac:dyDescent="0.35">
      <c r="A10" t="str">
        <v>Newfoundland and Labrador</v>
      </c>
      <c r="B10" cm="1">
        <f t="array" ref="B10">COUNT(
IF(
(data_table[Province]=A10)*
(data_table[Claim_Type]=type)*
(data_table[Insurance_Provider]=provider),
data_table[Claim_Amount_CAD]
)
)</f>
        <v>0</v>
      </c>
      <c r="D10" t="str">
        <v>Quebec</v>
      </c>
      <c r="E10">
        <v>52</v>
      </c>
    </row>
    <row r="11" spans="1:17" x14ac:dyDescent="0.35">
      <c r="A11" t="str">
        <v>Prince Edward Island</v>
      </c>
      <c r="B11" cm="1">
        <f t="array" ref="B11">COUNT(
IF(
(data_table[Province]=A11)*
(data_table[Claim_Type]=type)*
(data_table[Insurance_Provider]=provider),
data_table[Claim_Amount_CAD]
)
)</f>
        <v>4</v>
      </c>
      <c r="D11" t="str">
        <v>Saskatchewan</v>
      </c>
      <c r="E11">
        <v>8</v>
      </c>
    </row>
    <row r="15" spans="1:17" x14ac:dyDescent="0.35">
      <c r="B15">
        <f>_xlfn.XLOOKUP(province,D2:D11,E2:E11,"not found")</f>
        <v>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CBD97-0FBB-4EC3-9F3D-6A63C0D6241D}">
  <dimension ref="A1:E14"/>
  <sheetViews>
    <sheetView workbookViewId="0">
      <selection activeCell="D3" sqref="D3"/>
    </sheetView>
  </sheetViews>
  <sheetFormatPr defaultRowHeight="14.5" x14ac:dyDescent="0.35"/>
  <cols>
    <col min="1" max="2" width="23.54296875" bestFit="1" customWidth="1"/>
    <col min="3" max="3" width="22.08984375" bestFit="1" customWidth="1"/>
    <col min="4" max="4" width="25.7265625" bestFit="1" customWidth="1"/>
    <col min="7" max="7" width="19" bestFit="1" customWidth="1"/>
  </cols>
  <sheetData>
    <row r="1" spans="1:5" x14ac:dyDescent="0.35">
      <c r="A1" s="2" t="str" cm="1">
        <f t="array" ref="A1:A11">Data_validation!D1:D11</f>
        <v>Province Sorted</v>
      </c>
      <c r="B1" s="2" t="s">
        <v>5039</v>
      </c>
      <c r="D1" s="2" t="s">
        <v>5040</v>
      </c>
    </row>
    <row r="2" spans="1:5" x14ac:dyDescent="0.35">
      <c r="A2" t="str">
        <v>Alberta</v>
      </c>
      <c r="B2" s="3" cm="1">
        <f t="array" ref="B2">AVERAGE(
IF(
(data_table[Province]=A2)*
(data_table[Claim_Type]=type)*
(data_table[Insurance_Provider]=provider),
data_table[Family_Doctor_Wait_Months]
)
)</f>
        <v>7.6842105263157894</v>
      </c>
      <c r="D2" t="str" cm="1">
        <f t="array" ref="D2:E10">_xlfn._xlws.SORT(_xlfn._xlws.FILTER(A2:B11,ISNUMBER(B2:B11)),2,1)</f>
        <v>Manitoba</v>
      </c>
      <c r="E2" s="3">
        <v>7.2</v>
      </c>
    </row>
    <row r="3" spans="1:5" x14ac:dyDescent="0.35">
      <c r="A3" t="str">
        <v>British Columbia</v>
      </c>
      <c r="B3" s="3" cm="1">
        <f t="array" ref="B3">AVERAGE(
IF(
(data_table[Province]=A3)*
(data_table[Claim_Type]=type)*
(data_table[Insurance_Provider]=provider),
data_table[Family_Doctor_Wait_Months]
)
)</f>
        <v>16.62962962962963</v>
      </c>
      <c r="D3" t="str">
        <v>Alberta</v>
      </c>
      <c r="E3" s="3">
        <v>7.6842105263157894</v>
      </c>
    </row>
    <row r="4" spans="1:5" x14ac:dyDescent="0.35">
      <c r="A4" t="str">
        <v>Manitoba</v>
      </c>
      <c r="B4" s="3" cm="1">
        <f t="array" ref="B4">AVERAGE(
IF(
(data_table[Province]=A4)*
(data_table[Claim_Type]=type)*
(data_table[Insurance_Provider]=provider),
data_table[Family_Doctor_Wait_Months]
)
)</f>
        <v>7.2</v>
      </c>
      <c r="D4" t="str">
        <v>Saskatchewan</v>
      </c>
      <c r="E4" s="3">
        <v>10.125</v>
      </c>
    </row>
    <row r="5" spans="1:5" x14ac:dyDescent="0.35">
      <c r="A5" t="str">
        <v>New Brunswick</v>
      </c>
      <c r="B5" s="3" cm="1">
        <f t="array" ref="B5">AVERAGE(
IF(
(data_table[Province]=A5)*
(data_table[Claim_Type]=type)*
(data_table[Insurance_Provider]=provider),
data_table[Family_Doctor_Wait_Months]
)
)</f>
        <v>31.5</v>
      </c>
      <c r="D5" t="str">
        <v>Ontario</v>
      </c>
      <c r="E5" s="3">
        <v>14.972222222222221</v>
      </c>
    </row>
    <row r="6" spans="1:5" x14ac:dyDescent="0.35">
      <c r="A6" t="str">
        <v>Newfoundland and Labrador</v>
      </c>
      <c r="B6" s="3" t="e" cm="1">
        <f t="array" ref="B6">AVERAGE(
IF(
(data_table[Province]=A6)*
(data_table[Claim_Type]=type)*
(data_table[Insurance_Provider]=provider),
data_table[Family_Doctor_Wait_Months]
)
)</f>
        <v>#DIV/0!</v>
      </c>
      <c r="D6" t="str">
        <v>British Columbia</v>
      </c>
      <c r="E6" s="3">
        <v>16.62962962962963</v>
      </c>
    </row>
    <row r="7" spans="1:5" x14ac:dyDescent="0.35">
      <c r="A7" t="str">
        <v>Nova Scotia</v>
      </c>
      <c r="B7" s="3" cm="1">
        <f t="array" ref="B7">AVERAGE(
IF(
(data_table[Province]=A7)*
(data_table[Claim_Type]=type)*
(data_table[Insurance_Provider]=provider),
data_table[Family_Doctor_Wait_Months]
)
)</f>
        <v>32</v>
      </c>
      <c r="D7" t="str">
        <v>Prince Edward Island</v>
      </c>
      <c r="E7" s="3">
        <v>16.75</v>
      </c>
    </row>
    <row r="8" spans="1:5" x14ac:dyDescent="0.35">
      <c r="A8" t="str">
        <v>Ontario</v>
      </c>
      <c r="B8" s="3" cm="1">
        <f t="array" ref="B8">AVERAGE(
IF(
(data_table[Province]=A8)*
(data_table[Claim_Type]=type)*
(data_table[Insurance_Provider]=provider),
data_table[Family_Doctor_Wait_Months]
)
)</f>
        <v>14.972222222222221</v>
      </c>
      <c r="D8" t="str">
        <v>Quebec</v>
      </c>
      <c r="E8" s="3">
        <v>30.923076923076923</v>
      </c>
    </row>
    <row r="9" spans="1:5" x14ac:dyDescent="0.35">
      <c r="A9" t="str">
        <v>Prince Edward Island</v>
      </c>
      <c r="B9" s="3" cm="1">
        <f t="array" ref="B9">AVERAGE(
IF(
(data_table[Province]=A9)*
(data_table[Claim_Type]=type)*
(data_table[Insurance_Provider]=provider),
data_table[Family_Doctor_Wait_Months]
)
)</f>
        <v>16.75</v>
      </c>
      <c r="D9" t="str">
        <v>New Brunswick</v>
      </c>
      <c r="E9" s="3">
        <v>31.5</v>
      </c>
    </row>
    <row r="10" spans="1:5" x14ac:dyDescent="0.35">
      <c r="A10" t="str">
        <v>Quebec</v>
      </c>
      <c r="B10" s="3" cm="1">
        <f t="array" ref="B10">AVERAGE(
IF(
(data_table[Province]=A10)*
(data_table[Claim_Type]=type)*
(data_table[Insurance_Provider]=provider),
data_table[Family_Doctor_Wait_Months]
)
)</f>
        <v>30.923076923076923</v>
      </c>
      <c r="D10" t="str">
        <v>Nova Scotia</v>
      </c>
      <c r="E10" s="3">
        <v>32</v>
      </c>
    </row>
    <row r="11" spans="1:5" x14ac:dyDescent="0.35">
      <c r="A11" t="str">
        <v>Saskatchewan</v>
      </c>
      <c r="B11" s="3" cm="1">
        <f t="array" ref="B11">AVERAGE(
IF(
(data_table[Province]=A11)*
(data_table[Claim_Type]=type)*
(data_table[Insurance_Provider]=provider),
data_table[Family_Doctor_Wait_Months]
)
)</f>
        <v>10.125</v>
      </c>
      <c r="E11" s="3"/>
    </row>
    <row r="14" spans="1:5" x14ac:dyDescent="0.35">
      <c r="C14" s="3">
        <f>_xlfn.XLOOKUP(province,$D$2:$D$11,$E$2:$E$11,"not found")</f>
        <v>30.923076923076923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E7503-7AE3-42C0-94DC-0155371B4B51}">
  <dimension ref="A1:G10"/>
  <sheetViews>
    <sheetView workbookViewId="0">
      <selection activeCell="C10" sqref="C10"/>
    </sheetView>
  </sheetViews>
  <sheetFormatPr defaultRowHeight="14.5" x14ac:dyDescent="0.35"/>
  <cols>
    <col min="1" max="1" width="19" bestFit="1" customWidth="1"/>
    <col min="2" max="2" width="13.81640625" bestFit="1" customWidth="1"/>
    <col min="4" max="4" width="19" bestFit="1" customWidth="1"/>
  </cols>
  <sheetData>
    <row r="1" spans="1:7" x14ac:dyDescent="0.35">
      <c r="A1" s="2" t="str" cm="1">
        <f t="array" ref="A1:A6">Data_validation!J1:J6</f>
        <v>Claim_Status_Sorted</v>
      </c>
      <c r="B1" s="2" t="s">
        <v>5047</v>
      </c>
      <c r="D1" s="2" t="s">
        <v>5048</v>
      </c>
      <c r="E1" s="2"/>
    </row>
    <row r="2" spans="1:7" x14ac:dyDescent="0.35">
      <c r="A2" t="str">
        <v>Dental</v>
      </c>
      <c r="B2" s="4" cm="1">
        <f t="array" ref="B2">MEDIAN(
IF(
(data_table[Claim_Type]=A2)*
(data_table[Province]=province)*
(data_table[Insurance_Provider]=provider),
data_table[Claim_Amount_CAD]
)
)</f>
        <v>381.58</v>
      </c>
      <c r="D2" t="str" cm="1">
        <f t="array" ref="D2:E6">_xlfn._xlws.SORT(_xlfn._xlws.FILTER($A$2:$B$6,ISNUMBER($B$2:$B$6)),2,1)</f>
        <v>Prescription</v>
      </c>
      <c r="E2" s="4">
        <v>112.11500000000001</v>
      </c>
      <c r="F2">
        <f>IF($D2&lt;&gt;type,$E2,NA())</f>
        <v>112.11500000000001</v>
      </c>
      <c r="G2" t="e">
        <f>IF($D2=type,$E2,NA())</f>
        <v>#N/A</v>
      </c>
    </row>
    <row r="3" spans="1:7" x14ac:dyDescent="0.35">
      <c r="A3" t="str">
        <v>Physiotherapy</v>
      </c>
      <c r="B3" s="4" cm="1">
        <f t="array" ref="B3">MEDIAN(
IF(
(data_table[Claim_Type]=A3)*
(data_table[Province]=province)*
(data_table[Insurance_Provider]=provider),
data_table[Claim_Amount_CAD]
)
)</f>
        <v>139.61000000000001</v>
      </c>
      <c r="D3" t="str">
        <v>Physiotherapy</v>
      </c>
      <c r="E3" s="4">
        <v>139.61000000000001</v>
      </c>
      <c r="F3">
        <f>IF($D3&lt;&gt;type,$E3,NA())</f>
        <v>139.61000000000001</v>
      </c>
      <c r="G3" t="e">
        <f>IF($D3=type,$E3,NA())</f>
        <v>#N/A</v>
      </c>
    </row>
    <row r="4" spans="1:7" x14ac:dyDescent="0.35">
      <c r="A4" t="str">
        <v>Vision</v>
      </c>
      <c r="B4" s="4" cm="1">
        <f t="array" ref="B4">MEDIAN(
IF(
(data_table[Claim_Type]=A4)*
(data_table[Province]=province)*
(data_table[Insurance_Provider]=provider),
data_table[Claim_Amount_CAD]
)
)</f>
        <v>277.52999999999997</v>
      </c>
      <c r="D4" t="str">
        <v>Mental Health Therapy</v>
      </c>
      <c r="E4" s="4">
        <v>141.66</v>
      </c>
      <c r="F4" t="e">
        <f>IF($D4&lt;&gt;type,$E4,NA())</f>
        <v>#N/A</v>
      </c>
      <c r="G4">
        <f>IF($D4=type,$E4,NA())</f>
        <v>141.66</v>
      </c>
    </row>
    <row r="5" spans="1:7" x14ac:dyDescent="0.35">
      <c r="A5" t="str">
        <v>Mental Health Therapy</v>
      </c>
      <c r="B5" s="4" cm="1">
        <f t="array" ref="B5">MEDIAN(
IF(
(data_table[Claim_Type]=A5)*
(data_table[Province]=province)*
(data_table[Insurance_Provider]=provider),
data_table[Claim_Amount_CAD]
)
)</f>
        <v>141.66</v>
      </c>
      <c r="D5" t="str">
        <v>Vision</v>
      </c>
      <c r="E5" s="4">
        <v>277.52999999999997</v>
      </c>
      <c r="F5">
        <f>IF($D5&lt;&gt;type,$E5,NA())</f>
        <v>277.52999999999997</v>
      </c>
      <c r="G5" t="e">
        <f>IF($D5=type,$E5,NA())</f>
        <v>#N/A</v>
      </c>
    </row>
    <row r="6" spans="1:7" x14ac:dyDescent="0.35">
      <c r="A6" t="str">
        <v>Prescription</v>
      </c>
      <c r="B6" s="4" cm="1">
        <f t="array" ref="B6">MEDIAN(
IF(
(data_table[Claim_Type]=A6)*
(data_table[Province]=province)*
(data_table[Insurance_Provider]=provider),
data_table[Claim_Amount_CAD]
)
)</f>
        <v>112.11500000000001</v>
      </c>
      <c r="D6" t="str">
        <v>Dental</v>
      </c>
      <c r="E6">
        <v>381.58</v>
      </c>
      <c r="F6">
        <f>IF($D6&lt;&gt;type,$E6,NA())</f>
        <v>381.58</v>
      </c>
      <c r="G6" t="e">
        <f>IF($D6=type,$E6,NA())</f>
        <v>#N/A</v>
      </c>
    </row>
    <row r="10" spans="1:7" x14ac:dyDescent="0.35">
      <c r="C10" s="5">
        <f>_xlfn.XLOOKUP(type,D2:D6,E2:E6,"not found")</f>
        <v>141.66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D2FCF-ACEB-414B-B970-805E238D775B}">
  <dimension ref="A1:G6"/>
  <sheetViews>
    <sheetView workbookViewId="0">
      <selection activeCell="B2" sqref="B2"/>
    </sheetView>
  </sheetViews>
  <sheetFormatPr defaultRowHeight="14.5" x14ac:dyDescent="0.35"/>
  <cols>
    <col min="1" max="1" width="18.26953125" bestFit="1" customWidth="1"/>
    <col min="4" max="4" width="19.90625" bestFit="1" customWidth="1"/>
  </cols>
  <sheetData>
    <row r="1" spans="1:7" x14ac:dyDescent="0.35">
      <c r="A1" s="2" t="str" cm="1">
        <f t="array" ref="A1:A6">Data_validation!P1:P6</f>
        <v>Provider_Type_Sorted</v>
      </c>
      <c r="D1" s="2" t="s">
        <v>5049</v>
      </c>
    </row>
    <row r="2" spans="1:7" x14ac:dyDescent="0.35">
      <c r="A2" t="str">
        <v>Sun Life</v>
      </c>
      <c r="B2" cm="1">
        <f t="array" ref="B2">MEDIAN(
IF(
(data_table[Claim_Type]=type)*
(data_table[Province]=province)*
(data_table[Insurance_Provider]=A2),
data_table[Claim_Amount_CAD]
)
)</f>
        <v>154.34</v>
      </c>
      <c r="D2" t="str" cm="1">
        <f t="array" ref="D2:E6">_xlfn._xlws.SORT(_xlfn._xlws.FILTER(A2:B6,ISNUMBER(B2:B6)),2,1)</f>
        <v>Out of Pocket / None</v>
      </c>
      <c r="E2">
        <v>0</v>
      </c>
      <c r="F2">
        <f>IF($D2&lt;&gt;provider,$E2,NA())</f>
        <v>0</v>
      </c>
      <c r="G2" t="e">
        <f>IF($D2=provider,$E2,NA())</f>
        <v>#N/A</v>
      </c>
    </row>
    <row r="3" spans="1:7" x14ac:dyDescent="0.35">
      <c r="A3" t="str">
        <v>Manulife</v>
      </c>
      <c r="B3" cm="1">
        <f t="array" ref="B3">MEDIAN(
IF(
(data_table[Claim_Type]=type)*
(data_table[Province]=province)*
(data_table[Insurance_Provider]=A3),
data_table[Claim_Amount_CAD]
)
)</f>
        <v>154.72999999999999</v>
      </c>
      <c r="D3" t="str">
        <v>Canada Life</v>
      </c>
      <c r="E3">
        <v>141.66</v>
      </c>
      <c r="F3" t="e">
        <f>IF($D3&lt;&gt;provider,$E3,NA())</f>
        <v>#N/A</v>
      </c>
      <c r="G3">
        <f>IF($D3=provider,$E3,NA())</f>
        <v>141.66</v>
      </c>
    </row>
    <row r="4" spans="1:7" x14ac:dyDescent="0.35">
      <c r="A4" t="str">
        <v>Canada Life</v>
      </c>
      <c r="B4" cm="1">
        <f t="array" ref="B4">MEDIAN(
IF(
(data_table[Claim_Type]=type)*
(data_table[Province]=province)*
(data_table[Insurance_Provider]=A4),
data_table[Claim_Amount_CAD]
)
)</f>
        <v>141.66</v>
      </c>
      <c r="D4" t="str">
        <v>Blue Cross</v>
      </c>
      <c r="E4">
        <v>154.22</v>
      </c>
      <c r="F4">
        <f>IF($D4&lt;&gt;provider,$E4,NA())</f>
        <v>154.22</v>
      </c>
      <c r="G4" t="e">
        <f>IF($D4=provider,$E4,NA())</f>
        <v>#N/A</v>
      </c>
    </row>
    <row r="5" spans="1:7" x14ac:dyDescent="0.35">
      <c r="A5" t="str">
        <v>Blue Cross</v>
      </c>
      <c r="B5" cm="1">
        <f t="array" ref="B5">MEDIAN(
IF(
(data_table[Claim_Type]=type)*
(data_table[Province]=province)*
(data_table[Insurance_Provider]=A5),
data_table[Claim_Amount_CAD]
)
)</f>
        <v>154.22</v>
      </c>
      <c r="D5" t="str">
        <v>Sun Life</v>
      </c>
      <c r="E5">
        <v>154.34</v>
      </c>
      <c r="F5">
        <f>IF($D5&lt;&gt;provider,$E5,NA())</f>
        <v>154.34</v>
      </c>
      <c r="G5" t="e">
        <f>IF($D5=provider,$E5,NA())</f>
        <v>#N/A</v>
      </c>
    </row>
    <row r="6" spans="1:7" x14ac:dyDescent="0.35">
      <c r="A6" t="str">
        <v>Out of Pocket / None</v>
      </c>
      <c r="B6" cm="1">
        <f t="array" ref="B6">MEDIAN(
IF(
(data_table[Claim_Type]=type)*
(data_table[Province]=province)*
(data_table[Insurance_Provider]=A6),
data_table[Claim_Amount_CAD]
)
)</f>
        <v>0</v>
      </c>
      <c r="D6" t="str">
        <v>Manulife</v>
      </c>
      <c r="E6">
        <v>154.72999999999999</v>
      </c>
      <c r="F6">
        <f>IF($D6&lt;&gt;provider,$E6,NA())</f>
        <v>154.72999999999999</v>
      </c>
      <c r="G6" t="e">
        <f>IF($D6=provider,$E6,NA())</f>
        <v>#N/A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7F3F443-F90F-4840-83CA-13E8E2F6732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Data_Layer</vt:lpstr>
      <vt:lpstr>Claims_Calculator</vt:lpstr>
      <vt:lpstr>Data_validation</vt:lpstr>
      <vt:lpstr>Province</vt:lpstr>
      <vt:lpstr>Claim_type</vt:lpstr>
      <vt:lpstr>Inusrance_Provider</vt:lpstr>
      <vt:lpstr>claim_count</vt:lpstr>
      <vt:lpstr>median_claim</vt:lpstr>
      <vt:lpstr>provider</vt:lpstr>
      <vt:lpstr>province</vt:lpstr>
      <vt:lpstr>type</vt:lpstr>
      <vt:lpstr>wait_period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Sona Shaukath</dc:creator>
  <cp:lastModifiedBy>Sona Shaukath</cp:lastModifiedBy>
  <dcterms:created xsi:type="dcterms:W3CDTF">2026-08-26T19:29:08Z</dcterms:created>
  <dcterms:modified xsi:type="dcterms:W3CDTF">2026-09-01T21:53:48Z</dcterms:modified>
</cp:coreProperties>
</file>